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avillion\Desktop\"/>
    </mc:Choice>
  </mc:AlternateContent>
  <xr:revisionPtr revIDLastSave="0" documentId="8_{10DAA5F7-8CA2-4860-B301-3C71D06F3A2B}" xr6:coauthVersionLast="47" xr6:coauthVersionMax="47" xr10:uidLastSave="{00000000-0000-0000-0000-000000000000}"/>
  <bookViews>
    <workbookView xWindow="-110" yWindow="-110" windowWidth="19420" windowHeight="10300" firstSheet="18" activeTab="19" xr2:uid="{D0F2869A-2121-47A9-AFF6-D937699CA46B}"/>
  </bookViews>
  <sheets>
    <sheet name="DATA BASIC" sheetId="1" r:id="rId1"/>
    <sheet name="Remove_duplicate" sheetId="2" r:id="rId2"/>
    <sheet name="Remove_space" sheetId="3" r:id="rId3"/>
    <sheet name="Remove blank rows" sheetId="4" r:id="rId4"/>
    <sheet name="Split Data" sheetId="5" r:id="rId5"/>
    <sheet name="IF FUNCTION" sheetId="6" r:id="rId6"/>
    <sheet name="LOGICAL FUNCTIONS" sheetId="7" r:id="rId7"/>
    <sheet name="SORT" sheetId="8" r:id="rId8"/>
    <sheet name="Sheet2" sheetId="9" r:id="rId9"/>
    <sheet name="VLOOKUP" sheetId="10" r:id="rId10"/>
    <sheet name="VLOOKUP2" sheetId="11" r:id="rId11"/>
    <sheet name="VLOOKUP WITH MATCH" sheetId="12" r:id="rId12"/>
    <sheet name="MATCH AND INDEX" sheetId="13" r:id="rId13"/>
    <sheet name="Sales_data" sheetId="14" r:id="rId14"/>
    <sheet name="Sheet12" sheetId="19" r:id="rId15"/>
    <sheet name="PIVOT SOURCE" sheetId="18" r:id="rId16"/>
    <sheet name="Date formulas" sheetId="15" r:id="rId17"/>
    <sheet name="Employee data" sheetId="16" r:id="rId18"/>
    <sheet name="Leave records" sheetId="17" r:id="rId19"/>
    <sheet name="DASHBOARDS" sheetId="21" r:id="rId20"/>
    <sheet name="RAW_DATA" sheetId="20" r:id="rId21"/>
  </sheets>
  <definedNames>
    <definedName name="_xlnm._FilterDatabase" localSheetId="7" hidden="1">SORT!$A$1:$H$1001</definedName>
    <definedName name="emp_type">VLOOKUP2!$I$2:$J$8</definedName>
    <definedName name="Slicer_Region">#N/A</definedName>
    <definedName name="Slicer_State">#N/A</definedName>
  </definedNames>
  <calcPr calcId="191029"/>
  <pivotCaches>
    <pivotCache cacheId="7" r:id="rId22"/>
    <pivotCache cacheId="13" r:id="rId23"/>
  </pivotCaches>
  <fileRecoveryPr repairLoad="1"/>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7" l="1"/>
  <c r="D11" i="16"/>
  <c r="D12" i="16"/>
  <c r="D13" i="16"/>
  <c r="D14" i="16"/>
  <c r="D10" i="16"/>
  <c r="E3" i="16"/>
  <c r="E4" i="16"/>
  <c r="E5" i="16"/>
  <c r="E6" i="16"/>
  <c r="E2" i="16"/>
  <c r="E3" i="15"/>
  <c r="E4" i="15"/>
  <c r="E5" i="15"/>
  <c r="E6" i="15"/>
  <c r="E2" i="15"/>
  <c r="J4" i="15"/>
  <c r="N61" i="14"/>
  <c r="O61" i="14"/>
  <c r="P61" i="14"/>
  <c r="Q61" i="14"/>
  <c r="R61" i="14"/>
  <c r="N62" i="14"/>
  <c r="O62" i="14"/>
  <c r="P62" i="14"/>
  <c r="Q62" i="14"/>
  <c r="R62" i="14"/>
  <c r="N63" i="14"/>
  <c r="O63" i="14"/>
  <c r="P63" i="14"/>
  <c r="Q63" i="14"/>
  <c r="R63" i="14"/>
  <c r="N64" i="14"/>
  <c r="O64" i="14"/>
  <c r="P64" i="14"/>
  <c r="Q64" i="14"/>
  <c r="R64" i="14"/>
  <c r="N65" i="14"/>
  <c r="O65" i="14"/>
  <c r="P65" i="14"/>
  <c r="Q65" i="14"/>
  <c r="R65" i="14"/>
  <c r="N66" i="14"/>
  <c r="O66" i="14"/>
  <c r="P66" i="14"/>
  <c r="Q66" i="14"/>
  <c r="R66" i="14"/>
  <c r="N67" i="14"/>
  <c r="O67" i="14"/>
  <c r="P67" i="14"/>
  <c r="Q67" i="14"/>
  <c r="R67" i="14"/>
  <c r="N68" i="14"/>
  <c r="O68" i="14"/>
  <c r="P68" i="14"/>
  <c r="Q68" i="14"/>
  <c r="R68" i="14"/>
  <c r="N69" i="14"/>
  <c r="O69" i="14"/>
  <c r="P69" i="14"/>
  <c r="Q69" i="14"/>
  <c r="R69" i="14"/>
  <c r="N70" i="14"/>
  <c r="O70" i="14"/>
  <c r="P70" i="14"/>
  <c r="Q70" i="14"/>
  <c r="R70" i="14"/>
  <c r="N71" i="14"/>
  <c r="O71" i="14"/>
  <c r="P71" i="14"/>
  <c r="Q71" i="14"/>
  <c r="R71" i="14"/>
  <c r="N72" i="14"/>
  <c r="O72" i="14"/>
  <c r="P72" i="14"/>
  <c r="Q72" i="14"/>
  <c r="R72" i="14"/>
  <c r="N73" i="14"/>
  <c r="O73" i="14"/>
  <c r="P73" i="14"/>
  <c r="Q73" i="14"/>
  <c r="R73" i="14"/>
  <c r="N74" i="14"/>
  <c r="O74" i="14"/>
  <c r="P74" i="14"/>
  <c r="Q74" i="14"/>
  <c r="R74" i="14"/>
  <c r="N75" i="14"/>
  <c r="O75" i="14"/>
  <c r="P75" i="14"/>
  <c r="Q75" i="14"/>
  <c r="R75" i="14"/>
  <c r="N76" i="14"/>
  <c r="O76" i="14"/>
  <c r="P76" i="14"/>
  <c r="Q76" i="14"/>
  <c r="R76" i="14"/>
  <c r="N77" i="14"/>
  <c r="O77" i="14"/>
  <c r="P77" i="14"/>
  <c r="Q77" i="14"/>
  <c r="R77" i="14"/>
  <c r="N78" i="14"/>
  <c r="O78" i="14"/>
  <c r="P78" i="14"/>
  <c r="Q78" i="14"/>
  <c r="R78" i="14"/>
  <c r="N79" i="14"/>
  <c r="O79" i="14"/>
  <c r="P79" i="14"/>
  <c r="Q79" i="14"/>
  <c r="R79" i="14"/>
  <c r="O60" i="14"/>
  <c r="P60" i="14"/>
  <c r="Q60" i="14"/>
  <c r="R60" i="14"/>
  <c r="N60" i="14"/>
  <c r="N34" i="14"/>
  <c r="N52" i="14"/>
  <c r="N53" i="14"/>
  <c r="N54" i="14"/>
  <c r="N55" i="14"/>
  <c r="N51" i="14"/>
  <c r="N28" i="14"/>
  <c r="O28" i="14"/>
  <c r="P28" i="14"/>
  <c r="N29" i="14"/>
  <c r="O29" i="14"/>
  <c r="P29" i="14"/>
  <c r="N30" i="14"/>
  <c r="O30" i="14"/>
  <c r="P30" i="14"/>
  <c r="N31" i="14"/>
  <c r="O31" i="14"/>
  <c r="P31" i="14"/>
  <c r="N32" i="14"/>
  <c r="O32" i="14"/>
  <c r="P32" i="14"/>
  <c r="N33" i="14"/>
  <c r="O33" i="14"/>
  <c r="P33" i="14"/>
  <c r="O34" i="14"/>
  <c r="P34" i="14"/>
  <c r="N35" i="14"/>
  <c r="O35" i="14"/>
  <c r="P35" i="14"/>
  <c r="N36" i="14"/>
  <c r="O36" i="14"/>
  <c r="P36" i="14"/>
  <c r="N37" i="14"/>
  <c r="O37" i="14"/>
  <c r="P37" i="14"/>
  <c r="N38" i="14"/>
  <c r="O38" i="14"/>
  <c r="P38" i="14"/>
  <c r="N39" i="14"/>
  <c r="O39" i="14"/>
  <c r="P39" i="14"/>
  <c r="N40" i="14"/>
  <c r="O40" i="14"/>
  <c r="P40" i="14"/>
  <c r="N41" i="14"/>
  <c r="O41" i="14"/>
  <c r="P41" i="14"/>
  <c r="N42" i="14"/>
  <c r="O42" i="14"/>
  <c r="P42" i="14"/>
  <c r="N43" i="14"/>
  <c r="O43" i="14"/>
  <c r="P43" i="14"/>
  <c r="N44" i="14"/>
  <c r="O44" i="14"/>
  <c r="P44" i="14"/>
  <c r="N45" i="14"/>
  <c r="O45" i="14"/>
  <c r="P45" i="14"/>
  <c r="N46" i="14"/>
  <c r="O46" i="14"/>
  <c r="P46" i="14"/>
  <c r="O27" i="14"/>
  <c r="P27" i="14"/>
  <c r="N27" i="14"/>
  <c r="N22" i="14"/>
  <c r="N23" i="14"/>
  <c r="N21" i="14"/>
  <c r="N12" i="14"/>
  <c r="O12" i="14"/>
  <c r="P12" i="14"/>
  <c r="Q12" i="14"/>
  <c r="R12" i="14"/>
  <c r="N13" i="14"/>
  <c r="O13" i="14"/>
  <c r="P13" i="14"/>
  <c r="Q13" i="14"/>
  <c r="R13" i="14"/>
  <c r="N14" i="14"/>
  <c r="O14" i="14"/>
  <c r="P14" i="14"/>
  <c r="Q14" i="14"/>
  <c r="R14" i="14"/>
  <c r="N15" i="14"/>
  <c r="O15" i="14"/>
  <c r="P15" i="14"/>
  <c r="Q15" i="14"/>
  <c r="R15" i="14"/>
  <c r="O11" i="14"/>
  <c r="P11" i="14"/>
  <c r="Q11" i="14"/>
  <c r="R11" i="14"/>
  <c r="N11" i="14"/>
  <c r="N3" i="14"/>
  <c r="N4" i="14"/>
  <c r="N5" i="14"/>
  <c r="N6" i="14"/>
  <c r="N2" i="14"/>
  <c r="C18" i="13"/>
  <c r="C17" i="13"/>
  <c r="J4" i="12"/>
  <c r="J3" i="12"/>
  <c r="F3" i="11"/>
  <c r="F4" i="11"/>
  <c r="F5" i="11"/>
  <c r="F6" i="11"/>
  <c r="F7" i="11"/>
  <c r="F8" i="11"/>
  <c r="F9" i="11"/>
  <c r="F10" i="11"/>
  <c r="F11" i="11"/>
  <c r="F12" i="11"/>
  <c r="F13" i="11"/>
  <c r="I3" i="10"/>
  <c r="F2" i="11"/>
  <c r="I4" i="10"/>
  <c r="I5" i="10"/>
  <c r="I6" i="10"/>
  <c r="K3" i="10"/>
  <c r="O2" i="9" a="1"/>
  <c r="O2" i="9" s="1"/>
  <c r="F3" i="7"/>
  <c r="F4" i="7"/>
  <c r="F5" i="7"/>
  <c r="F6" i="7"/>
  <c r="F7" i="7"/>
  <c r="F8" i="7"/>
  <c r="F9" i="7"/>
  <c r="F10" i="7"/>
  <c r="F11" i="7"/>
  <c r="F12" i="7"/>
  <c r="F13" i="7"/>
  <c r="F2" i="7"/>
  <c r="E3" i="7"/>
  <c r="E4" i="7"/>
  <c r="E5" i="7"/>
  <c r="E6" i="7"/>
  <c r="E7" i="7"/>
  <c r="E8" i="7"/>
  <c r="E9" i="7"/>
  <c r="E10" i="7"/>
  <c r="E11" i="7"/>
  <c r="E12" i="7"/>
  <c r="E13" i="7"/>
  <c r="E2" i="7"/>
  <c r="G3" i="6" a="1"/>
  <c r="G3" i="6" s="1"/>
  <c r="G4" i="6" a="1"/>
  <c r="G4" i="6"/>
  <c r="G5" i="6" a="1"/>
  <c r="G5" i="6"/>
  <c r="G6" i="6" a="1"/>
  <c r="G6" i="6"/>
  <c r="G7" i="6" a="1"/>
  <c r="G7" i="6"/>
  <c r="G8" i="6" a="1"/>
  <c r="G8" i="6"/>
  <c r="G9" i="6" a="1"/>
  <c r="G9" i="6" s="1"/>
  <c r="G10" i="6" a="1"/>
  <c r="G10" i="6"/>
  <c r="G11" i="6" a="1"/>
  <c r="G11" i="6"/>
  <c r="G12" i="6" a="1"/>
  <c r="G12" i="6"/>
  <c r="G13" i="6" a="1"/>
  <c r="G13" i="6"/>
  <c r="G2" i="6" a="1"/>
  <c r="G2" i="6" s="1"/>
  <c r="F3" i="6"/>
  <c r="F4" i="6"/>
  <c r="F5" i="6"/>
  <c r="F6" i="6"/>
  <c r="F7" i="6"/>
  <c r="F8" i="6"/>
  <c r="F9" i="6"/>
  <c r="F10" i="6"/>
  <c r="F11" i="6"/>
  <c r="F12" i="6"/>
  <c r="F13" i="6"/>
  <c r="F2" i="6"/>
  <c r="E3" i="6"/>
  <c r="E4" i="6"/>
  <c r="E5" i="6"/>
  <c r="E6" i="6"/>
  <c r="E7" i="6"/>
  <c r="E8" i="6"/>
  <c r="E9" i="6"/>
  <c r="E10" i="6"/>
  <c r="E11" i="6"/>
  <c r="E12" i="6"/>
  <c r="E13" i="6"/>
  <c r="E2" i="6"/>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2" i="4"/>
  <c r="C3" i="3"/>
  <c r="C4" i="3"/>
  <c r="C5" i="3"/>
  <c r="C6" i="3"/>
  <c r="C7" i="3"/>
  <c r="C8" i="3"/>
  <c r="C9" i="3"/>
  <c r="C10" i="3"/>
  <c r="C11" i="3"/>
  <c r="C12" i="3"/>
  <c r="C13" i="3"/>
  <c r="C14" i="3"/>
  <c r="C15" i="3"/>
  <c r="C16" i="3"/>
  <c r="C17" i="3"/>
  <c r="C18" i="3"/>
  <c r="C19" i="3"/>
  <c r="C20" i="3"/>
  <c r="C21" i="3"/>
  <c r="C22" i="3"/>
  <c r="C2" i="3"/>
  <c r="B3" i="3"/>
  <c r="B4" i="3"/>
  <c r="B5" i="3"/>
  <c r="B6" i="3"/>
  <c r="B7" i="3"/>
  <c r="B8" i="3"/>
  <c r="B9" i="3"/>
  <c r="B10" i="3"/>
  <c r="B11" i="3"/>
  <c r="B12" i="3"/>
  <c r="B13" i="3"/>
  <c r="B14" i="3"/>
  <c r="B15" i="3"/>
  <c r="B16" i="3"/>
  <c r="B17" i="3"/>
  <c r="B18" i="3"/>
  <c r="B19" i="3"/>
  <c r="B20" i="3"/>
  <c r="B21" i="3"/>
  <c r="B22" i="3"/>
  <c r="B2" i="3"/>
  <c r="F14" i="3"/>
  <c r="F22" i="3"/>
  <c r="F2" i="3"/>
  <c r="E17" i="3"/>
  <c r="F17" i="3" s="1"/>
  <c r="E18" i="3"/>
  <c r="F18" i="3" s="1"/>
  <c r="E19" i="3"/>
  <c r="F19" i="3" s="1"/>
  <c r="E20" i="3"/>
  <c r="F20" i="3" s="1"/>
  <c r="E21" i="3"/>
  <c r="F21" i="3" s="1"/>
  <c r="E22" i="3"/>
  <c r="E3" i="3"/>
  <c r="F3" i="3" s="1"/>
  <c r="E4" i="3"/>
  <c r="F4" i="3" s="1"/>
  <c r="E5" i="3"/>
  <c r="F5" i="3" s="1"/>
  <c r="E6" i="3"/>
  <c r="F6" i="3" s="1"/>
  <c r="E7" i="3"/>
  <c r="F7" i="3" s="1"/>
  <c r="E8" i="3"/>
  <c r="F8" i="3" s="1"/>
  <c r="E9" i="3"/>
  <c r="F9" i="3" s="1"/>
  <c r="E10" i="3"/>
  <c r="F10" i="3" s="1"/>
  <c r="E11" i="3"/>
  <c r="F11" i="3" s="1"/>
  <c r="E12" i="3"/>
  <c r="F12" i="3" s="1"/>
  <c r="E13" i="3"/>
  <c r="F13" i="3" s="1"/>
  <c r="E14" i="3"/>
  <c r="E15" i="3"/>
  <c r="F15" i="3" s="1"/>
  <c r="E16" i="3"/>
  <c r="F16" i="3" s="1"/>
  <c r="E2" i="3"/>
  <c r="D21" i="3"/>
  <c r="D22" i="3"/>
  <c r="D3" i="3"/>
  <c r="D4" i="3"/>
  <c r="D5" i="3"/>
  <c r="D6" i="3"/>
  <c r="D7" i="3"/>
  <c r="D8" i="3"/>
  <c r="D9" i="3"/>
  <c r="D10" i="3"/>
  <c r="D11" i="3"/>
  <c r="D12" i="3"/>
  <c r="D13" i="3"/>
  <c r="D14" i="3"/>
  <c r="D15" i="3"/>
  <c r="D16" i="3"/>
  <c r="D17" i="3"/>
  <c r="D18" i="3"/>
  <c r="D19" i="3"/>
  <c r="D20" i="3"/>
  <c r="D2" i="3"/>
  <c r="E3" i="2"/>
  <c r="E4" i="2"/>
  <c r="E5" i="2"/>
  <c r="E6" i="2"/>
  <c r="E7" i="2"/>
  <c r="E8" i="2"/>
  <c r="E9" i="2"/>
  <c r="E10" i="2"/>
  <c r="E2" i="2"/>
  <c r="D3" i="2"/>
  <c r="D4" i="2"/>
  <c r="D5" i="2"/>
  <c r="D6" i="2"/>
  <c r="D7" i="2"/>
  <c r="D8" i="2"/>
  <c r="D9" i="2"/>
  <c r="D10" i="2"/>
  <c r="D2" i="2"/>
  <c r="O4" i="1"/>
  <c r="O5" i="1"/>
  <c r="O6" i="1"/>
  <c r="O7" i="1"/>
  <c r="O8" i="1"/>
  <c r="O9" i="1"/>
  <c r="O10" i="1"/>
  <c r="O11" i="1"/>
  <c r="O12" i="1"/>
  <c r="O13" i="1"/>
  <c r="O3" i="1"/>
  <c r="N4" i="1"/>
  <c r="N5" i="1"/>
  <c r="N6" i="1"/>
  <c r="N7" i="1"/>
  <c r="N8" i="1"/>
  <c r="N9" i="1"/>
  <c r="N10" i="1"/>
  <c r="N11" i="1"/>
  <c r="N12" i="1"/>
  <c r="N13" i="1"/>
  <c r="N3" i="1"/>
  <c r="M13" i="1"/>
  <c r="L13" i="1"/>
  <c r="K13" i="1"/>
  <c r="M4" i="1"/>
  <c r="M5" i="1"/>
  <c r="M6" i="1"/>
  <c r="M7" i="1"/>
  <c r="M8" i="1"/>
  <c r="M9" i="1"/>
  <c r="M10" i="1"/>
  <c r="M11" i="1"/>
  <c r="M12" i="1"/>
  <c r="M3" i="1"/>
  <c r="L4" i="1"/>
  <c r="L5" i="1"/>
  <c r="L6" i="1"/>
  <c r="L7" i="1"/>
  <c r="L8" i="1"/>
  <c r="L9" i="1"/>
  <c r="L10" i="1"/>
  <c r="L11" i="1"/>
  <c r="L12" i="1"/>
  <c r="L3" i="1"/>
  <c r="K4" i="1"/>
  <c r="K5" i="1"/>
  <c r="K6" i="1"/>
  <c r="K10" i="1"/>
  <c r="K11" i="1"/>
  <c r="K12" i="1"/>
  <c r="K9" i="1"/>
  <c r="K7" i="1"/>
  <c r="K8" i="1"/>
  <c r="C15" i="13" l="1" a="1"/>
  <c r="C15" i="13" s="1"/>
  <c r="K3" i="1"/>
  <c r="J14" i="1"/>
  <c r="I14" i="1"/>
  <c r="H1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<sst xmlns="http://schemas.openxmlformats.org/spreadsheetml/2006/main" count="29347" uniqueCount="3138">
  <si>
    <t>Employee ID</t>
  </si>
  <si>
    <t xml:space="preserve">Employee Name </t>
  </si>
  <si>
    <t>Salary</t>
  </si>
  <si>
    <t xml:space="preserve">Joining date </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</si>
  <si>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</si>
  <si>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</si>
  <si>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</si>
  <si>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</si>
  <si>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</si>
  <si>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</si>
  <si>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</si>
  <si>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</si>
  <si>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</si>
  <si>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</si>
  <si>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</si>
  <si>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</si>
  <si>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</si>
  <si>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</si>
  <si>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</si>
  <si>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</si>
  <si>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</si>
  <si>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</si>
  <si>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</si>
  <si>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</si>
  <si>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</si>
  <si>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</si>
  <si>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</si>
  <si>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</si>
  <si>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</si>
  <si>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</si>
  <si>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</si>
  <si>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</si>
  <si>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</si>
  <si>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</si>
  <si>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</si>
  <si>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</si>
  <si>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</si>
  <si>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</si>
  <si>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</si>
  <si>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</si>
  <si>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</si>
  <si>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</si>
  <si>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</si>
  <si>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</si>
  <si>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</si>
  <si>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</si>
  <si>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</si>
  <si>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</si>
  <si>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</si>
  <si>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</si>
  <si>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</si>
  <si>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</si>
  <si>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</si>
  <si>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</si>
  <si>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</si>
  <si>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</si>
  <si>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</si>
  <si>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</si>
  <si>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</si>
  <si>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</si>
  <si>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</si>
  <si>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</si>
  <si>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</si>
  <si>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</si>
  <si>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</si>
  <si>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</si>
  <si>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</si>
  <si>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</si>
  <si>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</si>
  <si>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</si>
  <si>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</si>
  <si>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</si>
  <si>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</si>
  <si>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</si>
  <si>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</si>
  <si>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</si>
  <si>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</si>
  <si>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</si>
  <si>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</si>
  <si>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</si>
  <si>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</si>
  <si>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</si>
  <si>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</si>
  <si>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</si>
  <si>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</si>
  <si>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</si>
  <si>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</si>
  <si>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</si>
  <si>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</si>
  <si>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</si>
  <si>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</si>
  <si>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</si>
  <si>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</si>
  <si>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</si>
  <si>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</si>
  <si>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</si>
  <si>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</si>
  <si>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</si>
  <si>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</si>
  <si>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</si>
  <si>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</si>
  <si>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</si>
  <si>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</si>
  <si>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</si>
  <si>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EMP101</t>
  </si>
  <si>
    <t>EMP102</t>
  </si>
  <si>
    <t>EMP103</t>
  </si>
  <si>
    <t>EMP104</t>
  </si>
  <si>
    <t>EMP105</t>
  </si>
  <si>
    <t>EMP106</t>
  </si>
  <si>
    <t>EMP107</t>
  </si>
  <si>
    <t>EMP108</t>
  </si>
  <si>
    <t>EMP109</t>
  </si>
  <si>
    <t>EMP110</t>
  </si>
  <si>
    <t>EMP111</t>
  </si>
  <si>
    <t>EMP112</t>
  </si>
  <si>
    <t>EMP113</t>
  </si>
  <si>
    <t>EMP114</t>
  </si>
  <si>
    <t>EMP115</t>
  </si>
  <si>
    <t>EMP116</t>
  </si>
  <si>
    <t>EMP117</t>
  </si>
  <si>
    <t>EMP118</t>
  </si>
  <si>
    <t>EMP119</t>
  </si>
  <si>
    <t>EMP120</t>
  </si>
  <si>
    <t>EMP121</t>
  </si>
  <si>
    <t>EMP122</t>
  </si>
  <si>
    <t>EMP123</t>
  </si>
  <si>
    <t>EMP124</t>
  </si>
  <si>
    <t>EMP125</t>
  </si>
  <si>
    <t>EMP126</t>
  </si>
  <si>
    <t>EMP127</t>
  </si>
  <si>
    <t>EMP128</t>
  </si>
  <si>
    <t>EMP129</t>
  </si>
  <si>
    <t>EMP130</t>
  </si>
  <si>
    <t>EMP131</t>
  </si>
  <si>
    <t>EMP132</t>
  </si>
  <si>
    <t>EMP133</t>
  </si>
  <si>
    <t>EMP134</t>
  </si>
  <si>
    <t>EMP135</t>
  </si>
  <si>
    <t>EMP136</t>
  </si>
  <si>
    <t>EMP137</t>
  </si>
  <si>
    <t>EMP138</t>
  </si>
  <si>
    <t>EMP139</t>
  </si>
  <si>
    <t>EMP140</t>
  </si>
  <si>
    <t>EMP141</t>
  </si>
  <si>
    <t>EMP142</t>
  </si>
  <si>
    <t>EMP143</t>
  </si>
  <si>
    <t>EMP144</t>
  </si>
  <si>
    <t>EMP145</t>
  </si>
  <si>
    <t>EMP146</t>
  </si>
  <si>
    <t>EMP147</t>
  </si>
  <si>
    <t>EMP148</t>
  </si>
  <si>
    <t>EMP149</t>
  </si>
  <si>
    <t>EMP150</t>
  </si>
  <si>
    <t>EMP151</t>
  </si>
  <si>
    <t>EMP152</t>
  </si>
  <si>
    <t>EMP153</t>
  </si>
  <si>
    <t>EMP154</t>
  </si>
  <si>
    <t>EMP155</t>
  </si>
  <si>
    <t>EMP156</t>
  </si>
  <si>
    <t>EMP157</t>
  </si>
  <si>
    <t>EMP158</t>
  </si>
  <si>
    <t>EMP159</t>
  </si>
  <si>
    <t>EMP160</t>
  </si>
  <si>
    <t>EMP161</t>
  </si>
  <si>
    <t>EMP162</t>
  </si>
  <si>
    <t>EMP163</t>
  </si>
  <si>
    <t>EMP164</t>
  </si>
  <si>
    <t>EMP165</t>
  </si>
  <si>
    <t>EMP166</t>
  </si>
  <si>
    <t>EMP167</t>
  </si>
  <si>
    <t>EMP168</t>
  </si>
  <si>
    <t>EMP169</t>
  </si>
  <si>
    <t>EMP170</t>
  </si>
  <si>
    <t>EMP171</t>
  </si>
  <si>
    <t>EMP172</t>
  </si>
  <si>
    <t>EMP173</t>
  </si>
  <si>
    <t>EMP174</t>
  </si>
  <si>
    <t>EMP175</t>
  </si>
  <si>
    <t>EMP176</t>
  </si>
  <si>
    <t>EMP177</t>
  </si>
  <si>
    <t>EMP178</t>
  </si>
  <si>
    <t>EMP179</t>
  </si>
  <si>
    <t>EMP180</t>
  </si>
  <si>
    <t>EMP181</t>
  </si>
  <si>
    <t>EMP182</t>
  </si>
  <si>
    <t>EMP183</t>
  </si>
  <si>
    <t>EMP184</t>
  </si>
  <si>
    <t>EMP185</t>
  </si>
  <si>
    <t>EMP186</t>
  </si>
  <si>
    <t>EMP187</t>
  </si>
  <si>
    <t>EMP188</t>
  </si>
  <si>
    <t>EMP189</t>
  </si>
  <si>
    <t>EMP190</t>
  </si>
  <si>
    <t>EMP191</t>
  </si>
  <si>
    <t>EMP192</t>
  </si>
  <si>
    <t>EMP193</t>
  </si>
  <si>
    <t>EMP194</t>
  </si>
  <si>
    <t>EMP195</t>
  </si>
  <si>
    <t>EMP196</t>
  </si>
  <si>
    <t>EMP197</t>
  </si>
  <si>
    <t>EMP198</t>
  </si>
  <si>
    <t>EMP199</t>
  </si>
  <si>
    <t>EMP200</t>
  </si>
  <si>
    <t>EMP201</t>
  </si>
  <si>
    <t>EMP202</t>
  </si>
  <si>
    <t>EMP203</t>
  </si>
  <si>
    <t>EMP204</t>
  </si>
  <si>
    <t>EMP205</t>
  </si>
  <si>
    <t>EMP206</t>
  </si>
  <si>
    <t>EMP207</t>
  </si>
  <si>
    <t>EMP208</t>
  </si>
  <si>
    <t>EMP209</t>
  </si>
  <si>
    <t>EMP210</t>
  </si>
  <si>
    <t>EMP211</t>
  </si>
  <si>
    <t>EMP212</t>
  </si>
  <si>
    <t>EMP213</t>
  </si>
  <si>
    <t>EMP214</t>
  </si>
  <si>
    <t>EMP215</t>
  </si>
  <si>
    <t>EMP216</t>
  </si>
  <si>
    <t>EMP217</t>
  </si>
  <si>
    <t>EMP218</t>
  </si>
  <si>
    <t>EMP219</t>
  </si>
  <si>
    <t>EMP220</t>
  </si>
  <si>
    <t>EMP221</t>
  </si>
  <si>
    <t>EMP222</t>
  </si>
  <si>
    <t>EMP223</t>
  </si>
  <si>
    <t>EMP224</t>
  </si>
  <si>
    <t>EMP225</t>
  </si>
  <si>
    <t>EMP226</t>
  </si>
  <si>
    <t>EMP227</t>
  </si>
  <si>
    <t>EMP228</t>
  </si>
  <si>
    <t>EMP229</t>
  </si>
  <si>
    <t>EMP230</t>
  </si>
  <si>
    <t>EMP231</t>
  </si>
  <si>
    <t>EMP232</t>
  </si>
  <si>
    <t>EMP233</t>
  </si>
  <si>
    <t>EMP234</t>
  </si>
  <si>
    <t>EMP235</t>
  </si>
  <si>
    <t>EMP236</t>
  </si>
  <si>
    <t>EMP237</t>
  </si>
  <si>
    <t>EMP238</t>
  </si>
  <si>
    <t>EMP239</t>
  </si>
  <si>
    <t>EMP240</t>
  </si>
  <si>
    <t>EMP241</t>
  </si>
  <si>
    <t>EMP242</t>
  </si>
  <si>
    <t>EMP243</t>
  </si>
  <si>
    <t>EMP244</t>
  </si>
  <si>
    <t>EMP245</t>
  </si>
  <si>
    <t>EMP246</t>
  </si>
  <si>
    <t>EMP247</t>
  </si>
  <si>
    <t>EMP248</t>
  </si>
  <si>
    <t>EMP249</t>
  </si>
  <si>
    <t>EMP250</t>
  </si>
  <si>
    <t>EMP251</t>
  </si>
  <si>
    <t>EMP252</t>
  </si>
  <si>
    <t>EMP253</t>
  </si>
  <si>
    <t>EMP254</t>
  </si>
  <si>
    <t>EMP255</t>
  </si>
  <si>
    <t>EMP256</t>
  </si>
  <si>
    <t>EMP257</t>
  </si>
  <si>
    <t>EMP258</t>
  </si>
  <si>
    <t>EMP259</t>
  </si>
  <si>
    <t>EMP260</t>
  </si>
  <si>
    <t>EMP261</t>
  </si>
  <si>
    <t>EMP262</t>
  </si>
  <si>
    <t>EMP263</t>
  </si>
  <si>
    <t>EMP264</t>
  </si>
  <si>
    <t>EMP265</t>
  </si>
  <si>
    <t>EMP266</t>
  </si>
  <si>
    <t>EMP267</t>
  </si>
  <si>
    <t>EMP268</t>
  </si>
  <si>
    <t>EMP269</t>
  </si>
  <si>
    <t>EMP270</t>
  </si>
  <si>
    <t>EMP271</t>
  </si>
  <si>
    <t>EMP272</t>
  </si>
  <si>
    <t>EMP273</t>
  </si>
  <si>
    <t>EMP274</t>
  </si>
  <si>
    <t>EMP275</t>
  </si>
  <si>
    <t>EMP276</t>
  </si>
  <si>
    <t>EMP277</t>
  </si>
  <si>
    <t>EMP278</t>
  </si>
  <si>
    <t>EMP279</t>
  </si>
  <si>
    <t>EMP280</t>
  </si>
  <si>
    <t>EMP281</t>
  </si>
  <si>
    <t>EMP282</t>
  </si>
  <si>
    <t>EMP283</t>
  </si>
  <si>
    <t>EMP284</t>
  </si>
  <si>
    <t>EMP285</t>
  </si>
  <si>
    <t>EMP286</t>
  </si>
  <si>
    <t>EMP287</t>
  </si>
  <si>
    <t>EMP288</t>
  </si>
  <si>
    <t>EMP289</t>
  </si>
  <si>
    <t>EMP290</t>
  </si>
  <si>
    <t>EMP291</t>
  </si>
  <si>
    <t>EMP292</t>
  </si>
  <si>
    <t>EMP293</t>
  </si>
  <si>
    <t>EMP294</t>
  </si>
  <si>
    <t>EMP295</t>
  </si>
  <si>
    <t>EMP296</t>
  </si>
  <si>
    <t>EMP297</t>
  </si>
  <si>
    <t>EMP298</t>
  </si>
  <si>
    <t>EMP299</t>
  </si>
  <si>
    <t>EMP300</t>
  </si>
  <si>
    <t>EMP301</t>
  </si>
  <si>
    <t>EMP302</t>
  </si>
  <si>
    <t>EMP303</t>
  </si>
  <si>
    <t>EMP304</t>
  </si>
  <si>
    <t>EMP305</t>
  </si>
  <si>
    <t>EMP306</t>
  </si>
  <si>
    <t>EMP307</t>
  </si>
  <si>
    <t>EMP308</t>
  </si>
  <si>
    <t>EMP309</t>
  </si>
  <si>
    <t>EMP310</t>
  </si>
  <si>
    <t>EMP311</t>
  </si>
  <si>
    <t>EMP312</t>
  </si>
  <si>
    <t>EMP313</t>
  </si>
  <si>
    <t>EMP314</t>
  </si>
  <si>
    <t>EMP315</t>
  </si>
  <si>
    <t>EMP316</t>
  </si>
  <si>
    <t>EMP317</t>
  </si>
  <si>
    <t>EMP318</t>
  </si>
  <si>
    <t>EMP319</t>
  </si>
  <si>
    <t>EMP320</t>
  </si>
  <si>
    <t>EMP321</t>
  </si>
  <si>
    <t>EMP322</t>
  </si>
  <si>
    <t>EMP323</t>
  </si>
  <si>
    <t>EMP324</t>
  </si>
  <si>
    <t>EMP325</t>
  </si>
  <si>
    <t>EMP326</t>
  </si>
  <si>
    <t>EMP327</t>
  </si>
  <si>
    <t>EMP328</t>
  </si>
  <si>
    <t>EMP329</t>
  </si>
  <si>
    <t>EMP330</t>
  </si>
  <si>
    <t>EMP331</t>
  </si>
  <si>
    <t>EMP332</t>
  </si>
  <si>
    <t>EMP333</t>
  </si>
  <si>
    <t>EMP334</t>
  </si>
  <si>
    <t>EMP335</t>
  </si>
  <si>
    <t>EMP336</t>
  </si>
  <si>
    <t>EMP337</t>
  </si>
  <si>
    <t>EMP338</t>
  </si>
  <si>
    <t>EMP339</t>
  </si>
  <si>
    <t>EMP340</t>
  </si>
  <si>
    <t>EMP341</t>
  </si>
  <si>
    <t>EMP342</t>
  </si>
  <si>
    <t>EMP343</t>
  </si>
  <si>
    <t>EMP344</t>
  </si>
  <si>
    <t>EMP345</t>
  </si>
  <si>
    <t>EMP346</t>
  </si>
  <si>
    <t>EMP347</t>
  </si>
  <si>
    <t>EMP348</t>
  </si>
  <si>
    <t>EMP349</t>
  </si>
  <si>
    <t>EMP350</t>
  </si>
  <si>
    <t>EMP351</t>
  </si>
  <si>
    <t>EMP352</t>
  </si>
  <si>
    <t>EMP353</t>
  </si>
  <si>
    <t>EMP354</t>
  </si>
  <si>
    <t>EMP355</t>
  </si>
  <si>
    <t>EMP356</t>
  </si>
  <si>
    <t>EMP357</t>
  </si>
  <si>
    <t>EMP358</t>
  </si>
  <si>
    <t>EMP359</t>
  </si>
  <si>
    <t>EMP360</t>
  </si>
  <si>
    <t>EMP361</t>
  </si>
  <si>
    <t>EMP362</t>
  </si>
  <si>
    <t>EMP363</t>
  </si>
  <si>
    <t>EMP364</t>
  </si>
  <si>
    <t>EMP365</t>
  </si>
  <si>
    <t>EMP366</t>
  </si>
  <si>
    <t>EMP367</t>
  </si>
  <si>
    <t>EMP368</t>
  </si>
  <si>
    <t>EMP369</t>
  </si>
  <si>
    <t>EMP370</t>
  </si>
  <si>
    <t>EMP371</t>
  </si>
  <si>
    <t>EMP372</t>
  </si>
  <si>
    <t>EMP373</t>
  </si>
  <si>
    <t>EMP374</t>
  </si>
  <si>
    <t>EMP375</t>
  </si>
  <si>
    <t>EMP376</t>
  </si>
  <si>
    <t>EMP377</t>
  </si>
  <si>
    <t>EMP378</t>
  </si>
  <si>
    <t>EMP379</t>
  </si>
  <si>
    <t>EMP380</t>
  </si>
  <si>
    <t>EMP381</t>
  </si>
  <si>
    <t>EMP382</t>
  </si>
  <si>
    <t>EMP383</t>
  </si>
  <si>
    <t>EMP384</t>
  </si>
  <si>
    <t>EMP385</t>
  </si>
  <si>
    <t>EMP386</t>
  </si>
  <si>
    <t>EMP387</t>
  </si>
  <si>
    <t>EMP388</t>
  </si>
  <si>
    <t>EMP389</t>
  </si>
  <si>
    <t>EMP390</t>
  </si>
  <si>
    <t>EMP391</t>
  </si>
  <si>
    <t>EMP392</t>
  </si>
  <si>
    <t>EMP393</t>
  </si>
  <si>
    <t>EMP394</t>
  </si>
  <si>
    <t>EMP395</t>
  </si>
  <si>
    <t>EMP396</t>
  </si>
  <si>
    <t>EMP397</t>
  </si>
  <si>
    <t>EMP398</t>
  </si>
  <si>
    <t>EMP399</t>
  </si>
  <si>
    <t>EMP400</t>
  </si>
  <si>
    <t>EMP401</t>
  </si>
  <si>
    <t>EMP402</t>
  </si>
  <si>
    <t>EMP403</t>
  </si>
  <si>
    <t>EMP404</t>
  </si>
  <si>
    <t>EMP405</t>
  </si>
  <si>
    <t>EMP406</t>
  </si>
  <si>
    <t>EMP407</t>
  </si>
  <si>
    <t>EMP408</t>
  </si>
  <si>
    <t>EMP409</t>
  </si>
  <si>
    <t>EMP410</t>
  </si>
  <si>
    <t>EMP411</t>
  </si>
  <si>
    <t>EMP412</t>
  </si>
  <si>
    <t>EMP413</t>
  </si>
  <si>
    <t>EMP414</t>
  </si>
  <si>
    <t>EMP415</t>
  </si>
  <si>
    <t>EMP416</t>
  </si>
  <si>
    <t>EMP417</t>
  </si>
  <si>
    <t>EMP418</t>
  </si>
  <si>
    <t>EMP419</t>
  </si>
  <si>
    <t>EMP420</t>
  </si>
  <si>
    <t>EMP421</t>
  </si>
  <si>
    <t>EMP422</t>
  </si>
  <si>
    <t>EMP423</t>
  </si>
  <si>
    <t>EMP424</t>
  </si>
  <si>
    <t>EMP425</t>
  </si>
  <si>
    <t>EMP426</t>
  </si>
  <si>
    <t>EMP427</t>
  </si>
  <si>
    <t>EMP428</t>
  </si>
  <si>
    <t>EMP429</t>
  </si>
  <si>
    <t>EMP430</t>
  </si>
  <si>
    <t>EMP431</t>
  </si>
  <si>
    <t>EMP432</t>
  </si>
  <si>
    <t>EMP433</t>
  </si>
  <si>
    <t>EMP434</t>
  </si>
  <si>
    <t>EMP435</t>
  </si>
  <si>
    <t>EMP436</t>
  </si>
  <si>
    <t>EMP437</t>
  </si>
  <si>
    <t>EMP438</t>
  </si>
  <si>
    <t>EMP439</t>
  </si>
  <si>
    <t>EMP440</t>
  </si>
  <si>
    <t>EMP441</t>
  </si>
  <si>
    <t>EMP442</t>
  </si>
  <si>
    <t>EMP443</t>
  </si>
  <si>
    <t>EMP444</t>
  </si>
  <si>
    <t>EMP445</t>
  </si>
  <si>
    <t>EMP446</t>
  </si>
  <si>
    <t>EMP447</t>
  </si>
  <si>
    <t>EMP448</t>
  </si>
  <si>
    <t>EMP449</t>
  </si>
  <si>
    <t>EMP450</t>
  </si>
  <si>
    <t>EMP451</t>
  </si>
  <si>
    <t>EMP452</t>
  </si>
  <si>
    <t>EMP453</t>
  </si>
  <si>
    <t>EMP454</t>
  </si>
  <si>
    <t>EMP455</t>
  </si>
  <si>
    <t>EMP456</t>
  </si>
  <si>
    <t>EMP457</t>
  </si>
  <si>
    <t>EMP458</t>
  </si>
  <si>
    <t>EMP459</t>
  </si>
  <si>
    <t>EMP460</t>
  </si>
  <si>
    <t>EMP461</t>
  </si>
  <si>
    <t>EMP462</t>
  </si>
  <si>
    <t>EMP463</t>
  </si>
  <si>
    <t>EMP464</t>
  </si>
  <si>
    <t>EMP465</t>
  </si>
  <si>
    <t>EMP466</t>
  </si>
  <si>
    <t>EMP467</t>
  </si>
  <si>
    <t>EMP468</t>
  </si>
  <si>
    <t>EMP469</t>
  </si>
  <si>
    <t>EMP470</t>
  </si>
  <si>
    <t>EMP471</t>
  </si>
  <si>
    <t>EMP472</t>
  </si>
  <si>
    <t>EMP473</t>
  </si>
  <si>
    <t>EMP474</t>
  </si>
  <si>
    <t>EMP475</t>
  </si>
  <si>
    <t>EMP476</t>
  </si>
  <si>
    <t>EMP477</t>
  </si>
  <si>
    <t>EMP478</t>
  </si>
  <si>
    <t>EMP479</t>
  </si>
  <si>
    <t>EMP480</t>
  </si>
  <si>
    <t>EMP481</t>
  </si>
  <si>
    <t>EMP482</t>
  </si>
  <si>
    <t>EMP483</t>
  </si>
  <si>
    <t>EMP484</t>
  </si>
  <si>
    <t>EMP485</t>
  </si>
  <si>
    <t>EMP486</t>
  </si>
  <si>
    <t>EMP487</t>
  </si>
  <si>
    <t>EMP488</t>
  </si>
  <si>
    <t>EMP489</t>
  </si>
  <si>
    <t>EMP490</t>
  </si>
  <si>
    <t>EMP491</t>
  </si>
  <si>
    <t>EMP492</t>
  </si>
  <si>
    <t>EMP493</t>
  </si>
  <si>
    <t>EMP494</t>
  </si>
  <si>
    <t>EMP495</t>
  </si>
  <si>
    <t>EMP496</t>
  </si>
  <si>
    <t>EMP497</t>
  </si>
  <si>
    <t>EMP498</t>
  </si>
  <si>
    <t>EMP499</t>
  </si>
  <si>
    <t>EMP500</t>
  </si>
  <si>
    <t>Employee_1</t>
  </si>
  <si>
    <t>Employee_2</t>
  </si>
  <si>
    <t>Employee_3</t>
  </si>
  <si>
    <t>Employee_4</t>
  </si>
  <si>
    <t>Employee_5</t>
  </si>
  <si>
    <t>Employee_7</t>
  </si>
  <si>
    <t>Employee_8</t>
  </si>
  <si>
    <t>Employee_9</t>
  </si>
  <si>
    <t>Employee_10</t>
  </si>
  <si>
    <t>Employee_11</t>
  </si>
  <si>
    <t>Employee_12</t>
  </si>
  <si>
    <t>Employee_13</t>
  </si>
  <si>
    <t>Employee_14</t>
  </si>
  <si>
    <t>Employee_15</t>
  </si>
  <si>
    <t>Employee_16</t>
  </si>
  <si>
    <t>Employee_17</t>
  </si>
  <si>
    <t>Employee_18</t>
  </si>
  <si>
    <t>Employee_19</t>
  </si>
  <si>
    <t>Employee_20</t>
  </si>
  <si>
    <t>Employee_21</t>
  </si>
  <si>
    <t>Employee_22</t>
  </si>
  <si>
    <t>Employee_23</t>
  </si>
  <si>
    <t>Employee_24</t>
  </si>
  <si>
    <t>Employee_25</t>
  </si>
  <si>
    <t>Employee_26</t>
  </si>
  <si>
    <t>Employee_27</t>
  </si>
  <si>
    <t>Employee_28</t>
  </si>
  <si>
    <t>Employee_29</t>
  </si>
  <si>
    <t>Employee_30</t>
  </si>
  <si>
    <t>Employee_31</t>
  </si>
  <si>
    <t>Employee_32</t>
  </si>
  <si>
    <t>Employee_33</t>
  </si>
  <si>
    <t>Employee_34</t>
  </si>
  <si>
    <t>Employee_35</t>
  </si>
  <si>
    <t>Employee_36</t>
  </si>
  <si>
    <t>Employee_37</t>
  </si>
  <si>
    <t>Employee_38</t>
  </si>
  <si>
    <t>Employee_39</t>
  </si>
  <si>
    <t>Employee_40</t>
  </si>
  <si>
    <t>Employee_41</t>
  </si>
  <si>
    <t>Employee_42</t>
  </si>
  <si>
    <t>Employee_43</t>
  </si>
  <si>
    <t>Employee_44</t>
  </si>
  <si>
    <t>Employee_45</t>
  </si>
  <si>
    <t>Employee_46</t>
  </si>
  <si>
    <t>Employee_47</t>
  </si>
  <si>
    <t>Employee_48</t>
  </si>
  <si>
    <t>Employee_49</t>
  </si>
  <si>
    <t>Employee_50</t>
  </si>
  <si>
    <t>Employee_51</t>
  </si>
  <si>
    <t>Employee_52</t>
  </si>
  <si>
    <t>Employee_53</t>
  </si>
  <si>
    <t>Employee_54</t>
  </si>
  <si>
    <t>Employee_55</t>
  </si>
  <si>
    <t>Employee_56</t>
  </si>
  <si>
    <t>Employee_57</t>
  </si>
  <si>
    <t>Employee_58</t>
  </si>
  <si>
    <t>Employee_59</t>
  </si>
  <si>
    <t>Employee_60</t>
  </si>
  <si>
    <t>Employee_61</t>
  </si>
  <si>
    <t>Employee_62</t>
  </si>
  <si>
    <t>Employee_63</t>
  </si>
  <si>
    <t>Employee_64</t>
  </si>
  <si>
    <t>Employee_65</t>
  </si>
  <si>
    <t>Employee_66</t>
  </si>
  <si>
    <t>Employee_67</t>
  </si>
  <si>
    <t>Employee_68</t>
  </si>
  <si>
    <t>Employee_69</t>
  </si>
  <si>
    <t>Employee_70</t>
  </si>
  <si>
    <t>Employee_71</t>
  </si>
  <si>
    <t>Employee_72</t>
  </si>
  <si>
    <t>Employee_73</t>
  </si>
  <si>
    <t>Employee_74</t>
  </si>
  <si>
    <t>Employee_75</t>
  </si>
  <si>
    <t>Employee_76</t>
  </si>
  <si>
    <t>Employee_77</t>
  </si>
  <si>
    <t>Employee_78</t>
  </si>
  <si>
    <t>Employee_79</t>
  </si>
  <si>
    <t>Employee_80</t>
  </si>
  <si>
    <t>Employee_81</t>
  </si>
  <si>
    <t>Employee_82</t>
  </si>
  <si>
    <t>Employee_83</t>
  </si>
  <si>
    <t>Employee_84</t>
  </si>
  <si>
    <t>Employee_85</t>
  </si>
  <si>
    <t>Employee_86</t>
  </si>
  <si>
    <t>Employee_87</t>
  </si>
  <si>
    <t>Employee_88</t>
  </si>
  <si>
    <t>Employee_89</t>
  </si>
  <si>
    <t>Employee_90</t>
  </si>
  <si>
    <t>Employee_91</t>
  </si>
  <si>
    <t>Employee_92</t>
  </si>
  <si>
    <t>Employee_93</t>
  </si>
  <si>
    <t>Employee_94</t>
  </si>
  <si>
    <t>Employee_95</t>
  </si>
  <si>
    <t>Employee_96</t>
  </si>
  <si>
    <t>Employee_97</t>
  </si>
  <si>
    <t>Employee_98</t>
  </si>
  <si>
    <t>Employee_99</t>
  </si>
  <si>
    <t>Employee_100</t>
  </si>
  <si>
    <t>Employee_101</t>
  </si>
  <si>
    <t>Employee_102</t>
  </si>
  <si>
    <t>Employee_103</t>
  </si>
  <si>
    <t>Employee_104</t>
  </si>
  <si>
    <t>Employee_105</t>
  </si>
  <si>
    <t>Employee_106</t>
  </si>
  <si>
    <t>Employee_107</t>
  </si>
  <si>
    <t>Employee_108</t>
  </si>
  <si>
    <t>Employee_109</t>
  </si>
  <si>
    <t>Employee_110</t>
  </si>
  <si>
    <t>Employee_111</t>
  </si>
  <si>
    <t>Employee_112</t>
  </si>
  <si>
    <t>Employee_113</t>
  </si>
  <si>
    <t>Employee_114</t>
  </si>
  <si>
    <t>Employee_115</t>
  </si>
  <si>
    <t>Employee_116</t>
  </si>
  <si>
    <t>Employee_117</t>
  </si>
  <si>
    <t>Employee_118</t>
  </si>
  <si>
    <t>Employee_119</t>
  </si>
  <si>
    <t>Employee_120</t>
  </si>
  <si>
    <t>Employee_121</t>
  </si>
  <si>
    <t>Employee_122</t>
  </si>
  <si>
    <t>Employee_123</t>
  </si>
  <si>
    <t>Employee_124</t>
  </si>
  <si>
    <t>Employee_125</t>
  </si>
  <si>
    <t>Employee_126</t>
  </si>
  <si>
    <t>Employee_127</t>
  </si>
  <si>
    <t>Employee_128</t>
  </si>
  <si>
    <t>Employee_129</t>
  </si>
  <si>
    <t>Employee_130</t>
  </si>
  <si>
    <t>Employee_131</t>
  </si>
  <si>
    <t>Employee_132</t>
  </si>
  <si>
    <t>Employee_133</t>
  </si>
  <si>
    <t>Employee_134</t>
  </si>
  <si>
    <t>Employee_135</t>
  </si>
  <si>
    <t>Employee_136</t>
  </si>
  <si>
    <t>Employee_137</t>
  </si>
  <si>
    <t>Employee_138</t>
  </si>
  <si>
    <t>Employee_139</t>
  </si>
  <si>
    <t>Employee_140</t>
  </si>
  <si>
    <t>Employee_141</t>
  </si>
  <si>
    <t>Employee_142</t>
  </si>
  <si>
    <t>Employee_143</t>
  </si>
  <si>
    <t>Employee_144</t>
  </si>
  <si>
    <t>Employee_145</t>
  </si>
  <si>
    <t>Employee_146</t>
  </si>
  <si>
    <t>Employee_147</t>
  </si>
  <si>
    <t>Employee_148</t>
  </si>
  <si>
    <t>Employee_149</t>
  </si>
  <si>
    <t>Employee_150</t>
  </si>
  <si>
    <t>Employee_151</t>
  </si>
  <si>
    <t>Employee_152</t>
  </si>
  <si>
    <t>Employee_153</t>
  </si>
  <si>
    <t>Employee_154</t>
  </si>
  <si>
    <t>Employee_155</t>
  </si>
  <si>
    <t>Employee_156</t>
  </si>
  <si>
    <t>Employee_157</t>
  </si>
  <si>
    <t>Employee_158</t>
  </si>
  <si>
    <t>Employee_159</t>
  </si>
  <si>
    <t>Employee_160</t>
  </si>
  <si>
    <t>Employee_161</t>
  </si>
  <si>
    <t>Employee_162</t>
  </si>
  <si>
    <t>Employee_163</t>
  </si>
  <si>
    <t>Employee_164</t>
  </si>
  <si>
    <t>Employee_165</t>
  </si>
  <si>
    <t>Employee_166</t>
  </si>
  <si>
    <t>Employee_167</t>
  </si>
  <si>
    <t>Employee_168</t>
  </si>
  <si>
    <t>Employee_169</t>
  </si>
  <si>
    <t>Employee_170</t>
  </si>
  <si>
    <t>Employee_171</t>
  </si>
  <si>
    <t>Employee_172</t>
  </si>
  <si>
    <t>Employee_173</t>
  </si>
  <si>
    <t>Employee_174</t>
  </si>
  <si>
    <t>Employee_175</t>
  </si>
  <si>
    <t>Employee_176</t>
  </si>
  <si>
    <t>Employee_177</t>
  </si>
  <si>
    <t>Employee_178</t>
  </si>
  <si>
    <t>Employee_179</t>
  </si>
  <si>
    <t>Employee_180</t>
  </si>
  <si>
    <t>Employee_181</t>
  </si>
  <si>
    <t>Employee_182</t>
  </si>
  <si>
    <t>Employee_183</t>
  </si>
  <si>
    <t>Employee_184</t>
  </si>
  <si>
    <t>Employee_185</t>
  </si>
  <si>
    <t>Employee_186</t>
  </si>
  <si>
    <t>Employee_187</t>
  </si>
  <si>
    <t>Employee_188</t>
  </si>
  <si>
    <t>Employee_189</t>
  </si>
  <si>
    <t>Employee_190</t>
  </si>
  <si>
    <t>Employee_191</t>
  </si>
  <si>
    <t>Employee_192</t>
  </si>
  <si>
    <t>Employee_193</t>
  </si>
  <si>
    <t>Employee_194</t>
  </si>
  <si>
    <t>Employee_195</t>
  </si>
  <si>
    <t>Employee_196</t>
  </si>
  <si>
    <t>Employee_197</t>
  </si>
  <si>
    <t>Employee_198</t>
  </si>
  <si>
    <t>Employee_199</t>
  </si>
  <si>
    <t>Employee_200</t>
  </si>
  <si>
    <t>Employee_201</t>
  </si>
  <si>
    <t>Employee_202</t>
  </si>
  <si>
    <t>Employee_203</t>
  </si>
  <si>
    <t>Employee_204</t>
  </si>
  <si>
    <t>Employee_205</t>
  </si>
  <si>
    <t>Employee_206</t>
  </si>
  <si>
    <t>Employee_207</t>
  </si>
  <si>
    <t>Employee_208</t>
  </si>
  <si>
    <t>Employee_209</t>
  </si>
  <si>
    <t>Employee_210</t>
  </si>
  <si>
    <t>Employee_211</t>
  </si>
  <si>
    <t>Employee_212</t>
  </si>
  <si>
    <t>Employee_213</t>
  </si>
  <si>
    <t>Employee_214</t>
  </si>
  <si>
    <t>Employee_215</t>
  </si>
  <si>
    <t>Employee_216</t>
  </si>
  <si>
    <t>Employee_217</t>
  </si>
  <si>
    <t>Employee_218</t>
  </si>
  <si>
    <t>Employee_219</t>
  </si>
  <si>
    <t>Employee_220</t>
  </si>
  <si>
    <t>Employee_221</t>
  </si>
  <si>
    <t>Employee_222</t>
  </si>
  <si>
    <t>Employee_223</t>
  </si>
  <si>
    <t>Employee_224</t>
  </si>
  <si>
    <t>Employee_225</t>
  </si>
  <si>
    <t>Employee_226</t>
  </si>
  <si>
    <t>Employee_227</t>
  </si>
  <si>
    <t>Employee_228</t>
  </si>
  <si>
    <t>Employee_229</t>
  </si>
  <si>
    <t>Employee_230</t>
  </si>
  <si>
    <t>Employee_231</t>
  </si>
  <si>
    <t>Employee_232</t>
  </si>
  <si>
    <t>Employee_233</t>
  </si>
  <si>
    <t>Employee_234</t>
  </si>
  <si>
    <t>Employee_235</t>
  </si>
  <si>
    <t>Employee_236</t>
  </si>
  <si>
    <t>Employee_237</t>
  </si>
  <si>
    <t>Employee_238</t>
  </si>
  <si>
    <t>Employee_239</t>
  </si>
  <si>
    <t>Employee_240</t>
  </si>
  <si>
    <t>Employee_241</t>
  </si>
  <si>
    <t>Employee_242</t>
  </si>
  <si>
    <t>Employee_243</t>
  </si>
  <si>
    <t>Employee_244</t>
  </si>
  <si>
    <t>Employee_245</t>
  </si>
  <si>
    <t>Employee_246</t>
  </si>
  <si>
    <t>Employee_247</t>
  </si>
  <si>
    <t>Employee_248</t>
  </si>
  <si>
    <t>Employee_249</t>
  </si>
  <si>
    <t>Employee_250</t>
  </si>
  <si>
    <t>Employee_251</t>
  </si>
  <si>
    <t>Employee_252</t>
  </si>
  <si>
    <t>Employee_253</t>
  </si>
  <si>
    <t>Employee_254</t>
  </si>
  <si>
    <t>Employee_255</t>
  </si>
  <si>
    <t>Employee_256</t>
  </si>
  <si>
    <t>Employee_257</t>
  </si>
  <si>
    <t>Employee_258</t>
  </si>
  <si>
    <t>Employee_259</t>
  </si>
  <si>
    <t>Employee_260</t>
  </si>
  <si>
    <t>Employee_261</t>
  </si>
  <si>
    <t>Employee_262</t>
  </si>
  <si>
    <t>Employee_263</t>
  </si>
  <si>
    <t>Employee_264</t>
  </si>
  <si>
    <t>Employee_265</t>
  </si>
  <si>
    <t>Employee_266</t>
  </si>
  <si>
    <t>Employee_267</t>
  </si>
  <si>
    <t>Employee_268</t>
  </si>
  <si>
    <t>Employee_269</t>
  </si>
  <si>
    <t>Employee_270</t>
  </si>
  <si>
    <t>Employee_271</t>
  </si>
  <si>
    <t>Employee_272</t>
  </si>
  <si>
    <t>Employee_273</t>
  </si>
  <si>
    <t>Employee_274</t>
  </si>
  <si>
    <t>Employee_275</t>
  </si>
  <si>
    <t>Employee_276</t>
  </si>
  <si>
    <t>Employee_277</t>
  </si>
  <si>
    <t>Employee_278</t>
  </si>
  <si>
    <t>Employee_279</t>
  </si>
  <si>
    <t>Employee_280</t>
  </si>
  <si>
    <t>Employee_281</t>
  </si>
  <si>
    <t>Employee_282</t>
  </si>
  <si>
    <t>Employee_283</t>
  </si>
  <si>
    <t>Employee_284</t>
  </si>
  <si>
    <t>Employee_285</t>
  </si>
  <si>
    <t>Employee_286</t>
  </si>
  <si>
    <t>Employee_287</t>
  </si>
  <si>
    <t>Employee_288</t>
  </si>
  <si>
    <t>Employee_289</t>
  </si>
  <si>
    <t>Employee_290</t>
  </si>
  <si>
    <t>Employee_291</t>
  </si>
  <si>
    <t>Employee_292</t>
  </si>
  <si>
    <t>Employee_293</t>
  </si>
  <si>
    <t>Employee_294</t>
  </si>
  <si>
    <t>Employee_295</t>
  </si>
  <si>
    <t>Employee_296</t>
  </si>
  <si>
    <t>Employee_297</t>
  </si>
  <si>
    <t>Employee_298</t>
  </si>
  <si>
    <t>Employee_299</t>
  </si>
  <si>
    <t>Employee_300</t>
  </si>
  <si>
    <t>Employee_301</t>
  </si>
  <si>
    <t>Employee_302</t>
  </si>
  <si>
    <t>Employee_303</t>
  </si>
  <si>
    <t>Employee_304</t>
  </si>
  <si>
    <t>Employee_305</t>
  </si>
  <si>
    <t>Employee_306</t>
  </si>
  <si>
    <t>Employee_307</t>
  </si>
  <si>
    <t>Employee_308</t>
  </si>
  <si>
    <t>Employee_309</t>
  </si>
  <si>
    <t>Employee_310</t>
  </si>
  <si>
    <t>Employee_311</t>
  </si>
  <si>
    <t>Employee_312</t>
  </si>
  <si>
    <t>Employee_313</t>
  </si>
  <si>
    <t>Employee_314</t>
  </si>
  <si>
    <t>Employee_315</t>
  </si>
  <si>
    <t>Employee_316</t>
  </si>
  <si>
    <t>Employee_317</t>
  </si>
  <si>
    <t>Employee_318</t>
  </si>
  <si>
    <t>Employee_319</t>
  </si>
  <si>
    <t>Employee_320</t>
  </si>
  <si>
    <t>Employee_321</t>
  </si>
  <si>
    <t>Employee_322</t>
  </si>
  <si>
    <t>Employee_323</t>
  </si>
  <si>
    <t>Employee_324</t>
  </si>
  <si>
    <t>Employee_325</t>
  </si>
  <si>
    <t>Employee_326</t>
  </si>
  <si>
    <t>Employee_327</t>
  </si>
  <si>
    <t>Employee_328</t>
  </si>
  <si>
    <t>Employee_329</t>
  </si>
  <si>
    <t>Employee_330</t>
  </si>
  <si>
    <t>Employee_331</t>
  </si>
  <si>
    <t>Employee_332</t>
  </si>
  <si>
    <t>Employee_333</t>
  </si>
  <si>
    <t>Employee_334</t>
  </si>
  <si>
    <t>Employee_335</t>
  </si>
  <si>
    <t>Employee_336</t>
  </si>
  <si>
    <t>Employee_337</t>
  </si>
  <si>
    <t>Employee_338</t>
  </si>
  <si>
    <t>Employee_339</t>
  </si>
  <si>
    <t>Employee_340</t>
  </si>
  <si>
    <t>Employee_341</t>
  </si>
  <si>
    <t>Employee_342</t>
  </si>
  <si>
    <t>Employee_343</t>
  </si>
  <si>
    <t>Employee_344</t>
  </si>
  <si>
    <t>Employee_345</t>
  </si>
  <si>
    <t>Employee_346</t>
  </si>
  <si>
    <t>Employee_347</t>
  </si>
  <si>
    <t>Employee_348</t>
  </si>
  <si>
    <t>Employee_349</t>
  </si>
  <si>
    <t>Employee_350</t>
  </si>
  <si>
    <t>Employee_351</t>
  </si>
  <si>
    <t>Employee_352</t>
  </si>
  <si>
    <t>Employee_353</t>
  </si>
  <si>
    <t>Employee_354</t>
  </si>
  <si>
    <t>Employee_355</t>
  </si>
  <si>
    <t>Employee_356</t>
  </si>
  <si>
    <t>Employee_357</t>
  </si>
  <si>
    <t>Employee_358</t>
  </si>
  <si>
    <t>Employee_359</t>
  </si>
  <si>
    <t>Employee_360</t>
  </si>
  <si>
    <t>Employee_361</t>
  </si>
  <si>
    <t>Employee_362</t>
  </si>
  <si>
    <t>Employee_363</t>
  </si>
  <si>
    <t>Employee_364</t>
  </si>
  <si>
    <t>Employee_365</t>
  </si>
  <si>
    <t>Employee_366</t>
  </si>
  <si>
    <t>Employee_367</t>
  </si>
  <si>
    <t>Employee_368</t>
  </si>
  <si>
    <t>Employee_369</t>
  </si>
  <si>
    <t>Employee_370</t>
  </si>
  <si>
    <t>Employee_371</t>
  </si>
  <si>
    <t>Employee_372</t>
  </si>
  <si>
    <t>Employee_373</t>
  </si>
  <si>
    <t>Employee_374</t>
  </si>
  <si>
    <t>Employee_375</t>
  </si>
  <si>
    <t>Employee_376</t>
  </si>
  <si>
    <t>Employee_377</t>
  </si>
  <si>
    <t>Employee_378</t>
  </si>
  <si>
    <t>Employee_379</t>
  </si>
  <si>
    <t>Employee_380</t>
  </si>
  <si>
    <t>Employee_381</t>
  </si>
  <si>
    <t>Employee_382</t>
  </si>
  <si>
    <t>Employee_383</t>
  </si>
  <si>
    <t>Employee_384</t>
  </si>
  <si>
    <t>Employee_385</t>
  </si>
  <si>
    <t>Employee_386</t>
  </si>
  <si>
    <t>Employee_387</t>
  </si>
  <si>
    <t>Employee_388</t>
  </si>
  <si>
    <t>Employee_389</t>
  </si>
  <si>
    <t>Employee_390</t>
  </si>
  <si>
    <t>Employee_391</t>
  </si>
  <si>
    <t>Employee_392</t>
  </si>
  <si>
    <t>Employee_393</t>
  </si>
  <si>
    <t>Employee_394</t>
  </si>
  <si>
    <t>Employee_395</t>
  </si>
  <si>
    <t>Employee_396</t>
  </si>
  <si>
    <t>Employee_397</t>
  </si>
  <si>
    <t>Employee_398</t>
  </si>
  <si>
    <t>Employee_399</t>
  </si>
  <si>
    <t>Employee_400</t>
  </si>
  <si>
    <t>Employee_401</t>
  </si>
  <si>
    <t>Employee_402</t>
  </si>
  <si>
    <t>Employee_403</t>
  </si>
  <si>
    <t>Employee_404</t>
  </si>
  <si>
    <t>Employee_405</t>
  </si>
  <si>
    <t>Employee_406</t>
  </si>
  <si>
    <t>Employee_407</t>
  </si>
  <si>
    <t>Employee_408</t>
  </si>
  <si>
    <t>Employee_409</t>
  </si>
  <si>
    <t>Employee_410</t>
  </si>
  <si>
    <t>Employee_411</t>
  </si>
  <si>
    <t>Employee_412</t>
  </si>
  <si>
    <t>Employee_413</t>
  </si>
  <si>
    <t>Employee_414</t>
  </si>
  <si>
    <t>Employee_415</t>
  </si>
  <si>
    <t>Employee_416</t>
  </si>
  <si>
    <t>Employee_417</t>
  </si>
  <si>
    <t>Employee_418</t>
  </si>
  <si>
    <t>Employee_419</t>
  </si>
  <si>
    <t>Employee_420</t>
  </si>
  <si>
    <t>Employee_421</t>
  </si>
  <si>
    <t>Employee_422</t>
  </si>
  <si>
    <t>Employee_423</t>
  </si>
  <si>
    <t>Employee_424</t>
  </si>
  <si>
    <t>Employee_425</t>
  </si>
  <si>
    <t>Employee_426</t>
  </si>
  <si>
    <t>Employee_427</t>
  </si>
  <si>
    <t>Employee_428</t>
  </si>
  <si>
    <t>Employee_429</t>
  </si>
  <si>
    <t>Employee_430</t>
  </si>
  <si>
    <t>Employee_431</t>
  </si>
  <si>
    <t>Employee_432</t>
  </si>
  <si>
    <t>Employee_433</t>
  </si>
  <si>
    <t>Employee_434</t>
  </si>
  <si>
    <t>Employee_435</t>
  </si>
  <si>
    <t>Employee_436</t>
  </si>
  <si>
    <t>Employee_437</t>
  </si>
  <si>
    <t>Employee_438</t>
  </si>
  <si>
    <t>Employee_439</t>
  </si>
  <si>
    <t>Employee_440</t>
  </si>
  <si>
    <t>Employee_441</t>
  </si>
  <si>
    <t>Employee_442</t>
  </si>
  <si>
    <t>Employee_443</t>
  </si>
  <si>
    <t>Employee_444</t>
  </si>
  <si>
    <t>Employee_445</t>
  </si>
  <si>
    <t>Employee_446</t>
  </si>
  <si>
    <t>Employee_447</t>
  </si>
  <si>
    <t>Employee_448</t>
  </si>
  <si>
    <t>Employee_449</t>
  </si>
  <si>
    <t>Employee_450</t>
  </si>
  <si>
    <t>Employee_451</t>
  </si>
  <si>
    <t>Employee_452</t>
  </si>
  <si>
    <t>Employee_453</t>
  </si>
  <si>
    <t>Employee_454</t>
  </si>
  <si>
    <t>Employee_455</t>
  </si>
  <si>
    <t>Employee_456</t>
  </si>
  <si>
    <t>Employee_457</t>
  </si>
  <si>
    <t>Employee_458</t>
  </si>
  <si>
    <t>Employee_459</t>
  </si>
  <si>
    <t>Employee_460</t>
  </si>
  <si>
    <t>Employee_461</t>
  </si>
  <si>
    <t>Employee_462</t>
  </si>
  <si>
    <t>Employee_463</t>
  </si>
  <si>
    <t>Employee_464</t>
  </si>
  <si>
    <t>Employee_465</t>
  </si>
  <si>
    <t>Employee_466</t>
  </si>
  <si>
    <t>Employee_467</t>
  </si>
  <si>
    <t>Employee_468</t>
  </si>
  <si>
    <t>Employee_469</t>
  </si>
  <si>
    <t>Employee_470</t>
  </si>
  <si>
    <t>Employee_471</t>
  </si>
  <si>
    <t>Employee_472</t>
  </si>
  <si>
    <t>Employee_473</t>
  </si>
  <si>
    <t>Employee_474</t>
  </si>
  <si>
    <t>Employee_475</t>
  </si>
  <si>
    <t>Employee_476</t>
  </si>
  <si>
    <t>Employee_477</t>
  </si>
  <si>
    <t>Employee_478</t>
  </si>
  <si>
    <t>Employee_479</t>
  </si>
  <si>
    <t>Employee_480</t>
  </si>
  <si>
    <t>Employee_481</t>
  </si>
  <si>
    <t>Employee_482</t>
  </si>
  <si>
    <t>Employee_483</t>
  </si>
  <si>
    <t>Employee_484</t>
  </si>
  <si>
    <t>Employee_485</t>
  </si>
  <si>
    <t>Employee_486</t>
  </si>
  <si>
    <t>Employee_487</t>
  </si>
  <si>
    <t>Employee_488</t>
  </si>
  <si>
    <t>Employee_489</t>
  </si>
  <si>
    <t>Employee_490</t>
  </si>
  <si>
    <t>Employee_491</t>
  </si>
  <si>
    <t>Employee_492</t>
  </si>
  <si>
    <t>Employee_493</t>
  </si>
  <si>
    <t>Employee_494</t>
  </si>
  <si>
    <t>Employee_495</t>
  </si>
  <si>
    <t>Employee_496</t>
  </si>
  <si>
    <t>Employee_497</t>
  </si>
  <si>
    <t>Employee_498</t>
  </si>
  <si>
    <t>Employee_499</t>
  </si>
  <si>
    <t>Employee_500</t>
  </si>
  <si>
    <t>Department</t>
  </si>
  <si>
    <t>Finance</t>
  </si>
  <si>
    <t>Operations</t>
  </si>
  <si>
    <t>Sales</t>
  </si>
  <si>
    <t>IT</t>
  </si>
  <si>
    <t>HR</t>
  </si>
  <si>
    <t>1/13/2020</t>
  </si>
  <si>
    <t>1/14/2020</t>
  </si>
  <si>
    <t>1/15/2020</t>
  </si>
  <si>
    <t>1/16/2020</t>
  </si>
  <si>
    <t>1/17/2020</t>
  </si>
  <si>
    <t>1/18/2020</t>
  </si>
  <si>
    <t>1/19/2020</t>
  </si>
  <si>
    <t>1/20/2020</t>
  </si>
  <si>
    <t>1/21/2020</t>
  </si>
  <si>
    <t>1/22/2020</t>
  </si>
  <si>
    <t>1/23/2020</t>
  </si>
  <si>
    <t>1/24/2020</t>
  </si>
  <si>
    <t>1/25/2020</t>
  </si>
  <si>
    <t>1/26/2020</t>
  </si>
  <si>
    <t>1/27/2020</t>
  </si>
  <si>
    <t>1/28/2020</t>
  </si>
  <si>
    <t>1/29/2020</t>
  </si>
  <si>
    <t>1/30/2020</t>
  </si>
  <si>
    <t>1/31/2020</t>
  </si>
  <si>
    <t>2/13/2020</t>
  </si>
  <si>
    <t>2/14/2020</t>
  </si>
  <si>
    <t>2/15/2020</t>
  </si>
  <si>
    <t>2/16/2020</t>
  </si>
  <si>
    <t>2/17/2020</t>
  </si>
  <si>
    <t>2/18/2020</t>
  </si>
  <si>
    <t>2/19/2020</t>
  </si>
  <si>
    <t>2/20/2020</t>
  </si>
  <si>
    <t>2/21/2020</t>
  </si>
  <si>
    <t>2/22/2020</t>
  </si>
  <si>
    <t>2/23/2020</t>
  </si>
  <si>
    <t>2/24/2020</t>
  </si>
  <si>
    <t>2/25/2020</t>
  </si>
  <si>
    <t>2/26/2020</t>
  </si>
  <si>
    <t>2/27/2020</t>
  </si>
  <si>
    <t>2/28/2020</t>
  </si>
  <si>
    <t>2/29/2020</t>
  </si>
  <si>
    <t>3/13/2020</t>
  </si>
  <si>
    <t>3/14/2020</t>
  </si>
  <si>
    <t>3/15/2020</t>
  </si>
  <si>
    <t>3/16/2020</t>
  </si>
  <si>
    <t>3/17/2020</t>
  </si>
  <si>
    <t>3/18/2020</t>
  </si>
  <si>
    <t>3/19/2020</t>
  </si>
  <si>
    <t>3/20/2020</t>
  </si>
  <si>
    <t>3/21/2020</t>
  </si>
  <si>
    <t>3/22/2020</t>
  </si>
  <si>
    <t>3/23/2020</t>
  </si>
  <si>
    <t>3/24/2020</t>
  </si>
  <si>
    <t>3/25/2020</t>
  </si>
  <si>
    <t>3/26/2020</t>
  </si>
  <si>
    <t>3/27/2020</t>
  </si>
  <si>
    <t>3/28/2020</t>
  </si>
  <si>
    <t>3/29/2020</t>
  </si>
  <si>
    <t>3/30/2020</t>
  </si>
  <si>
    <t>3/31/2020</t>
  </si>
  <si>
    <t>4/13/2020</t>
  </si>
  <si>
    <t>4/14/2020</t>
  </si>
  <si>
    <t>4/15/2020</t>
  </si>
  <si>
    <t>4/16/2020</t>
  </si>
  <si>
    <t>4/17/2020</t>
  </si>
  <si>
    <t>4/18/2020</t>
  </si>
  <si>
    <t>4/19/2020</t>
  </si>
  <si>
    <t>4/20/2020</t>
  </si>
  <si>
    <t>4/21/2020</t>
  </si>
  <si>
    <t>4/22/2020</t>
  </si>
  <si>
    <t>4/23/2020</t>
  </si>
  <si>
    <t>4/24/2020</t>
  </si>
  <si>
    <t>4/25/2020</t>
  </si>
  <si>
    <t>4/26/2020</t>
  </si>
  <si>
    <t>4/27/2020</t>
  </si>
  <si>
    <t>4/28/2020</t>
  </si>
  <si>
    <t>4/29/2020</t>
  </si>
  <si>
    <t>4/30/2020</t>
  </si>
  <si>
    <t>5/13/2020</t>
  </si>
  <si>
    <t>5/14/2020</t>
  </si>
  <si>
    <t>5/15/2020</t>
  </si>
  <si>
    <t>5/16/2020</t>
  </si>
  <si>
    <t>5/17/2020</t>
  </si>
  <si>
    <t>5/18/2020</t>
  </si>
  <si>
    <t>5/19/2020</t>
  </si>
  <si>
    <t>5/20/2020</t>
  </si>
  <si>
    <t>5/21/2020</t>
  </si>
  <si>
    <t>5/22/2020</t>
  </si>
  <si>
    <t>5/23/2020</t>
  </si>
  <si>
    <t>5/24/2020</t>
  </si>
  <si>
    <t>5/25/2020</t>
  </si>
  <si>
    <t>5/26/2020</t>
  </si>
  <si>
    <t>5/27/2020</t>
  </si>
  <si>
    <t>5/28/2020</t>
  </si>
  <si>
    <t>5/29/2020</t>
  </si>
  <si>
    <t>5/30/2020</t>
  </si>
  <si>
    <t>5/31/2020</t>
  </si>
  <si>
    <t>6/13/2020</t>
  </si>
  <si>
    <t>6/14/2020</t>
  </si>
  <si>
    <t>6/15/2020</t>
  </si>
  <si>
    <t>6/16/2020</t>
  </si>
  <si>
    <t>6/17/2020</t>
  </si>
  <si>
    <t>6/18/2020</t>
  </si>
  <si>
    <t>6/19/2020</t>
  </si>
  <si>
    <t>6/20/2020</t>
  </si>
  <si>
    <t>6/21/2020</t>
  </si>
  <si>
    <t>6/22/2020</t>
  </si>
  <si>
    <t>6/23/2020</t>
  </si>
  <si>
    <t>6/24/2020</t>
  </si>
  <si>
    <t>6/25/2020</t>
  </si>
  <si>
    <t>6/26/2020</t>
  </si>
  <si>
    <t>6/27/2020</t>
  </si>
  <si>
    <t>6/28/2020</t>
  </si>
  <si>
    <t>6/29/2020</t>
  </si>
  <si>
    <t>6/30/2020</t>
  </si>
  <si>
    <t>7/13/2020</t>
  </si>
  <si>
    <t>7/14/2020</t>
  </si>
  <si>
    <t>7/15/2020</t>
  </si>
  <si>
    <t>7/16/2020</t>
  </si>
  <si>
    <t>7/17/2020</t>
  </si>
  <si>
    <t>7/18/2020</t>
  </si>
  <si>
    <t>7/19/2020</t>
  </si>
  <si>
    <t>7/20/2020</t>
  </si>
  <si>
    <t>7/21/2020</t>
  </si>
  <si>
    <t>7/22/2020</t>
  </si>
  <si>
    <t>7/23/2020</t>
  </si>
  <si>
    <t>7/24/2020</t>
  </si>
  <si>
    <t>7/25/2020</t>
  </si>
  <si>
    <t>7/26/2020</t>
  </si>
  <si>
    <t>7/27/2020</t>
  </si>
  <si>
    <t>7/28/2020</t>
  </si>
  <si>
    <t>7/29/2020</t>
  </si>
  <si>
    <t>7/30/2020</t>
  </si>
  <si>
    <t>7/31/2020</t>
  </si>
  <si>
    <t>8/13/2020</t>
  </si>
  <si>
    <t>8/14/2020</t>
  </si>
  <si>
    <t>8/15/2020</t>
  </si>
  <si>
    <t>8/16/2020</t>
  </si>
  <si>
    <t>8/17/2020</t>
  </si>
  <si>
    <t>8/18/2020</t>
  </si>
  <si>
    <t>8/19/2020</t>
  </si>
  <si>
    <t>8/20/2020</t>
  </si>
  <si>
    <t>8/21/2020</t>
  </si>
  <si>
    <t>8/22/2020</t>
  </si>
  <si>
    <t>8/23/2020</t>
  </si>
  <si>
    <t>8/24/2020</t>
  </si>
  <si>
    <t>8/25/2020</t>
  </si>
  <si>
    <t>8/26/2020</t>
  </si>
  <si>
    <t>8/27/2020</t>
  </si>
  <si>
    <t>8/28/2020</t>
  </si>
  <si>
    <t>8/29/2020</t>
  </si>
  <si>
    <t>8/30/2020</t>
  </si>
  <si>
    <t>8/31/2020</t>
  </si>
  <si>
    <t>9/13/2020</t>
  </si>
  <si>
    <t>9/14/2020</t>
  </si>
  <si>
    <t>9/15/2020</t>
  </si>
  <si>
    <t>9/16/2020</t>
  </si>
  <si>
    <t>9/17/2020</t>
  </si>
  <si>
    <t>9/18/2020</t>
  </si>
  <si>
    <t>9/19/2020</t>
  </si>
  <si>
    <t>9/20/2020</t>
  </si>
  <si>
    <t>9/21/2020</t>
  </si>
  <si>
    <t>9/22/2020</t>
  </si>
  <si>
    <t>9/23/2020</t>
  </si>
  <si>
    <t>9/24/2020</t>
  </si>
  <si>
    <t>9/25/2020</t>
  </si>
  <si>
    <t>9/26/2020</t>
  </si>
  <si>
    <t>9/27/2020</t>
  </si>
  <si>
    <t>9/28/2020</t>
  </si>
  <si>
    <t>9/29/2020</t>
  </si>
  <si>
    <t>9/30/2020</t>
  </si>
  <si>
    <t>10/13/2020</t>
  </si>
  <si>
    <t>10/14/2020</t>
  </si>
  <si>
    <t>10/15/2020</t>
  </si>
  <si>
    <t>10/16/2020</t>
  </si>
  <si>
    <t>10/17/2020</t>
  </si>
  <si>
    <t>10/18/2020</t>
  </si>
  <si>
    <t>10/19/2020</t>
  </si>
  <si>
    <t>10/20/2020</t>
  </si>
  <si>
    <t>10/21/2020</t>
  </si>
  <si>
    <t>10/22/2020</t>
  </si>
  <si>
    <t>10/23/2020</t>
  </si>
  <si>
    <t>10/24/2020</t>
  </si>
  <si>
    <t>10/25/2020</t>
  </si>
  <si>
    <t>10/26/2020</t>
  </si>
  <si>
    <t>10/27/2020</t>
  </si>
  <si>
    <t>10/28/2020</t>
  </si>
  <si>
    <t>10/29/2020</t>
  </si>
  <si>
    <t>10/30/2020</t>
  </si>
  <si>
    <t>10/31/2020</t>
  </si>
  <si>
    <t>11/13/2020</t>
  </si>
  <si>
    <t>11/14/2020</t>
  </si>
  <si>
    <t>11/15/2020</t>
  </si>
  <si>
    <t>11/16/2020</t>
  </si>
  <si>
    <t>11/17/2020</t>
  </si>
  <si>
    <t>11/18/2020</t>
  </si>
  <si>
    <t>11/19/2020</t>
  </si>
  <si>
    <t>11/20/2020</t>
  </si>
  <si>
    <t>11/21/2020</t>
  </si>
  <si>
    <t>11/22/2020</t>
  </si>
  <si>
    <t>11/23/2020</t>
  </si>
  <si>
    <t>11/24/2020</t>
  </si>
  <si>
    <t>11/25/2020</t>
  </si>
  <si>
    <t>11/26/2020</t>
  </si>
  <si>
    <t>11/27/2020</t>
  </si>
  <si>
    <t>11/28/2020</t>
  </si>
  <si>
    <t>11/29/2020</t>
  </si>
  <si>
    <t>11/30/2020</t>
  </si>
  <si>
    <t>12/13/2020</t>
  </si>
  <si>
    <t>12/14/2020</t>
  </si>
  <si>
    <t>12/15/2020</t>
  </si>
  <si>
    <t>12/16/2020</t>
  </si>
  <si>
    <t>12/17/2020</t>
  </si>
  <si>
    <t>12/18/2020</t>
  </si>
  <si>
    <t>12/19/2020</t>
  </si>
  <si>
    <t>12/20/2020</t>
  </si>
  <si>
    <t>12/21/2020</t>
  </si>
  <si>
    <t>12/22/2020</t>
  </si>
  <si>
    <t>12/23/2020</t>
  </si>
  <si>
    <t>12/24/2020</t>
  </si>
  <si>
    <t>12/25/2020</t>
  </si>
  <si>
    <t>12/26/2020</t>
  </si>
  <si>
    <t>12/27/2020</t>
  </si>
  <si>
    <t>12/28/2020</t>
  </si>
  <si>
    <t>12/29/2020</t>
  </si>
  <si>
    <t>12/30/2020</t>
  </si>
  <si>
    <t>12/31/2020</t>
  </si>
  <si>
    <t>1/13/2021</t>
  </si>
  <si>
    <t>1/14/2021</t>
  </si>
  <si>
    <t>1/15/2021</t>
  </si>
  <si>
    <t>1/16/2021</t>
  </si>
  <si>
    <t>1/17/2021</t>
  </si>
  <si>
    <t>1/18/2021</t>
  </si>
  <si>
    <t>1/19/2021</t>
  </si>
  <si>
    <t>1/20/2021</t>
  </si>
  <si>
    <t>1/21/2021</t>
  </si>
  <si>
    <t>1/22/2021</t>
  </si>
  <si>
    <t>1/23/2021</t>
  </si>
  <si>
    <t>1/24/2021</t>
  </si>
  <si>
    <t>1/25/2021</t>
  </si>
  <si>
    <t>1/26/2021</t>
  </si>
  <si>
    <t>1/27/2021</t>
  </si>
  <si>
    <t>1/28/2021</t>
  </si>
  <si>
    <t>1/29/2021</t>
  </si>
  <si>
    <t>1/30/2021</t>
  </si>
  <si>
    <t>1/31/2021</t>
  </si>
  <si>
    <t>2/13/2021</t>
  </si>
  <si>
    <t>2/14/2021</t>
  </si>
  <si>
    <t>2/15/2021</t>
  </si>
  <si>
    <t>2/16/2021</t>
  </si>
  <si>
    <t>2/17/2021</t>
  </si>
  <si>
    <t>2/18/2021</t>
  </si>
  <si>
    <t>2/19/2021</t>
  </si>
  <si>
    <t>2/20/2021</t>
  </si>
  <si>
    <t>2/21/2021</t>
  </si>
  <si>
    <t>2/22/2021</t>
  </si>
  <si>
    <t>2/23/2021</t>
  </si>
  <si>
    <t>2/24/2021</t>
  </si>
  <si>
    <t>2/25/2021</t>
  </si>
  <si>
    <t>2/26/2021</t>
  </si>
  <si>
    <t>2/27/2021</t>
  </si>
  <si>
    <t>2/28/2021</t>
  </si>
  <si>
    <t>3/13/2021</t>
  </si>
  <si>
    <t>3/14/2021</t>
  </si>
  <si>
    <t>3/15/2021</t>
  </si>
  <si>
    <t>3/16/2021</t>
  </si>
  <si>
    <t>3/17/2021</t>
  </si>
  <si>
    <t>3/18/2021</t>
  </si>
  <si>
    <t>3/19/2021</t>
  </si>
  <si>
    <t>3/20/2021</t>
  </si>
  <si>
    <t>3/21/2021</t>
  </si>
  <si>
    <t>3/22/2021</t>
  </si>
  <si>
    <t>3/23/2021</t>
  </si>
  <si>
    <t>3/24/2021</t>
  </si>
  <si>
    <t>3/25/2021</t>
  </si>
  <si>
    <t>3/26/2021</t>
  </si>
  <si>
    <t>3/27/2021</t>
  </si>
  <si>
    <t>3/28/2021</t>
  </si>
  <si>
    <t>3/29/2021</t>
  </si>
  <si>
    <t>3/30/2021</t>
  </si>
  <si>
    <t>3/31/2021</t>
  </si>
  <si>
    <t>4/13/2021</t>
  </si>
  <si>
    <t>4/14/2021</t>
  </si>
  <si>
    <t>4/15/2021</t>
  </si>
  <si>
    <t>4/16/2021</t>
  </si>
  <si>
    <t>4/17/2021</t>
  </si>
  <si>
    <t>4/18/2021</t>
  </si>
  <si>
    <t>4/19/2021</t>
  </si>
  <si>
    <t>4/20/2021</t>
  </si>
  <si>
    <t>4/21/2021</t>
  </si>
  <si>
    <t>4/22/2021</t>
  </si>
  <si>
    <t>4/23/2021</t>
  </si>
  <si>
    <t>4/24/2021</t>
  </si>
  <si>
    <t>4/25/2021</t>
  </si>
  <si>
    <t>4/26/2021</t>
  </si>
  <si>
    <t>4/27/2021</t>
  </si>
  <si>
    <t>4/28/2021</t>
  </si>
  <si>
    <t>4/29/2021</t>
  </si>
  <si>
    <t>4/30/2021</t>
  </si>
  <si>
    <t>5/13/2021</t>
  </si>
  <si>
    <t>5/14/2021</t>
  </si>
  <si>
    <t>SUB1</t>
  </si>
  <si>
    <t>SUB2</t>
  </si>
  <si>
    <t>SUB3</t>
  </si>
  <si>
    <t>TOTAL</t>
  </si>
  <si>
    <t>MARKS</t>
  </si>
  <si>
    <t>MAX</t>
  </si>
  <si>
    <t>MIN</t>
  </si>
  <si>
    <t xml:space="preserve">AVERAGE </t>
  </si>
  <si>
    <t>COUNT</t>
  </si>
  <si>
    <t>Product _ID</t>
  </si>
  <si>
    <t>Product_name</t>
  </si>
  <si>
    <t>Category</t>
  </si>
  <si>
    <t>Length</t>
  </si>
  <si>
    <t>Price</t>
  </si>
  <si>
    <t>Quantity_Available</t>
  </si>
  <si>
    <t>Rating</t>
  </si>
  <si>
    <t>Seller</t>
  </si>
  <si>
    <t>Apple iPhone 14</t>
  </si>
  <si>
    <t>Samsung Galaxy S23</t>
  </si>
  <si>
    <t>Sony WH-1000XM5</t>
  </si>
  <si>
    <t>Dell XPS 13</t>
  </si>
  <si>
    <t>HP Spectre x360</t>
  </si>
  <si>
    <t>Bose QuietComfort 45</t>
  </si>
  <si>
    <t>Lenovo ThinkPad X1</t>
  </si>
  <si>
    <t>Tech World</t>
  </si>
  <si>
    <t>Gadget Hub</t>
  </si>
  <si>
    <t>Sound Pro</t>
  </si>
  <si>
    <t>Laptop Store</t>
  </si>
  <si>
    <t>HP Store</t>
  </si>
  <si>
    <t>Mobile</t>
  </si>
  <si>
    <t>Headphones</t>
  </si>
  <si>
    <t>Laptop</t>
  </si>
  <si>
    <t>Length2</t>
  </si>
  <si>
    <t>Remove Space</t>
  </si>
  <si>
    <t>Material</t>
  </si>
  <si>
    <t>WH1881NL01         </t>
  </si>
  <si>
    <t>WH10017QM01        </t>
  </si>
  <si>
    <t>WH10017SL01        </t>
  </si>
  <si>
    <t>WH1043NM01         </t>
  </si>
  <si>
    <t>WH1043YL05         </t>
  </si>
  <si>
    <t>WH1043YM01         </t>
  </si>
  <si>
    <t>WH1044YM07         </t>
  </si>
  <si>
    <t>WH15952655WL01     </t>
  </si>
  <si>
    <t>WH1595NL01         </t>
  </si>
  <si>
    <t>WH1595NM01         </t>
  </si>
  <si>
    <t>WH1595SL03         </t>
  </si>
  <si>
    <t>WH1595SL06         </t>
  </si>
  <si>
    <t>WH1595SL505        </t>
  </si>
  <si>
    <t>WH1595WL01         </t>
  </si>
  <si>
    <t>WH1595WL09         </t>
  </si>
  <si>
    <t>WH1595WM01         </t>
  </si>
  <si>
    <t>WH1596NL01         </t>
  </si>
  <si>
    <t>WH1843NM01         </t>
  </si>
  <si>
    <t>WH1843QM02         </t>
  </si>
  <si>
    <t>WH1843WL01         </t>
  </si>
  <si>
    <t>WH2654WM01         </t>
  </si>
  <si>
    <t>Trim</t>
  </si>
  <si>
    <t>length2</t>
  </si>
  <si>
    <t>Length1</t>
  </si>
  <si>
    <t>Newlength</t>
  </si>
  <si>
    <t>substitute func.</t>
  </si>
  <si>
    <t>Product Code</t>
  </si>
  <si>
    <t>Product name</t>
  </si>
  <si>
    <t>Stock</t>
  </si>
  <si>
    <t>P0001</t>
  </si>
  <si>
    <t>P0002</t>
  </si>
  <si>
    <t>P0003</t>
  </si>
  <si>
    <t>P0004</t>
  </si>
  <si>
    <t>P0005</t>
  </si>
  <si>
    <t>P0006</t>
  </si>
  <si>
    <t>P0007</t>
  </si>
  <si>
    <t>P0008</t>
  </si>
  <si>
    <t>P0009</t>
  </si>
  <si>
    <t>P0010</t>
  </si>
  <si>
    <t>P0011</t>
  </si>
  <si>
    <t>P0012</t>
  </si>
  <si>
    <t>P0013</t>
  </si>
  <si>
    <t>P0014</t>
  </si>
  <si>
    <t>P0015</t>
  </si>
  <si>
    <t>P0016</t>
  </si>
  <si>
    <t>P0017</t>
  </si>
  <si>
    <t>P0018</t>
  </si>
  <si>
    <t>P0019</t>
  </si>
  <si>
    <t>P0020</t>
  </si>
  <si>
    <t>P0021</t>
  </si>
  <si>
    <t>P0022</t>
  </si>
  <si>
    <t>P0023</t>
  </si>
  <si>
    <t>P0024</t>
  </si>
  <si>
    <t>P0025</t>
  </si>
  <si>
    <t>P0026</t>
  </si>
  <si>
    <t>P0027</t>
  </si>
  <si>
    <t>P0028</t>
  </si>
  <si>
    <t>P0029</t>
  </si>
  <si>
    <t>P0030</t>
  </si>
  <si>
    <t>P0031</t>
  </si>
  <si>
    <t>P0032</t>
  </si>
  <si>
    <t>P0033</t>
  </si>
  <si>
    <t>P0034</t>
  </si>
  <si>
    <t>P0035</t>
  </si>
  <si>
    <t>P0036</t>
  </si>
  <si>
    <t>P0037</t>
  </si>
  <si>
    <t>P0038</t>
  </si>
  <si>
    <t>P0039</t>
  </si>
  <si>
    <t>P0040</t>
  </si>
  <si>
    <t>P0041</t>
  </si>
  <si>
    <t>P0042</t>
  </si>
  <si>
    <t>P0043</t>
  </si>
  <si>
    <t>P0044</t>
  </si>
  <si>
    <t>P0045</t>
  </si>
  <si>
    <t>P0046</t>
  </si>
  <si>
    <t>P0047</t>
  </si>
  <si>
    <t>P0048</t>
  </si>
  <si>
    <t>P0049</t>
  </si>
  <si>
    <t>P0050</t>
  </si>
  <si>
    <t>P0051</t>
  </si>
  <si>
    <t>P0052</t>
  </si>
  <si>
    <t>P0053</t>
  </si>
  <si>
    <t>P0054</t>
  </si>
  <si>
    <t>P0055</t>
  </si>
  <si>
    <t>P0056</t>
  </si>
  <si>
    <t>P0057</t>
  </si>
  <si>
    <t>P0058</t>
  </si>
  <si>
    <t>P0059</t>
  </si>
  <si>
    <t>P0060</t>
  </si>
  <si>
    <t>P0061</t>
  </si>
  <si>
    <t>P0062</t>
  </si>
  <si>
    <t>P0063</t>
  </si>
  <si>
    <t>P0064</t>
  </si>
  <si>
    <t>P0065</t>
  </si>
  <si>
    <t>P0066</t>
  </si>
  <si>
    <t>P0067</t>
  </si>
  <si>
    <t>P0068</t>
  </si>
  <si>
    <t>P0069</t>
  </si>
  <si>
    <t>P0070</t>
  </si>
  <si>
    <t>P0071</t>
  </si>
  <si>
    <t>P0072</t>
  </si>
  <si>
    <t>P0073</t>
  </si>
  <si>
    <t>P0074</t>
  </si>
  <si>
    <t>P0075</t>
  </si>
  <si>
    <t>P0076</t>
  </si>
  <si>
    <t>P0077</t>
  </si>
  <si>
    <t>P0078</t>
  </si>
  <si>
    <t>P0079</t>
  </si>
  <si>
    <t>P0080</t>
  </si>
  <si>
    <t>P0081</t>
  </si>
  <si>
    <t>P0082</t>
  </si>
  <si>
    <t>P0083</t>
  </si>
  <si>
    <t>P0084</t>
  </si>
  <si>
    <t>P0085</t>
  </si>
  <si>
    <t>P0086</t>
  </si>
  <si>
    <t>P0087</t>
  </si>
  <si>
    <t>P0088</t>
  </si>
  <si>
    <t>P0089</t>
  </si>
  <si>
    <t>P0090</t>
  </si>
  <si>
    <t>P0091</t>
  </si>
  <si>
    <t>P0092</t>
  </si>
  <si>
    <t>P0093</t>
  </si>
  <si>
    <t>P0094</t>
  </si>
  <si>
    <t>P0095</t>
  </si>
  <si>
    <t>P0096</t>
  </si>
  <si>
    <t>P0097</t>
  </si>
  <si>
    <t>P0098</t>
  </si>
  <si>
    <t>P0099</t>
  </si>
  <si>
    <t>P0100</t>
  </si>
  <si>
    <t>P0101</t>
  </si>
  <si>
    <t>P0102</t>
  </si>
  <si>
    <t>P0103</t>
  </si>
  <si>
    <t>P0104</t>
  </si>
  <si>
    <t>P0105</t>
  </si>
  <si>
    <t>P0106</t>
  </si>
  <si>
    <t>P0107</t>
  </si>
  <si>
    <t>P0108</t>
  </si>
  <si>
    <t>P0109</t>
  </si>
  <si>
    <t>P0110</t>
  </si>
  <si>
    <t>P0111</t>
  </si>
  <si>
    <t>P0112</t>
  </si>
  <si>
    <t>P0113</t>
  </si>
  <si>
    <t>P0114</t>
  </si>
  <si>
    <t>P0115</t>
  </si>
  <si>
    <t>P0116</t>
  </si>
  <si>
    <t>P0117</t>
  </si>
  <si>
    <t>P0118</t>
  </si>
  <si>
    <t>P0119</t>
  </si>
  <si>
    <t>P0120</t>
  </si>
  <si>
    <t>P0121</t>
  </si>
  <si>
    <t>P0122</t>
  </si>
  <si>
    <t>P0123</t>
  </si>
  <si>
    <t>P0124</t>
  </si>
  <si>
    <t>P0125</t>
  </si>
  <si>
    <t>P0126</t>
  </si>
  <si>
    <t>P0127</t>
  </si>
  <si>
    <t>P0128</t>
  </si>
  <si>
    <t>P0129</t>
  </si>
  <si>
    <t>P0130</t>
  </si>
  <si>
    <t>P0131</t>
  </si>
  <si>
    <t>P0132</t>
  </si>
  <si>
    <t>P0133</t>
  </si>
  <si>
    <t>P0134</t>
  </si>
  <si>
    <t>P0135</t>
  </si>
  <si>
    <t>P0136</t>
  </si>
  <si>
    <t>P0137</t>
  </si>
  <si>
    <t>P0138</t>
  </si>
  <si>
    <t>P0139</t>
  </si>
  <si>
    <t>P0140</t>
  </si>
  <si>
    <t>P0141</t>
  </si>
  <si>
    <t>P0142</t>
  </si>
  <si>
    <t>P0143</t>
  </si>
  <si>
    <t>P0144</t>
  </si>
  <si>
    <t>P0145</t>
  </si>
  <si>
    <t>P0146</t>
  </si>
  <si>
    <t>P0147</t>
  </si>
  <si>
    <t>P0148</t>
  </si>
  <si>
    <t>P0149</t>
  </si>
  <si>
    <t>P0150</t>
  </si>
  <si>
    <t>P0151</t>
  </si>
  <si>
    <t>P0152</t>
  </si>
  <si>
    <t>P0153</t>
  </si>
  <si>
    <t>P0154</t>
  </si>
  <si>
    <t>P0155</t>
  </si>
  <si>
    <t>P0156</t>
  </si>
  <si>
    <t>P0157</t>
  </si>
  <si>
    <t>P0158</t>
  </si>
  <si>
    <t>P0159</t>
  </si>
  <si>
    <t>P0160</t>
  </si>
  <si>
    <t>P0161</t>
  </si>
  <si>
    <t>P0162</t>
  </si>
  <si>
    <t>P0163</t>
  </si>
  <si>
    <t>P0164</t>
  </si>
  <si>
    <t>P0165</t>
  </si>
  <si>
    <t>P0166</t>
  </si>
  <si>
    <t>P0167</t>
  </si>
  <si>
    <t>P0168</t>
  </si>
  <si>
    <t>P0169</t>
  </si>
  <si>
    <t>P0170</t>
  </si>
  <si>
    <t>P0171</t>
  </si>
  <si>
    <t>P0172</t>
  </si>
  <si>
    <t>P0173</t>
  </si>
  <si>
    <t>P0174</t>
  </si>
  <si>
    <t>P0175</t>
  </si>
  <si>
    <t>P0176</t>
  </si>
  <si>
    <t>P0177</t>
  </si>
  <si>
    <t>P0178</t>
  </si>
  <si>
    <t>P0179</t>
  </si>
  <si>
    <t>P0180</t>
  </si>
  <si>
    <t>P0181</t>
  </si>
  <si>
    <t>P0182</t>
  </si>
  <si>
    <t>P0183</t>
  </si>
  <si>
    <t>P0184</t>
  </si>
  <si>
    <t>P0185</t>
  </si>
  <si>
    <t>P0186</t>
  </si>
  <si>
    <t>P0187</t>
  </si>
  <si>
    <t>P0188</t>
  </si>
  <si>
    <t>P0189</t>
  </si>
  <si>
    <t>P0190</t>
  </si>
  <si>
    <t>P0191</t>
  </si>
  <si>
    <t>P0192</t>
  </si>
  <si>
    <t>P0193</t>
  </si>
  <si>
    <t>P0194</t>
  </si>
  <si>
    <t>P0195</t>
  </si>
  <si>
    <t>P0196</t>
  </si>
  <si>
    <t>P0197</t>
  </si>
  <si>
    <t>P0198</t>
  </si>
  <si>
    <t>P0199</t>
  </si>
  <si>
    <t>P0200</t>
  </si>
  <si>
    <t>P0201</t>
  </si>
  <si>
    <t>P0202</t>
  </si>
  <si>
    <t>P0203</t>
  </si>
  <si>
    <t>P0204</t>
  </si>
  <si>
    <t>P0205</t>
  </si>
  <si>
    <t>P0206</t>
  </si>
  <si>
    <t>P0207</t>
  </si>
  <si>
    <t>P0208</t>
  </si>
  <si>
    <t>P0209</t>
  </si>
  <si>
    <t>P0210</t>
  </si>
  <si>
    <t>P0211</t>
  </si>
  <si>
    <t>P0212</t>
  </si>
  <si>
    <t>P0213</t>
  </si>
  <si>
    <t>P0214</t>
  </si>
  <si>
    <t>P0215</t>
  </si>
  <si>
    <t>P0216</t>
  </si>
  <si>
    <t>P0217</t>
  </si>
  <si>
    <t>P0218</t>
  </si>
  <si>
    <t>P0219</t>
  </si>
  <si>
    <t>P0220</t>
  </si>
  <si>
    <t>P0221</t>
  </si>
  <si>
    <t>P0222</t>
  </si>
  <si>
    <t>P0223</t>
  </si>
  <si>
    <t>P0224</t>
  </si>
  <si>
    <t>P0225</t>
  </si>
  <si>
    <t>P0226</t>
  </si>
  <si>
    <t>P0227</t>
  </si>
  <si>
    <t>P0228</t>
  </si>
  <si>
    <t>P0229</t>
  </si>
  <si>
    <t>P0230</t>
  </si>
  <si>
    <t>P0231</t>
  </si>
  <si>
    <t>P0232</t>
  </si>
  <si>
    <t>P0233</t>
  </si>
  <si>
    <t>P0234</t>
  </si>
  <si>
    <t>P0235</t>
  </si>
  <si>
    <t>P0236</t>
  </si>
  <si>
    <t>P0237</t>
  </si>
  <si>
    <t>P0238</t>
  </si>
  <si>
    <t>P0239</t>
  </si>
  <si>
    <t>P0240</t>
  </si>
  <si>
    <t>P0241</t>
  </si>
  <si>
    <t>P0242</t>
  </si>
  <si>
    <t>P0243</t>
  </si>
  <si>
    <t>P0244</t>
  </si>
  <si>
    <t>P0245</t>
  </si>
  <si>
    <t>P0246</t>
  </si>
  <si>
    <t>P0247</t>
  </si>
  <si>
    <t>P0248</t>
  </si>
  <si>
    <t>P0249</t>
  </si>
  <si>
    <t>P0250</t>
  </si>
  <si>
    <t>P0251</t>
  </si>
  <si>
    <t>P0252</t>
  </si>
  <si>
    <t>P0253</t>
  </si>
  <si>
    <t>P0254</t>
  </si>
  <si>
    <t>P0255</t>
  </si>
  <si>
    <t>P0256</t>
  </si>
  <si>
    <t>P0257</t>
  </si>
  <si>
    <t>P0258</t>
  </si>
  <si>
    <t>P0259</t>
  </si>
  <si>
    <t>P0260</t>
  </si>
  <si>
    <t>P0261</t>
  </si>
  <si>
    <t>P0262</t>
  </si>
  <si>
    <t>P0263</t>
  </si>
  <si>
    <t>P0264</t>
  </si>
  <si>
    <t>P0265</t>
  </si>
  <si>
    <t>P0266</t>
  </si>
  <si>
    <t>P0267</t>
  </si>
  <si>
    <t>P0268</t>
  </si>
  <si>
    <t>P0269</t>
  </si>
  <si>
    <t>P0270</t>
  </si>
  <si>
    <t>P0271</t>
  </si>
  <si>
    <t>P0272</t>
  </si>
  <si>
    <t>P0273</t>
  </si>
  <si>
    <t>P0274</t>
  </si>
  <si>
    <t>P0275</t>
  </si>
  <si>
    <t>P0276</t>
  </si>
  <si>
    <t>P0277</t>
  </si>
  <si>
    <t>P0278</t>
  </si>
  <si>
    <t>P0279</t>
  </si>
  <si>
    <t>P0280</t>
  </si>
  <si>
    <t>P0281</t>
  </si>
  <si>
    <t>P0282</t>
  </si>
  <si>
    <t>P0283</t>
  </si>
  <si>
    <t>P0284</t>
  </si>
  <si>
    <t>P0285</t>
  </si>
  <si>
    <t>P0286</t>
  </si>
  <si>
    <t>P0287</t>
  </si>
  <si>
    <t>P0288</t>
  </si>
  <si>
    <t>P0289</t>
  </si>
  <si>
    <t>P0290</t>
  </si>
  <si>
    <t>P0291</t>
  </si>
  <si>
    <t>P0292</t>
  </si>
  <si>
    <t>P0293</t>
  </si>
  <si>
    <t>P0294</t>
  </si>
  <si>
    <t>P0295</t>
  </si>
  <si>
    <t>P0296</t>
  </si>
  <si>
    <t>P0297</t>
  </si>
  <si>
    <t>P0298</t>
  </si>
  <si>
    <t>P0299</t>
  </si>
  <si>
    <t>P0300</t>
  </si>
  <si>
    <t>P0301</t>
  </si>
  <si>
    <t>P0302</t>
  </si>
  <si>
    <t>P0303</t>
  </si>
  <si>
    <t>P0304</t>
  </si>
  <si>
    <t>P0305</t>
  </si>
  <si>
    <t>P0306</t>
  </si>
  <si>
    <t>P0307</t>
  </si>
  <si>
    <t>P0308</t>
  </si>
  <si>
    <t>P0309</t>
  </si>
  <si>
    <t>P0310</t>
  </si>
  <si>
    <t>P0311</t>
  </si>
  <si>
    <t>P0312</t>
  </si>
  <si>
    <t>P0313</t>
  </si>
  <si>
    <t>P0314</t>
  </si>
  <si>
    <t>P0315</t>
  </si>
  <si>
    <t>P0316</t>
  </si>
  <si>
    <t>P0317</t>
  </si>
  <si>
    <t>P0318</t>
  </si>
  <si>
    <t>P0319</t>
  </si>
  <si>
    <t>P0320</t>
  </si>
  <si>
    <t>P0321</t>
  </si>
  <si>
    <t>P0322</t>
  </si>
  <si>
    <t>P0323</t>
  </si>
  <si>
    <t>P0324</t>
  </si>
  <si>
    <t>P0325</t>
  </si>
  <si>
    <t>P0326</t>
  </si>
  <si>
    <t>P0327</t>
  </si>
  <si>
    <t>P0328</t>
  </si>
  <si>
    <t>P0329</t>
  </si>
  <si>
    <t>P0330</t>
  </si>
  <si>
    <t>P0331</t>
  </si>
  <si>
    <t>P0332</t>
  </si>
  <si>
    <t>P0333</t>
  </si>
  <si>
    <t>P0334</t>
  </si>
  <si>
    <t>P0335</t>
  </si>
  <si>
    <t>P0336</t>
  </si>
  <si>
    <t>P0337</t>
  </si>
  <si>
    <t>P0338</t>
  </si>
  <si>
    <t>P0339</t>
  </si>
  <si>
    <t>P0340</t>
  </si>
  <si>
    <t>P0341</t>
  </si>
  <si>
    <t>P0342</t>
  </si>
  <si>
    <t>P0343</t>
  </si>
  <si>
    <t>P0344</t>
  </si>
  <si>
    <t>P0345</t>
  </si>
  <si>
    <t>P0346</t>
  </si>
  <si>
    <t>P0347</t>
  </si>
  <si>
    <t>P0348</t>
  </si>
  <si>
    <t>P0349</t>
  </si>
  <si>
    <t>P0350</t>
  </si>
  <si>
    <t>P0351</t>
  </si>
  <si>
    <t>P0352</t>
  </si>
  <si>
    <t>P0353</t>
  </si>
  <si>
    <t>P0354</t>
  </si>
  <si>
    <t>P0355</t>
  </si>
  <si>
    <t>P0356</t>
  </si>
  <si>
    <t>P0357</t>
  </si>
  <si>
    <t>P0358</t>
  </si>
  <si>
    <t>P0359</t>
  </si>
  <si>
    <t>P0360</t>
  </si>
  <si>
    <t>P0361</t>
  </si>
  <si>
    <t>P0362</t>
  </si>
  <si>
    <t>P0363</t>
  </si>
  <si>
    <t>P0364</t>
  </si>
  <si>
    <t>P0365</t>
  </si>
  <si>
    <t>P0366</t>
  </si>
  <si>
    <t>P0367</t>
  </si>
  <si>
    <t>P0368</t>
  </si>
  <si>
    <t>P0369</t>
  </si>
  <si>
    <t>P0370</t>
  </si>
  <si>
    <t>P0371</t>
  </si>
  <si>
    <t>P0372</t>
  </si>
  <si>
    <t>P0373</t>
  </si>
  <si>
    <t>P0374</t>
  </si>
  <si>
    <t>P0375</t>
  </si>
  <si>
    <t>P0376</t>
  </si>
  <si>
    <t>P0377</t>
  </si>
  <si>
    <t>P0378</t>
  </si>
  <si>
    <t>P0379</t>
  </si>
  <si>
    <t>P0380</t>
  </si>
  <si>
    <t>P0381</t>
  </si>
  <si>
    <t>P0382</t>
  </si>
  <si>
    <t>P0383</t>
  </si>
  <si>
    <t>P0384</t>
  </si>
  <si>
    <t>P0385</t>
  </si>
  <si>
    <t>P0386</t>
  </si>
  <si>
    <t>P0387</t>
  </si>
  <si>
    <t>P0388</t>
  </si>
  <si>
    <t>P0389</t>
  </si>
  <si>
    <t>P0390</t>
  </si>
  <si>
    <t>P0391</t>
  </si>
  <si>
    <t>P0392</t>
  </si>
  <si>
    <t>P0393</t>
  </si>
  <si>
    <t>P0394</t>
  </si>
  <si>
    <t>P0395</t>
  </si>
  <si>
    <t>P0396</t>
  </si>
  <si>
    <t>P0397</t>
  </si>
  <si>
    <t>P0398</t>
  </si>
  <si>
    <t>P0399</t>
  </si>
  <si>
    <t>P0400</t>
  </si>
  <si>
    <t>P0401</t>
  </si>
  <si>
    <t>P0402</t>
  </si>
  <si>
    <t>P0403</t>
  </si>
  <si>
    <t>P0404</t>
  </si>
  <si>
    <t>P0405</t>
  </si>
  <si>
    <t>P0406</t>
  </si>
  <si>
    <t>P0407</t>
  </si>
  <si>
    <t>P0408</t>
  </si>
  <si>
    <t>P0409</t>
  </si>
  <si>
    <t>P0410</t>
  </si>
  <si>
    <t>P0411</t>
  </si>
  <si>
    <t>P0412</t>
  </si>
  <si>
    <t>P0413</t>
  </si>
  <si>
    <t>P0414</t>
  </si>
  <si>
    <t>P0415</t>
  </si>
  <si>
    <t>P0416</t>
  </si>
  <si>
    <t>P0417</t>
  </si>
  <si>
    <t>P0418</t>
  </si>
  <si>
    <t>P0419</t>
  </si>
  <si>
    <t>P0420</t>
  </si>
  <si>
    <t>P0421</t>
  </si>
  <si>
    <t>P0422</t>
  </si>
  <si>
    <t>P0423</t>
  </si>
  <si>
    <t>P0424</t>
  </si>
  <si>
    <t>P0425</t>
  </si>
  <si>
    <t>P0426</t>
  </si>
  <si>
    <t>P0427</t>
  </si>
  <si>
    <t>P0428</t>
  </si>
  <si>
    <t>P0429</t>
  </si>
  <si>
    <t>P0430</t>
  </si>
  <si>
    <t>P0431</t>
  </si>
  <si>
    <t>P0432</t>
  </si>
  <si>
    <t>P0433</t>
  </si>
  <si>
    <t>P0434</t>
  </si>
  <si>
    <t>P0435</t>
  </si>
  <si>
    <t>P0436</t>
  </si>
  <si>
    <t>P0437</t>
  </si>
  <si>
    <t>P0438</t>
  </si>
  <si>
    <t>P0439</t>
  </si>
  <si>
    <t>P0440</t>
  </si>
  <si>
    <t>P0441</t>
  </si>
  <si>
    <t>P0442</t>
  </si>
  <si>
    <t>P0443</t>
  </si>
  <si>
    <t>P0444</t>
  </si>
  <si>
    <t>P0445</t>
  </si>
  <si>
    <t>P0446</t>
  </si>
  <si>
    <t>P0447</t>
  </si>
  <si>
    <t>P0448</t>
  </si>
  <si>
    <t>P0449</t>
  </si>
  <si>
    <t>P0450</t>
  </si>
  <si>
    <t>P0451</t>
  </si>
  <si>
    <t>P0452</t>
  </si>
  <si>
    <t>P0453</t>
  </si>
  <si>
    <t>P0454</t>
  </si>
  <si>
    <t>P0455</t>
  </si>
  <si>
    <t>P0456</t>
  </si>
  <si>
    <t>P0457</t>
  </si>
  <si>
    <t>P0458</t>
  </si>
  <si>
    <t>P0459</t>
  </si>
  <si>
    <t>P0460</t>
  </si>
  <si>
    <t>P0461</t>
  </si>
  <si>
    <t>P0462</t>
  </si>
  <si>
    <t>P0463</t>
  </si>
  <si>
    <t>P0464</t>
  </si>
  <si>
    <t>P0465</t>
  </si>
  <si>
    <t>P0466</t>
  </si>
  <si>
    <t>P0467</t>
  </si>
  <si>
    <t>P0468</t>
  </si>
  <si>
    <t>P0469</t>
  </si>
  <si>
    <t>P0470</t>
  </si>
  <si>
    <t>P0471</t>
  </si>
  <si>
    <t>P0472</t>
  </si>
  <si>
    <t>P0473</t>
  </si>
  <si>
    <t>P0474</t>
  </si>
  <si>
    <t>P0475</t>
  </si>
  <si>
    <t>P0476</t>
  </si>
  <si>
    <t>P0477</t>
  </si>
  <si>
    <t>P0478</t>
  </si>
  <si>
    <t>P0479</t>
  </si>
  <si>
    <t>P0480</t>
  </si>
  <si>
    <t>P0481</t>
  </si>
  <si>
    <t>P0482</t>
  </si>
  <si>
    <t>P0483</t>
  </si>
  <si>
    <t>P0484</t>
  </si>
  <si>
    <t>P0485</t>
  </si>
  <si>
    <t>P0486</t>
  </si>
  <si>
    <t>P0487</t>
  </si>
  <si>
    <t>P0488</t>
  </si>
  <si>
    <t>P0489</t>
  </si>
  <si>
    <t>P0490</t>
  </si>
  <si>
    <t>P0491</t>
  </si>
  <si>
    <t>P0492</t>
  </si>
  <si>
    <t>P0493</t>
  </si>
  <si>
    <t>P0494</t>
  </si>
  <si>
    <t>P0495</t>
  </si>
  <si>
    <t>P0496</t>
  </si>
  <si>
    <t>P0497</t>
  </si>
  <si>
    <t>P0498</t>
  </si>
  <si>
    <t>P0499</t>
  </si>
  <si>
    <t>P0500</t>
  </si>
  <si>
    <t>Product_1</t>
  </si>
  <si>
    <t>Product_2</t>
  </si>
  <si>
    <t>Product_3</t>
  </si>
  <si>
    <t>Product_4</t>
  </si>
  <si>
    <t>Product_5</t>
  </si>
  <si>
    <t>Product_6</t>
  </si>
  <si>
    <t>Product_7</t>
  </si>
  <si>
    <t>Product_8</t>
  </si>
  <si>
    <t>Product_9</t>
  </si>
  <si>
    <t>Product_10</t>
  </si>
  <si>
    <t>Product_11</t>
  </si>
  <si>
    <t>Product_12</t>
  </si>
  <si>
    <t>Product_13</t>
  </si>
  <si>
    <t>Product_14</t>
  </si>
  <si>
    <t>Product_15</t>
  </si>
  <si>
    <t>Product_16</t>
  </si>
  <si>
    <t>Product_17</t>
  </si>
  <si>
    <t>Product_18</t>
  </si>
  <si>
    <t>Product_19</t>
  </si>
  <si>
    <t>Product_20</t>
  </si>
  <si>
    <t>Product_21</t>
  </si>
  <si>
    <t>Product_22</t>
  </si>
  <si>
    <t>Product_23</t>
  </si>
  <si>
    <t>Product_24</t>
  </si>
  <si>
    <t>Product_25</t>
  </si>
  <si>
    <t>Product_26</t>
  </si>
  <si>
    <t>Product_27</t>
  </si>
  <si>
    <t>Product_28</t>
  </si>
  <si>
    <t>Product_29</t>
  </si>
  <si>
    <t>Product_30</t>
  </si>
  <si>
    <t>Product_31</t>
  </si>
  <si>
    <t>Product_32</t>
  </si>
  <si>
    <t>Product_33</t>
  </si>
  <si>
    <t>Product_34</t>
  </si>
  <si>
    <t>Product_35</t>
  </si>
  <si>
    <t>Product_36</t>
  </si>
  <si>
    <t>Product_37</t>
  </si>
  <si>
    <t>Product_38</t>
  </si>
  <si>
    <t>Product_39</t>
  </si>
  <si>
    <t>Product_40</t>
  </si>
  <si>
    <t>Product_41</t>
  </si>
  <si>
    <t>Product_42</t>
  </si>
  <si>
    <t>Product_43</t>
  </si>
  <si>
    <t>Product_44</t>
  </si>
  <si>
    <t>Product_45</t>
  </si>
  <si>
    <t>Product_46</t>
  </si>
  <si>
    <t>Product_47</t>
  </si>
  <si>
    <t>Product_48</t>
  </si>
  <si>
    <t>Product_49</t>
  </si>
  <si>
    <t>Product_50</t>
  </si>
  <si>
    <t>Product_51</t>
  </si>
  <si>
    <t>Product_52</t>
  </si>
  <si>
    <t>Product_53</t>
  </si>
  <si>
    <t>Product_54</t>
  </si>
  <si>
    <t>Product_55</t>
  </si>
  <si>
    <t>Product_56</t>
  </si>
  <si>
    <t>Product_57</t>
  </si>
  <si>
    <t>Product_58</t>
  </si>
  <si>
    <t>Product_59</t>
  </si>
  <si>
    <t>Product_60</t>
  </si>
  <si>
    <t>Product_61</t>
  </si>
  <si>
    <t>Product_62</t>
  </si>
  <si>
    <t>Product_63</t>
  </si>
  <si>
    <t>Product_64</t>
  </si>
  <si>
    <t>Product_65</t>
  </si>
  <si>
    <t>Product_66</t>
  </si>
  <si>
    <t>Product_67</t>
  </si>
  <si>
    <t>Product_68</t>
  </si>
  <si>
    <t>Product_69</t>
  </si>
  <si>
    <t>Product_70</t>
  </si>
  <si>
    <t>Product_71</t>
  </si>
  <si>
    <t>Product_72</t>
  </si>
  <si>
    <t>Product_73</t>
  </si>
  <si>
    <t>Product_74</t>
  </si>
  <si>
    <t>Product_75</t>
  </si>
  <si>
    <t>Product_76</t>
  </si>
  <si>
    <t>Product_77</t>
  </si>
  <si>
    <t>Product_78</t>
  </si>
  <si>
    <t>Product_79</t>
  </si>
  <si>
    <t>Product_80</t>
  </si>
  <si>
    <t>Product_81</t>
  </si>
  <si>
    <t>Product_82</t>
  </si>
  <si>
    <t>Product_83</t>
  </si>
  <si>
    <t>Product_84</t>
  </si>
  <si>
    <t>Product_85</t>
  </si>
  <si>
    <t>Product_86</t>
  </si>
  <si>
    <t>Product_87</t>
  </si>
  <si>
    <t>Product_88</t>
  </si>
  <si>
    <t>Product_89</t>
  </si>
  <si>
    <t>Product_90</t>
  </si>
  <si>
    <t>Product_91</t>
  </si>
  <si>
    <t>Product_92</t>
  </si>
  <si>
    <t>Product_93</t>
  </si>
  <si>
    <t>Product_94</t>
  </si>
  <si>
    <t>Product_95</t>
  </si>
  <si>
    <t>Product_96</t>
  </si>
  <si>
    <t>Product_97</t>
  </si>
  <si>
    <t>Product_98</t>
  </si>
  <si>
    <t>Product_99</t>
  </si>
  <si>
    <t>Product_100</t>
  </si>
  <si>
    <t>Product_101</t>
  </si>
  <si>
    <t>Product_102</t>
  </si>
  <si>
    <t>Product_103</t>
  </si>
  <si>
    <t>Product_104</t>
  </si>
  <si>
    <t>Product_105</t>
  </si>
  <si>
    <t>Product_106</t>
  </si>
  <si>
    <t>Product_107</t>
  </si>
  <si>
    <t>Product_108</t>
  </si>
  <si>
    <t>Product_109</t>
  </si>
  <si>
    <t>Product_110</t>
  </si>
  <si>
    <t>Product_111</t>
  </si>
  <si>
    <t>Product_112</t>
  </si>
  <si>
    <t>Product_113</t>
  </si>
  <si>
    <t>Product_114</t>
  </si>
  <si>
    <t>Product_115</t>
  </si>
  <si>
    <t>Product_116</t>
  </si>
  <si>
    <t>Product_117</t>
  </si>
  <si>
    <t>Product_118</t>
  </si>
  <si>
    <t>Product_119</t>
  </si>
  <si>
    <t>Product_120</t>
  </si>
  <si>
    <t>Product_121</t>
  </si>
  <si>
    <t>Product_122</t>
  </si>
  <si>
    <t>Product_123</t>
  </si>
  <si>
    <t>Product_124</t>
  </si>
  <si>
    <t>Product_125</t>
  </si>
  <si>
    <t>Product_126</t>
  </si>
  <si>
    <t>Product_127</t>
  </si>
  <si>
    <t>Product_128</t>
  </si>
  <si>
    <t>Product_129</t>
  </si>
  <si>
    <t>Product_130</t>
  </si>
  <si>
    <t>Product_131</t>
  </si>
  <si>
    <t>Product_132</t>
  </si>
  <si>
    <t>Product_133</t>
  </si>
  <si>
    <t>Product_134</t>
  </si>
  <si>
    <t>Product_135</t>
  </si>
  <si>
    <t>Product_136</t>
  </si>
  <si>
    <t>Product_137</t>
  </si>
  <si>
    <t>Product_138</t>
  </si>
  <si>
    <t>Product_139</t>
  </si>
  <si>
    <t>Product_140</t>
  </si>
  <si>
    <t>Product_141</t>
  </si>
  <si>
    <t>Product_142</t>
  </si>
  <si>
    <t>Product_143</t>
  </si>
  <si>
    <t>Product_144</t>
  </si>
  <si>
    <t>Product_145</t>
  </si>
  <si>
    <t>Product_146</t>
  </si>
  <si>
    <t>Product_147</t>
  </si>
  <si>
    <t>Product_148</t>
  </si>
  <si>
    <t>Product_149</t>
  </si>
  <si>
    <t>Product_150</t>
  </si>
  <si>
    <t>Product_151</t>
  </si>
  <si>
    <t>Product_152</t>
  </si>
  <si>
    <t>Product_153</t>
  </si>
  <si>
    <t>Product_154</t>
  </si>
  <si>
    <t>Product_155</t>
  </si>
  <si>
    <t>Product_156</t>
  </si>
  <si>
    <t>Product_157</t>
  </si>
  <si>
    <t>Product_158</t>
  </si>
  <si>
    <t>Product_159</t>
  </si>
  <si>
    <t>Product_160</t>
  </si>
  <si>
    <t>Product_161</t>
  </si>
  <si>
    <t>Product_162</t>
  </si>
  <si>
    <t>Product_163</t>
  </si>
  <si>
    <t>Product_164</t>
  </si>
  <si>
    <t>Product_165</t>
  </si>
  <si>
    <t>Product_166</t>
  </si>
  <si>
    <t>Product_167</t>
  </si>
  <si>
    <t>Product_168</t>
  </si>
  <si>
    <t>Product_169</t>
  </si>
  <si>
    <t>Product_170</t>
  </si>
  <si>
    <t>Product_171</t>
  </si>
  <si>
    <t>Product_172</t>
  </si>
  <si>
    <t>Product_173</t>
  </si>
  <si>
    <t>Product_174</t>
  </si>
  <si>
    <t>Product_175</t>
  </si>
  <si>
    <t>Product_176</t>
  </si>
  <si>
    <t>Product_177</t>
  </si>
  <si>
    <t>Product_178</t>
  </si>
  <si>
    <t>Product_179</t>
  </si>
  <si>
    <t>Product_180</t>
  </si>
  <si>
    <t>Product_181</t>
  </si>
  <si>
    <t>Product_182</t>
  </si>
  <si>
    <t>Product_183</t>
  </si>
  <si>
    <t>Product_184</t>
  </si>
  <si>
    <t>Product_185</t>
  </si>
  <si>
    <t>Product_186</t>
  </si>
  <si>
    <t>Product_187</t>
  </si>
  <si>
    <t>Product_188</t>
  </si>
  <si>
    <t>Product_189</t>
  </si>
  <si>
    <t>Product_190</t>
  </si>
  <si>
    <t>Product_191</t>
  </si>
  <si>
    <t>Product_192</t>
  </si>
  <si>
    <t>Product_193</t>
  </si>
  <si>
    <t>Product_194</t>
  </si>
  <si>
    <t>Product_195</t>
  </si>
  <si>
    <t>Product_196</t>
  </si>
  <si>
    <t>Product_197</t>
  </si>
  <si>
    <t>Product_198</t>
  </si>
  <si>
    <t>Product_199</t>
  </si>
  <si>
    <t>Product_200</t>
  </si>
  <si>
    <t>Product_201</t>
  </si>
  <si>
    <t>Product_202</t>
  </si>
  <si>
    <t>Product_203</t>
  </si>
  <si>
    <t>Product_204</t>
  </si>
  <si>
    <t>Product_205</t>
  </si>
  <si>
    <t>Product_206</t>
  </si>
  <si>
    <t>Product_207</t>
  </si>
  <si>
    <t>Product_208</t>
  </si>
  <si>
    <t>Product_209</t>
  </si>
  <si>
    <t>Product_210</t>
  </si>
  <si>
    <t>Product_211</t>
  </si>
  <si>
    <t>Product_212</t>
  </si>
  <si>
    <t>Product_213</t>
  </si>
  <si>
    <t>Product_214</t>
  </si>
  <si>
    <t>Product_215</t>
  </si>
  <si>
    <t>Product_216</t>
  </si>
  <si>
    <t>Product_217</t>
  </si>
  <si>
    <t>Product_218</t>
  </si>
  <si>
    <t>Product_219</t>
  </si>
  <si>
    <t>Product_220</t>
  </si>
  <si>
    <t>Product_221</t>
  </si>
  <si>
    <t>Product_222</t>
  </si>
  <si>
    <t>Product_223</t>
  </si>
  <si>
    <t>Product_224</t>
  </si>
  <si>
    <t>Product_225</t>
  </si>
  <si>
    <t>Product_226</t>
  </si>
  <si>
    <t>Product_227</t>
  </si>
  <si>
    <t>Product_228</t>
  </si>
  <si>
    <t>Product_229</t>
  </si>
  <si>
    <t>Product_230</t>
  </si>
  <si>
    <t>Product_231</t>
  </si>
  <si>
    <t>Product_232</t>
  </si>
  <si>
    <t>Product_233</t>
  </si>
  <si>
    <t>Product_234</t>
  </si>
  <si>
    <t>Product_235</t>
  </si>
  <si>
    <t>Product_236</t>
  </si>
  <si>
    <t>Product_237</t>
  </si>
  <si>
    <t>Product_238</t>
  </si>
  <si>
    <t>Product_239</t>
  </si>
  <si>
    <t>Product_240</t>
  </si>
  <si>
    <t>Product_241</t>
  </si>
  <si>
    <t>Product_242</t>
  </si>
  <si>
    <t>Product_243</t>
  </si>
  <si>
    <t>Product_244</t>
  </si>
  <si>
    <t>Product_245</t>
  </si>
  <si>
    <t>Product_246</t>
  </si>
  <si>
    <t>Product_247</t>
  </si>
  <si>
    <t>Product_248</t>
  </si>
  <si>
    <t>Product_249</t>
  </si>
  <si>
    <t>Product_250</t>
  </si>
  <si>
    <t>Product_251</t>
  </si>
  <si>
    <t>Product_252</t>
  </si>
  <si>
    <t>Product_253</t>
  </si>
  <si>
    <t>Product_254</t>
  </si>
  <si>
    <t>Product_255</t>
  </si>
  <si>
    <t>Product_256</t>
  </si>
  <si>
    <t>Product_257</t>
  </si>
  <si>
    <t>Product_258</t>
  </si>
  <si>
    <t>Product_259</t>
  </si>
  <si>
    <t>Product_260</t>
  </si>
  <si>
    <t>Product_261</t>
  </si>
  <si>
    <t>Product_262</t>
  </si>
  <si>
    <t>Product_263</t>
  </si>
  <si>
    <t>Product_264</t>
  </si>
  <si>
    <t>Product_265</t>
  </si>
  <si>
    <t>Product_266</t>
  </si>
  <si>
    <t>Product_267</t>
  </si>
  <si>
    <t>Product_268</t>
  </si>
  <si>
    <t>Product_269</t>
  </si>
  <si>
    <t>Product_270</t>
  </si>
  <si>
    <t>Product_271</t>
  </si>
  <si>
    <t>Product_272</t>
  </si>
  <si>
    <t>Product_273</t>
  </si>
  <si>
    <t>Product_274</t>
  </si>
  <si>
    <t>Product_275</t>
  </si>
  <si>
    <t>Product_276</t>
  </si>
  <si>
    <t>Product_277</t>
  </si>
  <si>
    <t>Product_278</t>
  </si>
  <si>
    <t>Product_279</t>
  </si>
  <si>
    <t>Product_280</t>
  </si>
  <si>
    <t>Product_281</t>
  </si>
  <si>
    <t>Product_282</t>
  </si>
  <si>
    <t>Product_283</t>
  </si>
  <si>
    <t>Product_284</t>
  </si>
  <si>
    <t>Product_285</t>
  </si>
  <si>
    <t>Product_286</t>
  </si>
  <si>
    <t>Product_287</t>
  </si>
  <si>
    <t>Product_288</t>
  </si>
  <si>
    <t>Product_289</t>
  </si>
  <si>
    <t>Product_290</t>
  </si>
  <si>
    <t>Product_291</t>
  </si>
  <si>
    <t>Product_292</t>
  </si>
  <si>
    <t>Product_293</t>
  </si>
  <si>
    <t>Product_294</t>
  </si>
  <si>
    <t>Product_295</t>
  </si>
  <si>
    <t>Product_296</t>
  </si>
  <si>
    <t>Product_297</t>
  </si>
  <si>
    <t>Product_298</t>
  </si>
  <si>
    <t>Product_299</t>
  </si>
  <si>
    <t>Product_300</t>
  </si>
  <si>
    <t>Product_301</t>
  </si>
  <si>
    <t>Product_302</t>
  </si>
  <si>
    <t>Product_303</t>
  </si>
  <si>
    <t>Product_304</t>
  </si>
  <si>
    <t>Product_305</t>
  </si>
  <si>
    <t>Product_306</t>
  </si>
  <si>
    <t>Product_307</t>
  </si>
  <si>
    <t>Product_308</t>
  </si>
  <si>
    <t>Product_309</t>
  </si>
  <si>
    <t>Product_310</t>
  </si>
  <si>
    <t>Product_311</t>
  </si>
  <si>
    <t>Product_312</t>
  </si>
  <si>
    <t>Product_313</t>
  </si>
  <si>
    <t>Product_314</t>
  </si>
  <si>
    <t>Product_315</t>
  </si>
  <si>
    <t>Product_316</t>
  </si>
  <si>
    <t>Product_317</t>
  </si>
  <si>
    <t>Product_318</t>
  </si>
  <si>
    <t>Product_319</t>
  </si>
  <si>
    <t>Product_320</t>
  </si>
  <si>
    <t>Product_321</t>
  </si>
  <si>
    <t>Product_322</t>
  </si>
  <si>
    <t>Product_323</t>
  </si>
  <si>
    <t>Product_324</t>
  </si>
  <si>
    <t>Product_325</t>
  </si>
  <si>
    <t>Product_326</t>
  </si>
  <si>
    <t>Product_327</t>
  </si>
  <si>
    <t>Product_328</t>
  </si>
  <si>
    <t>Product_329</t>
  </si>
  <si>
    <t>Product_330</t>
  </si>
  <si>
    <t>Product_331</t>
  </si>
  <si>
    <t>Product_332</t>
  </si>
  <si>
    <t>Product_333</t>
  </si>
  <si>
    <t>Product_334</t>
  </si>
  <si>
    <t>Product_335</t>
  </si>
  <si>
    <t>Product_336</t>
  </si>
  <si>
    <t>Product_337</t>
  </si>
  <si>
    <t>Product_338</t>
  </si>
  <si>
    <t>Product_339</t>
  </si>
  <si>
    <t>Product_340</t>
  </si>
  <si>
    <t>Product_341</t>
  </si>
  <si>
    <t>Product_342</t>
  </si>
  <si>
    <t>Product_343</t>
  </si>
  <si>
    <t>Product_344</t>
  </si>
  <si>
    <t>Product_345</t>
  </si>
  <si>
    <t>Product_346</t>
  </si>
  <si>
    <t>Product_347</t>
  </si>
  <si>
    <t>Product_348</t>
  </si>
  <si>
    <t>Product_349</t>
  </si>
  <si>
    <t>Product_350</t>
  </si>
  <si>
    <t>Product_351</t>
  </si>
  <si>
    <t>Product_352</t>
  </si>
  <si>
    <t>Product_353</t>
  </si>
  <si>
    <t>Product_354</t>
  </si>
  <si>
    <t>Product_355</t>
  </si>
  <si>
    <t>Product_356</t>
  </si>
  <si>
    <t>Product_357</t>
  </si>
  <si>
    <t>Product_358</t>
  </si>
  <si>
    <t>Product_359</t>
  </si>
  <si>
    <t>Product_360</t>
  </si>
  <si>
    <t>Product_361</t>
  </si>
  <si>
    <t>Product_362</t>
  </si>
  <si>
    <t>Product_363</t>
  </si>
  <si>
    <t>Product_364</t>
  </si>
  <si>
    <t>Product_365</t>
  </si>
  <si>
    <t>Product_366</t>
  </si>
  <si>
    <t>Product_367</t>
  </si>
  <si>
    <t>Product_368</t>
  </si>
  <si>
    <t>Product_369</t>
  </si>
  <si>
    <t>Product_370</t>
  </si>
  <si>
    <t>Product_371</t>
  </si>
  <si>
    <t>Product_372</t>
  </si>
  <si>
    <t>Product_373</t>
  </si>
  <si>
    <t>Product_374</t>
  </si>
  <si>
    <t>Product_375</t>
  </si>
  <si>
    <t>Product_376</t>
  </si>
  <si>
    <t>Product_377</t>
  </si>
  <si>
    <t>Product_378</t>
  </si>
  <si>
    <t>Product_379</t>
  </si>
  <si>
    <t>Product_380</t>
  </si>
  <si>
    <t>Product_381</t>
  </si>
  <si>
    <t>Product_382</t>
  </si>
  <si>
    <t>Product_383</t>
  </si>
  <si>
    <t>Product_384</t>
  </si>
  <si>
    <t>Product_385</t>
  </si>
  <si>
    <t>Product_386</t>
  </si>
  <si>
    <t>Product_387</t>
  </si>
  <si>
    <t>Product_388</t>
  </si>
  <si>
    <t>Product_389</t>
  </si>
  <si>
    <t>Product_390</t>
  </si>
  <si>
    <t>Product_391</t>
  </si>
  <si>
    <t>Product_392</t>
  </si>
  <si>
    <t>Product_393</t>
  </si>
  <si>
    <t>Product_394</t>
  </si>
  <si>
    <t>Product_395</t>
  </si>
  <si>
    <t>Product_396</t>
  </si>
  <si>
    <t>Product_397</t>
  </si>
  <si>
    <t>Product_398</t>
  </si>
  <si>
    <t>Product_399</t>
  </si>
  <si>
    <t>Product_400</t>
  </si>
  <si>
    <t>Product_401</t>
  </si>
  <si>
    <t>Product_402</t>
  </si>
  <si>
    <t>Product_403</t>
  </si>
  <si>
    <t>Product_404</t>
  </si>
  <si>
    <t>Product_405</t>
  </si>
  <si>
    <t>Product_406</t>
  </si>
  <si>
    <t>Product_407</t>
  </si>
  <si>
    <t>Product_408</t>
  </si>
  <si>
    <t>Product_409</t>
  </si>
  <si>
    <t>Product_410</t>
  </si>
  <si>
    <t>Product_411</t>
  </si>
  <si>
    <t>Product_412</t>
  </si>
  <si>
    <t>Product_413</t>
  </si>
  <si>
    <t>Product_414</t>
  </si>
  <si>
    <t>Product_415</t>
  </si>
  <si>
    <t>Product_416</t>
  </si>
  <si>
    <t>Product_417</t>
  </si>
  <si>
    <t>Product_418</t>
  </si>
  <si>
    <t>Product_419</t>
  </si>
  <si>
    <t>Product_420</t>
  </si>
  <si>
    <t>Product_421</t>
  </si>
  <si>
    <t>Product_422</t>
  </si>
  <si>
    <t>Product_423</t>
  </si>
  <si>
    <t>Product_424</t>
  </si>
  <si>
    <t>Product_425</t>
  </si>
  <si>
    <t>Product_426</t>
  </si>
  <si>
    <t>Product_427</t>
  </si>
  <si>
    <t>Product_428</t>
  </si>
  <si>
    <t>Product_429</t>
  </si>
  <si>
    <t>Product_430</t>
  </si>
  <si>
    <t>Product_431</t>
  </si>
  <si>
    <t>Product_432</t>
  </si>
  <si>
    <t>Product_433</t>
  </si>
  <si>
    <t>Product_434</t>
  </si>
  <si>
    <t>Product_435</t>
  </si>
  <si>
    <t>Product_436</t>
  </si>
  <si>
    <t>Product_437</t>
  </si>
  <si>
    <t>Product_438</t>
  </si>
  <si>
    <t>Product_439</t>
  </si>
  <si>
    <t>Product_440</t>
  </si>
  <si>
    <t>Product_441</t>
  </si>
  <si>
    <t>Product_442</t>
  </si>
  <si>
    <t>Product_443</t>
  </si>
  <si>
    <t>Product_444</t>
  </si>
  <si>
    <t>Product_445</t>
  </si>
  <si>
    <t>Product_446</t>
  </si>
  <si>
    <t>Product_447</t>
  </si>
  <si>
    <t>Product_448</t>
  </si>
  <si>
    <t>Product_449</t>
  </si>
  <si>
    <t>Product_450</t>
  </si>
  <si>
    <t>Product_451</t>
  </si>
  <si>
    <t>Product_452</t>
  </si>
  <si>
    <t>Product_453</t>
  </si>
  <si>
    <t>Product_454</t>
  </si>
  <si>
    <t>Product_455</t>
  </si>
  <si>
    <t>Product_456</t>
  </si>
  <si>
    <t>Product_457</t>
  </si>
  <si>
    <t>Product_458</t>
  </si>
  <si>
    <t>Product_459</t>
  </si>
  <si>
    <t>Product_460</t>
  </si>
  <si>
    <t>Product_461</t>
  </si>
  <si>
    <t>Product_462</t>
  </si>
  <si>
    <t>Product_463</t>
  </si>
  <si>
    <t>Product_464</t>
  </si>
  <si>
    <t>Product_465</t>
  </si>
  <si>
    <t>Product_466</t>
  </si>
  <si>
    <t>Product_467</t>
  </si>
  <si>
    <t>Product_468</t>
  </si>
  <si>
    <t>Product_469</t>
  </si>
  <si>
    <t>Product_470</t>
  </si>
  <si>
    <t>Product_471</t>
  </si>
  <si>
    <t>Product_472</t>
  </si>
  <si>
    <t>Product_473</t>
  </si>
  <si>
    <t>Product_474</t>
  </si>
  <si>
    <t>Product_475</t>
  </si>
  <si>
    <t>Product_476</t>
  </si>
  <si>
    <t>Product_477</t>
  </si>
  <si>
    <t>Product_478</t>
  </si>
  <si>
    <t>Product_479</t>
  </si>
  <si>
    <t>Product_480</t>
  </si>
  <si>
    <t>Product_481</t>
  </si>
  <si>
    <t>Product_482</t>
  </si>
  <si>
    <t>Product_483</t>
  </si>
  <si>
    <t>Product_484</t>
  </si>
  <si>
    <t>Product_485</t>
  </si>
  <si>
    <t>Product_486</t>
  </si>
  <si>
    <t>Product_487</t>
  </si>
  <si>
    <t>Product_488</t>
  </si>
  <si>
    <t>Product_489</t>
  </si>
  <si>
    <t>Product_490</t>
  </si>
  <si>
    <t>Product_491</t>
  </si>
  <si>
    <t>Product_492</t>
  </si>
  <si>
    <t>Product_493</t>
  </si>
  <si>
    <t>Product_494</t>
  </si>
  <si>
    <t>Product_495</t>
  </si>
  <si>
    <t>Product_496</t>
  </si>
  <si>
    <t>Product_497</t>
  </si>
  <si>
    <t>Product_498</t>
  </si>
  <si>
    <t>Product_499</t>
  </si>
  <si>
    <t>Product_500</t>
  </si>
  <si>
    <t>ElecTronics</t>
  </si>
  <si>
    <t>Electronics</t>
  </si>
  <si>
    <t>FOOD</t>
  </si>
  <si>
    <t>Clothing</t>
  </si>
  <si>
    <t>Furniture</t>
  </si>
  <si>
    <t>Stationery</t>
  </si>
  <si>
    <t>StationeRY</t>
  </si>
  <si>
    <t>Food</t>
  </si>
  <si>
    <t>Product Description</t>
  </si>
  <si>
    <t>Use Data Validation under the Data tab to restrict input types.</t>
  </si>
  <si>
    <r>
      <t>Ensure Price</t>
    </r>
    <r>
      <rPr>
        <sz val="11"/>
        <color rgb="FF000000"/>
        <rFont val="Calibri"/>
        <family val="2"/>
        <scheme val="minor"/>
      </rPr>
      <t xml:space="preserve"> and </t>
    </r>
    <r>
      <rPr>
        <sz val="11"/>
        <color theme="1"/>
        <rFont val="Calibri"/>
        <family val="2"/>
        <scheme val="minor"/>
      </rPr>
      <t>Quantity_Available</t>
    </r>
    <r>
      <rPr>
        <sz val="11"/>
        <color rgb="FF000000"/>
        <rFont val="Calibri"/>
        <family val="2"/>
        <scheme val="minor"/>
      </rPr>
      <t xml:space="preserve"> are numeric, and </t>
    </r>
    <r>
      <rPr>
        <sz val="11"/>
        <color theme="1"/>
        <rFont val="Calibri"/>
        <family val="2"/>
        <scheme val="minor"/>
      </rPr>
      <t>Rating</t>
    </r>
    <r>
      <rPr>
        <sz val="11"/>
        <color rgb="FF000000"/>
        <rFont val="Calibri"/>
        <family val="2"/>
        <scheme val="minor"/>
      </rPr>
      <t xml:space="preserve"> is a decimal.</t>
    </r>
  </si>
  <si>
    <t>Highlight unnecessary columns and delete them or hide them if required for later use.</t>
  </si>
  <si>
    <t>Let me know if you’d like further guidance on implementing these steps!</t>
  </si>
  <si>
    <r>
      <t>Use conditional formatting to highlight outliers or filter using IF</t>
    </r>
    <r>
      <rPr>
        <sz val="11"/>
        <color rgb="FF000000"/>
        <rFont val="Calibri"/>
        <family val="2"/>
        <scheme val="minor"/>
      </rPr>
      <t xml:space="preserve"> formulas or slicers.</t>
    </r>
  </si>
  <si>
    <t>Correct spelling or category mismatches (e.g., "Laptops" vs. "Laptop").</t>
  </si>
  <si>
    <r>
      <t>Ensure consistent case for Product_Name</t>
    </r>
    <r>
      <rPr>
        <sz val="11"/>
        <color rgb="FF000000"/>
        <rFont val="Calibri"/>
        <family val="2"/>
        <scheme val="minor"/>
      </rPr>
      <t xml:space="preserve"> (e.g., capitalize each word).</t>
    </r>
  </si>
  <si>
    <t>Fill missing values with appropriate replacements (e.g., average price or a placeholder).</t>
  </si>
  <si>
    <t>In Excel, go to Data &gt; Remove Duplicates.</t>
  </si>
  <si>
    <r>
      <t>Identify duplicate rows based on Product_ID</t>
    </r>
    <r>
      <rPr>
        <sz val="11"/>
        <color rgb="FF000000"/>
        <rFont val="Calibri"/>
        <family val="2"/>
        <scheme val="minor"/>
      </rPr>
      <t xml:space="preserve"> or </t>
    </r>
    <r>
      <rPr>
        <sz val="11"/>
        <color theme="1"/>
        <rFont val="Calibri"/>
        <family val="2"/>
        <scheme val="minor"/>
      </rPr>
      <t>Product_Name</t>
    </r>
    <r>
      <rPr>
        <sz val="11"/>
        <color rgb="FF000000"/>
        <rFont val="Calibri"/>
        <family val="2"/>
        <scheme val="minor"/>
      </rPr>
      <t>.</t>
    </r>
  </si>
  <si>
    <t>proper</t>
  </si>
  <si>
    <t>New Stock</t>
  </si>
  <si>
    <t>Mumbai-110065</t>
  </si>
  <si>
    <t>Pune-110089</t>
  </si>
  <si>
    <t>Mumbai</t>
  </si>
  <si>
    <t>Pune</t>
  </si>
  <si>
    <t>Surat-110076</t>
  </si>
  <si>
    <t>pincode</t>
  </si>
  <si>
    <t>Surat</t>
  </si>
  <si>
    <t>City-pincode</t>
  </si>
  <si>
    <t>EMP ID</t>
  </si>
  <si>
    <t>Salesman</t>
  </si>
  <si>
    <t>Target Status</t>
  </si>
  <si>
    <t>Target Condition</t>
  </si>
  <si>
    <t>Sales Achieved</t>
  </si>
  <si>
    <t>&gt;=50000</t>
  </si>
  <si>
    <t>&lt;50000</t>
  </si>
  <si>
    <t>Status</t>
  </si>
  <si>
    <t>Completed</t>
  </si>
  <si>
    <t>Incomplete</t>
  </si>
  <si>
    <t>INCENTIVE CALCULATION</t>
  </si>
  <si>
    <t>75000&gt;</t>
  </si>
  <si>
    <t>50000&gt;</t>
  </si>
  <si>
    <t>Percentage</t>
  </si>
  <si>
    <t>Incentive(IFS)</t>
  </si>
  <si>
    <t>Incentive(IF)</t>
  </si>
  <si>
    <t>Name</t>
  </si>
  <si>
    <t>Working (years)</t>
  </si>
  <si>
    <r>
      <t xml:space="preserve">Use of </t>
    </r>
    <r>
      <rPr>
        <b/>
        <sz val="11"/>
        <color rgb="FF000000"/>
        <rFont val="Calibri"/>
        <family val="2"/>
        <scheme val="minor"/>
      </rPr>
      <t>AND</t>
    </r>
    <r>
      <rPr>
        <sz val="11"/>
        <color rgb="FF000000"/>
        <rFont val="Calibri"/>
        <family val="2"/>
        <scheme val="minor"/>
      </rPr>
      <t xml:space="preserve"> / </t>
    </r>
    <r>
      <rPr>
        <b/>
        <sz val="11"/>
        <color rgb="FF000000"/>
        <rFont val="Calibri"/>
        <family val="2"/>
        <scheme val="minor"/>
      </rPr>
      <t>OR</t>
    </r>
  </si>
  <si>
    <t>Both</t>
  </si>
  <si>
    <t>Promotion</t>
  </si>
  <si>
    <t>5&gt;</t>
  </si>
  <si>
    <t>Yes</t>
  </si>
  <si>
    <t>Any One</t>
  </si>
  <si>
    <t>5&gt;=</t>
  </si>
  <si>
    <t>Promotion(AND)</t>
  </si>
  <si>
    <t>Promotion(or)</t>
  </si>
  <si>
    <t>Sale Date</t>
  </si>
  <si>
    <t>Region</t>
  </si>
  <si>
    <t>State</t>
  </si>
  <si>
    <t>City</t>
  </si>
  <si>
    <t>Product</t>
  </si>
  <si>
    <t>Quantity</t>
  </si>
  <si>
    <t>Price per Unit</t>
  </si>
  <si>
    <t>Sales Amount</t>
  </si>
  <si>
    <t>6/24/2023</t>
  </si>
  <si>
    <t>1/23/2023</t>
  </si>
  <si>
    <t>11/30/2023</t>
  </si>
  <si>
    <t>12/29/2023</t>
  </si>
  <si>
    <t>11/20/2023</t>
  </si>
  <si>
    <t>10/14/2023</t>
  </si>
  <si>
    <t>2/16/2023</t>
  </si>
  <si>
    <t>5/19/2023</t>
  </si>
  <si>
    <t>5/24/2023</t>
  </si>
  <si>
    <t>10/26/2023</t>
  </si>
  <si>
    <t>10/27/2023</t>
  </si>
  <si>
    <t>2/15/2023</t>
  </si>
  <si>
    <t>3/13/2023</t>
  </si>
  <si>
    <t>6/18/2023</t>
  </si>
  <si>
    <t>7/18/2023</t>
  </si>
  <si>
    <t>12/30/2023</t>
  </si>
  <si>
    <t>2/20/2023</t>
  </si>
  <si>
    <t>10/13/2023</t>
  </si>
  <si>
    <t>9/14/2023</t>
  </si>
  <si>
    <t>8/31/2023</t>
  </si>
  <si>
    <t>10/20/2023</t>
  </si>
  <si>
    <t>7/25/2023</t>
  </si>
  <si>
    <t>11/27/2023</t>
  </si>
  <si>
    <t>10/31/2023</t>
  </si>
  <si>
    <t>1/15/2023</t>
  </si>
  <si>
    <t>9/20/2023</t>
  </si>
  <si>
    <t>2/13/2023</t>
  </si>
  <si>
    <t>7/27/2023</t>
  </si>
  <si>
    <t>10/30/2023</t>
  </si>
  <si>
    <t>8/28/2023</t>
  </si>
  <si>
    <t>7/24/2023</t>
  </si>
  <si>
    <t>8/18/2023</t>
  </si>
  <si>
    <t>5/23/2023</t>
  </si>
  <si>
    <t>11/19/2023</t>
  </si>
  <si>
    <t>2/21/2023</t>
  </si>
  <si>
    <t>11/17/2023</t>
  </si>
  <si>
    <t>3/17/2023</t>
  </si>
  <si>
    <t>5/16/2023</t>
  </si>
  <si>
    <t>6/30/2023</t>
  </si>
  <si>
    <t>3/26/2023</t>
  </si>
  <si>
    <t>9/18/2023</t>
  </si>
  <si>
    <t>9/30/2023</t>
  </si>
  <si>
    <t>12/18/2023</t>
  </si>
  <si>
    <t>6/27/2023</t>
  </si>
  <si>
    <t>8/17/2023</t>
  </si>
  <si>
    <t>4/26/2023</t>
  </si>
  <si>
    <t>7/30/2023</t>
  </si>
  <si>
    <t>1/20/2023</t>
  </si>
  <si>
    <t>2/17/2023</t>
  </si>
  <si>
    <t>10/25/2023</t>
  </si>
  <si>
    <t>7/23/2023</t>
  </si>
  <si>
    <t>1/13/2023</t>
  </si>
  <si>
    <t>9/15/2023</t>
  </si>
  <si>
    <t>9/26/2023</t>
  </si>
  <si>
    <t>11/14/2023</t>
  </si>
  <si>
    <t>4/30/2023</t>
  </si>
  <si>
    <t>1/27/2023</t>
  </si>
  <si>
    <t>3/24/2023</t>
  </si>
  <si>
    <t>12/14/2023</t>
  </si>
  <si>
    <t>5/22/2023</t>
  </si>
  <si>
    <t>4/13/2023</t>
  </si>
  <si>
    <t>6/15/2023</t>
  </si>
  <si>
    <t>8/16/2023</t>
  </si>
  <si>
    <t>9/19/2023</t>
  </si>
  <si>
    <t>1/26/2023</t>
  </si>
  <si>
    <t>7/17/2023</t>
  </si>
  <si>
    <t>10/15/2023</t>
  </si>
  <si>
    <t>3/25/2023</t>
  </si>
  <si>
    <t>1/17/2023</t>
  </si>
  <si>
    <t>6/19/2023</t>
  </si>
  <si>
    <t>8/29/2023</t>
  </si>
  <si>
    <t>11/21/2023</t>
  </si>
  <si>
    <t>4/17/2023</t>
  </si>
  <si>
    <t>11/28/2023</t>
  </si>
  <si>
    <t>3/14/2023</t>
  </si>
  <si>
    <t>11/16/2023</t>
  </si>
  <si>
    <t>12/15/2023</t>
  </si>
  <si>
    <t>2/22/2023</t>
  </si>
  <si>
    <t>3/19/2023</t>
  </si>
  <si>
    <t>11/25/2023</t>
  </si>
  <si>
    <t>9/17/2023</t>
  </si>
  <si>
    <t>2/24/2023</t>
  </si>
  <si>
    <t>12/26/2023</t>
  </si>
  <si>
    <t>3/23/2023</t>
  </si>
  <si>
    <t>10/24/2023</t>
  </si>
  <si>
    <t>5/31/2023</t>
  </si>
  <si>
    <t>12/23/2023</t>
  </si>
  <si>
    <t>12/25/2023</t>
  </si>
  <si>
    <t>3/27/2023</t>
  </si>
  <si>
    <t>1/24/2023</t>
  </si>
  <si>
    <t>9/24/2023</t>
  </si>
  <si>
    <t>8/24/2023</t>
  </si>
  <si>
    <t>11/15/2023</t>
  </si>
  <si>
    <t>2/19/2023</t>
  </si>
  <si>
    <t>3/28/2023</t>
  </si>
  <si>
    <t>8/22/2023</t>
  </si>
  <si>
    <t>11/13/2023</t>
  </si>
  <si>
    <t>1/16/2023</t>
  </si>
  <si>
    <t>11/22/2023</t>
  </si>
  <si>
    <t>7/21/2023</t>
  </si>
  <si>
    <t>12/19/2023</t>
  </si>
  <si>
    <t>12/24/2023</t>
  </si>
  <si>
    <t>2/28/2023</t>
  </si>
  <si>
    <t>2/18/2023</t>
  </si>
  <si>
    <t>4/21/2023</t>
  </si>
  <si>
    <t>8/23/2023</t>
  </si>
  <si>
    <t>8/20/2023</t>
  </si>
  <si>
    <t>4/15/2023</t>
  </si>
  <si>
    <t>5/13/2023</t>
  </si>
  <si>
    <t>5/15/2023</t>
  </si>
  <si>
    <t>3/30/2023</t>
  </si>
  <si>
    <t>8/14/2023</t>
  </si>
  <si>
    <t>1/19/2023</t>
  </si>
  <si>
    <t>1/29/2023</t>
  </si>
  <si>
    <t>11/24/2023</t>
  </si>
  <si>
    <t>3/15/2023</t>
  </si>
  <si>
    <t>2/14/2023</t>
  </si>
  <si>
    <t>10/29/2023</t>
  </si>
  <si>
    <t>12/13/2023</t>
  </si>
  <si>
    <t>4/20/2023</t>
  </si>
  <si>
    <t>10/16/2023</t>
  </si>
  <si>
    <t>4/23/2023</t>
  </si>
  <si>
    <t>7/14/2023</t>
  </si>
  <si>
    <t>9/16/2023</t>
  </si>
  <si>
    <t>11/23/2023</t>
  </si>
  <si>
    <t>10/18/2023</t>
  </si>
  <si>
    <t>2/25/2023</t>
  </si>
  <si>
    <t>10/21/2023</t>
  </si>
  <si>
    <t>3/31/2023</t>
  </si>
  <si>
    <t>3/16/2023</t>
  </si>
  <si>
    <t>9/22/2023</t>
  </si>
  <si>
    <t>5/25/2023</t>
  </si>
  <si>
    <t>6/20/2023</t>
  </si>
  <si>
    <t>6/28/2023</t>
  </si>
  <si>
    <t>8/26/2023</t>
  </si>
  <si>
    <t>3/18/2023</t>
  </si>
  <si>
    <t>4/19/2023</t>
  </si>
  <si>
    <t>6/13/2023</t>
  </si>
  <si>
    <t>8/27/2023</t>
  </si>
  <si>
    <t>7/26/2023</t>
  </si>
  <si>
    <t>4/24/2023</t>
  </si>
  <si>
    <t>5/14/2023</t>
  </si>
  <si>
    <t>5/30/2023</t>
  </si>
  <si>
    <t>8/21/2023</t>
  </si>
  <si>
    <t>6/29/2023</t>
  </si>
  <si>
    <t>10/19/2023</t>
  </si>
  <si>
    <t>12/16/2023</t>
  </si>
  <si>
    <t>4/28/2023</t>
  </si>
  <si>
    <t>12/31/2023</t>
  </si>
  <si>
    <t>1/14/2023</t>
  </si>
  <si>
    <t>7/20/2023</t>
  </si>
  <si>
    <t>1/30/2023</t>
  </si>
  <si>
    <t>9/29/2023</t>
  </si>
  <si>
    <t>11/18/2023</t>
  </si>
  <si>
    <t>9/23/2023</t>
  </si>
  <si>
    <t>5/18/2023</t>
  </si>
  <si>
    <t>4/18/2023</t>
  </si>
  <si>
    <t>4/29/2023</t>
  </si>
  <si>
    <t>4/22/2023</t>
  </si>
  <si>
    <t>7/13/2023</t>
  </si>
  <si>
    <t>11/26/2023</t>
  </si>
  <si>
    <t>6/17/2023</t>
  </si>
  <si>
    <t>10/28/2023</t>
  </si>
  <si>
    <t>8/30/2023</t>
  </si>
  <si>
    <t>12/27/2023</t>
  </si>
  <si>
    <t>7/22/2023</t>
  </si>
  <si>
    <t>5/27/2023</t>
  </si>
  <si>
    <t>4/27/2023</t>
  </si>
  <si>
    <t>2/27/2023</t>
  </si>
  <si>
    <t>12/22/2023</t>
  </si>
  <si>
    <t>5/28/2023</t>
  </si>
  <si>
    <t>9/25/2023</t>
  </si>
  <si>
    <t>3/21/2023</t>
  </si>
  <si>
    <t>8/25/2023</t>
  </si>
  <si>
    <t>4/25/2023</t>
  </si>
  <si>
    <t>5/17/2023</t>
  </si>
  <si>
    <t>6/21/2023</t>
  </si>
  <si>
    <t>2/23/2023</t>
  </si>
  <si>
    <t>7/31/2023</t>
  </si>
  <si>
    <t>1/25/2023</t>
  </si>
  <si>
    <t>9/13/2023</t>
  </si>
  <si>
    <t>3/22/2023</t>
  </si>
  <si>
    <t>1/22/2023</t>
  </si>
  <si>
    <t>1/31/2023</t>
  </si>
  <si>
    <t>6/23/2023</t>
  </si>
  <si>
    <t>3/29/2023</t>
  </si>
  <si>
    <t>12/20/2023</t>
  </si>
  <si>
    <t>4/14/2023</t>
  </si>
  <si>
    <t>5/26/2023</t>
  </si>
  <si>
    <t>5/20/2023</t>
  </si>
  <si>
    <t>7/15/2023</t>
  </si>
  <si>
    <t>10/23/2023</t>
  </si>
  <si>
    <t>1/21/2023</t>
  </si>
  <si>
    <t>7/28/2023</t>
  </si>
  <si>
    <t>6/14/2023</t>
  </si>
  <si>
    <t>12/28/2023</t>
  </si>
  <si>
    <t>5/21/2023</t>
  </si>
  <si>
    <t>6/22/2023</t>
  </si>
  <si>
    <t>7/19/2023</t>
  </si>
  <si>
    <t>5/29/2023</t>
  </si>
  <si>
    <t>4/16/2023</t>
  </si>
  <si>
    <t>7/16/2023</t>
  </si>
  <si>
    <t>8/13/2023</t>
  </si>
  <si>
    <t>9/28/2023</t>
  </si>
  <si>
    <t>7/29/2023</t>
  </si>
  <si>
    <t>1/28/2023</t>
  </si>
  <si>
    <t>12/21/2023</t>
  </si>
  <si>
    <t>1/18/2023</t>
  </si>
  <si>
    <t>West</t>
  </si>
  <si>
    <t>South</t>
  </si>
  <si>
    <t>North</t>
  </si>
  <si>
    <t>Maharashtra</t>
  </si>
  <si>
    <t>Karnataka</t>
  </si>
  <si>
    <t>Tamil Nadu</t>
  </si>
  <si>
    <t>Delhi</t>
  </si>
  <si>
    <t>Gujarat</t>
  </si>
  <si>
    <t>Mysuru</t>
  </si>
  <si>
    <t>Chennai</t>
  </si>
  <si>
    <t>Madurai</t>
  </si>
  <si>
    <t>New Delhi</t>
  </si>
  <si>
    <t>Nagpur</t>
  </si>
  <si>
    <t>Coimbatore</t>
  </si>
  <si>
    <t>Hubli</t>
  </si>
  <si>
    <t>Ahmedabad</t>
  </si>
  <si>
    <t>Vadodara</t>
  </si>
  <si>
    <t>Bengaluru</t>
  </si>
  <si>
    <t>Karol Bagh</t>
  </si>
  <si>
    <t>Dwarka</t>
  </si>
  <si>
    <t>Groceries</t>
  </si>
  <si>
    <t>Customer Name</t>
  </si>
  <si>
    <t>Product Category</t>
  </si>
  <si>
    <t>Product Name</t>
  </si>
  <si>
    <t>6/25/2023</t>
  </si>
  <si>
    <t>12/17/2023</t>
  </si>
  <si>
    <t>9/21/2023</t>
  </si>
  <si>
    <t>6/26/2023</t>
  </si>
  <si>
    <t>11/29/2023</t>
  </si>
  <si>
    <t>10/22/2023</t>
  </si>
  <si>
    <t>2/26/2023</t>
  </si>
  <si>
    <t>3/20/2023</t>
  </si>
  <si>
    <t>8/19/2023</t>
  </si>
  <si>
    <t>10/17/2023</t>
  </si>
  <si>
    <t>6/16/2023</t>
  </si>
  <si>
    <t>9/27/2023</t>
  </si>
  <si>
    <t>8/15/2023</t>
  </si>
  <si>
    <t>Meera</t>
  </si>
  <si>
    <t>Vihaan</t>
  </si>
  <si>
    <t>Nishant</t>
  </si>
  <si>
    <t>Aditi</t>
  </si>
  <si>
    <t>Ishita</t>
  </si>
  <si>
    <t>Aarav</t>
  </si>
  <si>
    <t>Riya</t>
  </si>
  <si>
    <t>Aryan</t>
  </si>
  <si>
    <t>Ananya</t>
  </si>
  <si>
    <t>Kabir</t>
  </si>
  <si>
    <t>Table</t>
  </si>
  <si>
    <t>Ruler</t>
  </si>
  <si>
    <t>Dress</t>
  </si>
  <si>
    <t>Lentils</t>
  </si>
  <si>
    <t>Eraser</t>
  </si>
  <si>
    <t>Pants</t>
  </si>
  <si>
    <t>Shirt</t>
  </si>
  <si>
    <t>Rice</t>
  </si>
  <si>
    <t>Sugar</t>
  </si>
  <si>
    <t>Bed</t>
  </si>
  <si>
    <t>Oil</t>
  </si>
  <si>
    <t>Jacket</t>
  </si>
  <si>
    <t>Pen</t>
  </si>
  <si>
    <t>Smartphone</t>
  </si>
  <si>
    <t>Tablet</t>
  </si>
  <si>
    <t>Sofa</t>
  </si>
  <si>
    <t>Notebook</t>
  </si>
  <si>
    <t>Chair</t>
  </si>
  <si>
    <t>Joining Date</t>
  </si>
  <si>
    <t>Greater than</t>
  </si>
  <si>
    <t>Emp_type</t>
  </si>
  <si>
    <t>Grade6</t>
  </si>
  <si>
    <t>Grade5</t>
  </si>
  <si>
    <t>Grade4</t>
  </si>
  <si>
    <t>Grade3</t>
  </si>
  <si>
    <t>Grade2</t>
  </si>
  <si>
    <t>Grade1</t>
  </si>
  <si>
    <t>Class/Subjects</t>
  </si>
  <si>
    <t>8:00 AM - 8:45 AM</t>
  </si>
  <si>
    <t>8:45 AM - 9:30 AM</t>
  </si>
  <si>
    <t>9:30 AM - 10:15 AM</t>
  </si>
  <si>
    <t>10:15 AM - 11:00 AM</t>
  </si>
  <si>
    <t>11:00 AM - 11:15 AM (Break)</t>
  </si>
  <si>
    <t>11:15 AM - 12:00 PM</t>
  </si>
  <si>
    <t>12:00 PM - 12:45 PM</t>
  </si>
  <si>
    <t>12:45 PM - 1:30 PM</t>
  </si>
  <si>
    <t>1:30 PM - 2:15 PM</t>
  </si>
  <si>
    <t>Mathematics</t>
  </si>
  <si>
    <t>Science</t>
  </si>
  <si>
    <t>English</t>
  </si>
  <si>
    <t>History</t>
  </si>
  <si>
    <t>Geography</t>
  </si>
  <si>
    <t>Physical Education</t>
  </si>
  <si>
    <t>Art</t>
  </si>
  <si>
    <t>Computer Science</t>
  </si>
  <si>
    <t>Mathematics (Ms. Johnson)</t>
  </si>
  <si>
    <t>Science (Mr. Smith)</t>
  </si>
  <si>
    <t>English (Mrs. Lee)</t>
  </si>
  <si>
    <t>History (Mr. Brown)</t>
  </si>
  <si>
    <t>Geography (Ms. Davis)</t>
  </si>
  <si>
    <t>Physical Education (Mr. Wilson)</t>
  </si>
  <si>
    <t>Art (Ms. Taylor)</t>
  </si>
  <si>
    <t>Computer Science (Mr. White)</t>
  </si>
  <si>
    <t>Mathematics (Mr. Smith)</t>
  </si>
  <si>
    <t>Science (Mrs. Lee)</t>
  </si>
  <si>
    <t>English (Mr. Brown)</t>
  </si>
  <si>
    <t>History (Ms. Davis)</t>
  </si>
  <si>
    <t>Geography (Mr. Wilson)</t>
  </si>
  <si>
    <t>Physical Education (Ms. Taylor)</t>
  </si>
  <si>
    <t>Art (Mr. White)</t>
  </si>
  <si>
    <t>Computer Science (Ms. Johnson)</t>
  </si>
  <si>
    <t>Mathematics (Mrs. Lee)</t>
  </si>
  <si>
    <t>Science (Mr. Brown)</t>
  </si>
  <si>
    <t>English (Ms. Davis)</t>
  </si>
  <si>
    <t>History (Mr. Wilson)</t>
  </si>
  <si>
    <t>Geography (Ms. Taylor)</t>
  </si>
  <si>
    <t>Physical Education (Mr. White)</t>
  </si>
  <si>
    <t>Art (Ms. Johnson)</t>
  </si>
  <si>
    <t>Computer Science (Mr. Smith)</t>
  </si>
  <si>
    <t>Mathematics (Mr. Brown)</t>
  </si>
  <si>
    <t>Science (Ms. Davis)</t>
  </si>
  <si>
    <t>English (Mr. Wilson)</t>
  </si>
  <si>
    <t>History (Ms. Taylor)</t>
  </si>
  <si>
    <t>Geography (Mr. White)</t>
  </si>
  <si>
    <t>Physical Education (Ms. Johnson)</t>
  </si>
  <si>
    <t>Art (Mr. Smith)</t>
  </si>
  <si>
    <t>Computer Science (Mrs. Lee)</t>
  </si>
  <si>
    <t>Break</t>
  </si>
  <si>
    <t>Mathematics (Mr. Wilson)</t>
  </si>
  <si>
    <t>Science (Ms. Taylor)</t>
  </si>
  <si>
    <t>English (Mr. White)</t>
  </si>
  <si>
    <t>History (Ms. Johnson)</t>
  </si>
  <si>
    <t>Geography (Mr. Smith)</t>
  </si>
  <si>
    <t>Physical Education (Mrs. Lee)</t>
  </si>
  <si>
    <t>Art (Mr. Brown)</t>
  </si>
  <si>
    <t>Computer Science (Ms. Davis)</t>
  </si>
  <si>
    <t>Mathematics (Ms. Taylor)</t>
  </si>
  <si>
    <t>Science (Mr. White)</t>
  </si>
  <si>
    <t>English (Ms. Johnson)</t>
  </si>
  <si>
    <t>History (Mr. Smith)</t>
  </si>
  <si>
    <t>Geography (Mrs. Lee)</t>
  </si>
  <si>
    <t>Physical Education (Mr. Brown)</t>
  </si>
  <si>
    <t>Art (Ms. Davis)</t>
  </si>
  <si>
    <t>Computer Science (Mr. Wilson)</t>
  </si>
  <si>
    <t>Mathematics (Mr. White)</t>
  </si>
  <si>
    <t>Science (Ms. Johnson)</t>
  </si>
  <si>
    <t>English (Mr. Smith)</t>
  </si>
  <si>
    <t>History (Mrs. Lee)</t>
  </si>
  <si>
    <t>Geography (Mr. Brown)</t>
  </si>
  <si>
    <t>Physical Education (Ms. Davis)</t>
  </si>
  <si>
    <t>Art (Mr. Wilson)</t>
  </si>
  <si>
    <t>Computer Science (Ms. Taylor)</t>
  </si>
  <si>
    <t>Row</t>
  </si>
  <si>
    <t>Column</t>
  </si>
  <si>
    <t xml:space="preserve">Total transaction by each state </t>
  </si>
  <si>
    <t>State/Category</t>
  </si>
  <si>
    <t>tot trans by each state as well prod.cat</t>
  </si>
  <si>
    <t>Total quantity sold by region</t>
  </si>
  <si>
    <t>Product/Region</t>
  </si>
  <si>
    <t>Average sales amount</t>
  </si>
  <si>
    <t>Product /State</t>
  </si>
  <si>
    <t>Project ID</t>
  </si>
  <si>
    <t>P101</t>
  </si>
  <si>
    <t>P102</t>
  </si>
  <si>
    <t>P103</t>
  </si>
  <si>
    <t>P104</t>
  </si>
  <si>
    <t>P105</t>
  </si>
  <si>
    <t>Start Date</t>
  </si>
  <si>
    <t>End Date</t>
  </si>
  <si>
    <t>Days Remaining</t>
  </si>
  <si>
    <t>Employee Name</t>
  </si>
  <si>
    <t>John Doe</t>
  </si>
  <si>
    <t>Jane Smith</t>
  </si>
  <si>
    <t>Robert Brown</t>
  </si>
  <si>
    <t>Emily Davis</t>
  </si>
  <si>
    <t>Michael Johnson</t>
  </si>
  <si>
    <t>Date of Joining</t>
  </si>
  <si>
    <t>Date of Birth</t>
  </si>
  <si>
    <t>WORK DAYS</t>
  </si>
  <si>
    <t>HOLIDAYS</t>
  </si>
  <si>
    <t>12-31-2024</t>
  </si>
  <si>
    <t>12-25-2024</t>
  </si>
  <si>
    <t>12-30-2024</t>
  </si>
  <si>
    <t>12-13-2024</t>
  </si>
  <si>
    <t>12-14-2024</t>
  </si>
  <si>
    <t>12-15-2024</t>
  </si>
  <si>
    <t>12-16-2024</t>
  </si>
  <si>
    <t>12-17-2024</t>
  </si>
  <si>
    <t>12-18-2024</t>
  </si>
  <si>
    <t>12-19-2024</t>
  </si>
  <si>
    <t>12-20-2024</t>
  </si>
  <si>
    <t>12-21-2024</t>
  </si>
  <si>
    <t>12-22-2024</t>
  </si>
  <si>
    <t>12-23-2024</t>
  </si>
  <si>
    <t>12-24-2024</t>
  </si>
  <si>
    <t>12-26-2024</t>
  </si>
  <si>
    <t>12-27-2024</t>
  </si>
  <si>
    <t>12-28-2024</t>
  </si>
  <si>
    <t>12-29-2024</t>
  </si>
  <si>
    <t>Row Labels</t>
  </si>
  <si>
    <t>Grand Total</t>
  </si>
  <si>
    <t>Sum of Quantity</t>
  </si>
  <si>
    <t>Emp Code</t>
  </si>
  <si>
    <t>Sales Executive</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</si>
  <si>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</si>
  <si>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</si>
  <si>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</si>
  <si>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</si>
  <si>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</si>
  <si>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</si>
  <si>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</si>
  <si>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</si>
  <si>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</si>
  <si>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</si>
  <si>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</si>
  <si>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</si>
  <si>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</si>
  <si>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</si>
  <si>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</si>
  <si>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</si>
  <si>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</si>
  <si>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</si>
  <si>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</si>
  <si>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</si>
  <si>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</si>
  <si>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</si>
  <si>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</si>
  <si>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</si>
  <si>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</si>
  <si>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</si>
  <si>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</si>
  <si>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</si>
  <si>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</si>
  <si>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</si>
  <si>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</si>
  <si>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</si>
  <si>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</si>
  <si>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</si>
  <si>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</si>
  <si>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</si>
  <si>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</si>
  <si>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</si>
  <si>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</si>
  <si>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</si>
  <si>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</si>
  <si>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</si>
  <si>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</si>
  <si>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</si>
  <si>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</si>
  <si>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</si>
  <si>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</si>
  <si>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</si>
  <si>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</si>
  <si>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</si>
  <si>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</si>
  <si>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</si>
  <si>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</si>
  <si>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</si>
  <si>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</si>
  <si>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</si>
  <si>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</si>
  <si>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</si>
  <si>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</si>
  <si>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</si>
  <si>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</si>
  <si>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</si>
  <si>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</si>
  <si>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</si>
  <si>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</si>
  <si>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</si>
  <si>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</si>
  <si>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</si>
  <si>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</si>
  <si>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</si>
  <si>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</si>
  <si>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</si>
  <si>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</si>
  <si>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</si>
  <si>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</si>
  <si>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</si>
  <si>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</si>
  <si>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</si>
  <si>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</si>
  <si>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</si>
  <si>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</si>
  <si>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</si>
  <si>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</si>
  <si>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</si>
  <si>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</si>
  <si>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</si>
  <si>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</si>
  <si>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</si>
  <si>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</si>
  <si>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</si>
  <si>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</si>
  <si>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</si>
  <si>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</si>
  <si>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</si>
  <si>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</si>
  <si>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</si>
  <si>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</si>
  <si>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</si>
  <si>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</si>
  <si>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</si>
  <si>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</si>
  <si>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</si>
  <si>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</si>
  <si>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</si>
  <si>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</si>
  <si>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</si>
  <si>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</si>
  <si>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</si>
  <si>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</si>
  <si>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</si>
  <si>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</si>
  <si>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</si>
  <si>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</si>
  <si>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</si>
  <si>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</si>
  <si>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</si>
  <si>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</si>
  <si>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</si>
  <si>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</si>
  <si>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</si>
  <si>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</si>
  <si>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</si>
  <si>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</si>
  <si>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</si>
  <si>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</si>
  <si>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</si>
  <si>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</si>
  <si>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</si>
  <si>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</si>
  <si>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</si>
  <si>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</si>
  <si>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</si>
  <si>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</si>
  <si>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</si>
  <si>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</si>
  <si>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</si>
  <si>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</si>
  <si>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</si>
  <si>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</si>
  <si>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</si>
  <si>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</si>
  <si>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</si>
  <si>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</si>
  <si>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</si>
  <si>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</si>
  <si>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</si>
  <si>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</si>
  <si>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</si>
  <si>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</si>
  <si>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</si>
  <si>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Raj Verma</t>
  </si>
  <si>
    <t>Tanuja Kale</t>
  </si>
  <si>
    <t>Arvind Sharma</t>
  </si>
  <si>
    <t>Tahira Qureshi</t>
  </si>
  <si>
    <t>Anuj Sharma</t>
  </si>
  <si>
    <t>Syed Sohail</t>
  </si>
  <si>
    <t>Syed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</si>
  <si>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</si>
  <si>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</si>
  <si>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</si>
  <si>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</si>
  <si>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</si>
  <si>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</si>
  <si>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</si>
  <si>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</si>
  <si>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</si>
  <si>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</si>
  <si>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</si>
  <si>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</si>
  <si>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</si>
  <si>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</si>
  <si>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Shivji Prasad</t>
  </si>
  <si>
    <t>Shephali Jain</t>
  </si>
  <si>
    <t>Sheena Joseph</t>
  </si>
  <si>
    <t>Sheeba Joseph</t>
  </si>
  <si>
    <t>Shashikant Tiwari</t>
  </si>
  <si>
    <t>Shankar Attendant</t>
  </si>
  <si>
    <t>Shailendra Barge</t>
  </si>
  <si>
    <t>Shailaja Kamal</t>
  </si>
  <si>
    <t>Saroj Parita</t>
  </si>
  <si>
    <t>Sapna Sharma</t>
  </si>
  <si>
    <t>Santosh Kumar</t>
  </si>
  <si>
    <t>Sanju Ramdas</t>
  </si>
  <si>
    <t>Sanjiv Subherwal</t>
  </si>
  <si>
    <t>Sanjay Hire</t>
  </si>
  <si>
    <t>Salim</t>
  </si>
  <si>
    <t>Sajid Naqvi</t>
  </si>
  <si>
    <t>Roohi Haider</t>
  </si>
  <si>
    <t>Roma Rastogi</t>
  </si>
  <si>
    <t>Roli Bhatnagar</t>
  </si>
  <si>
    <t>Rohit Nishchal</t>
  </si>
  <si>
    <t>Ritu Bhatnagar</t>
  </si>
  <si>
    <t>Renu Pratap</t>
  </si>
  <si>
    <t>Rekha Jain</t>
  </si>
  <si>
    <t>Rekha Gupta</t>
  </si>
  <si>
    <t>Rekha Agarwal</t>
  </si>
  <si>
    <t>Ravinder Kaur</t>
  </si>
  <si>
    <t>Ravi Kumar</t>
  </si>
  <si>
    <t>Rashmi Gajbe</t>
  </si>
  <si>
    <t>Rashid</t>
  </si>
  <si>
    <t>Ramji Prasad</t>
  </si>
  <si>
    <t>Rakhi Jodhani</t>
  </si>
  <si>
    <t>Rajshree Dhabekar</t>
  </si>
  <si>
    <t>Raji Abraham</t>
  </si>
  <si>
    <t>Rajesh Sharma</t>
  </si>
  <si>
    <t>Rajesh Kumar</t>
  </si>
  <si>
    <t>Rajendra Prasad</t>
  </si>
  <si>
    <t>Rajendra Kumar</t>
  </si>
  <si>
    <t>Rajendra Gupta</t>
  </si>
  <si>
    <t>Rajeev Kumar</t>
  </si>
  <si>
    <t>Rajeev Garg</t>
  </si>
  <si>
    <t>Raj Kumar</t>
  </si>
  <si>
    <t>Rachna Chauhan</t>
  </si>
  <si>
    <t>Rachita Anupam</t>
  </si>
  <si>
    <t>Rachel Mathew</t>
  </si>
  <si>
    <t>Praveen Kumar</t>
  </si>
  <si>
    <t>Prasannakumari S</t>
  </si>
  <si>
    <t>Pramod Tiwari</t>
  </si>
  <si>
    <t>Prabha Desikan</t>
  </si>
  <si>
    <t>Partha Sarathi</t>
  </si>
  <si>
    <t>Pankaj Shelkey</t>
  </si>
  <si>
    <t>Owais Mohd</t>
  </si>
  <si>
    <t>Omprakash O</t>
  </si>
  <si>
    <t>Om Prakash</t>
  </si>
  <si>
    <t>Nitin Bhatia</t>
  </si>
  <si>
    <t>Nikita Panwalkar</t>
  </si>
  <si>
    <t>Neeru Mehta</t>
  </si>
  <si>
    <t>Neeraj Saxena</t>
  </si>
  <si>
    <t>Narayan Singh</t>
  </si>
  <si>
    <t>Nandu Kumar</t>
  </si>
  <si>
    <t>Mukesh Nagar</t>
  </si>
  <si>
    <t>Mubeen Khan</t>
  </si>
  <si>
    <t>Mohd Rafi</t>
  </si>
  <si>
    <t>Miny Mole</t>
  </si>
  <si>
    <t>Mercy Thampi</t>
  </si>
  <si>
    <t>Mehnaz Khan</t>
  </si>
  <si>
    <t>Meena Zinjare</t>
  </si>
  <si>
    <t>Masroor Adil</t>
  </si>
  <si>
    <t>Manoj Kumar</t>
  </si>
  <si>
    <t>ManjuTiwari Lab</t>
  </si>
  <si>
    <t>Manjusha Sinha</t>
  </si>
  <si>
    <t>Manisha Shrivastava</t>
  </si>
  <si>
    <t>Mangal Singh</t>
  </si>
  <si>
    <t>Lilly Lucy</t>
  </si>
  <si>
    <t>Leena George</t>
  </si>
  <si>
    <t>Kunj Bihari</t>
  </si>
  <si>
    <t>Krishana Kumar</t>
  </si>
  <si>
    <t>Kisun Sah</t>
  </si>
  <si>
    <t>Kiran Khubchandani</t>
  </si>
  <si>
    <t>Kavita Sharma</t>
  </si>
  <si>
    <t>Kamini Tiwari</t>
  </si>
  <si>
    <t>Kamini Kumar</t>
  </si>
  <si>
    <t>Kalpana Agrawal</t>
  </si>
  <si>
    <t>Kailash Nath</t>
  </si>
  <si>
    <t>Kahkasha Parveen</t>
  </si>
  <si>
    <t>Jyoti Tulsani</t>
  </si>
  <si>
    <t>Julie S</t>
  </si>
  <si>
    <t>John D'Costa</t>
  </si>
  <si>
    <t>Jitendra Kumar</t>
  </si>
  <si>
    <t>Janardan Mishra</t>
  </si>
  <si>
    <t>Jairaj Vatham</t>
  </si>
  <si>
    <t>Jagdish Chandra</t>
  </si>
  <si>
    <t>Indra Singh</t>
  </si>
  <si>
    <t>Indra Pal</t>
  </si>
  <si>
    <t>Heeramani Choudhary</t>
  </si>
  <si>
    <t>Hari Kumar</t>
  </si>
  <si>
    <t>Dinesh Kumar</t>
  </si>
  <si>
    <t>Deepika Nigam</t>
  </si>
  <si>
    <t>Deepak Kumar</t>
  </si>
  <si>
    <t>Daleep Singh</t>
  </si>
  <si>
    <t>Bindu Nair</t>
  </si>
  <si>
    <t>Bhagwat Singh</t>
  </si>
  <si>
    <t>Azam</t>
  </si>
  <si>
    <t>Atul Kumar</t>
  </si>
  <si>
    <t>Ashok Mahto</t>
  </si>
  <si>
    <t>Ashok Kumar</t>
  </si>
  <si>
    <t>Ashish Kumar</t>
  </si>
  <si>
    <t>Arun Kumar</t>
  </si>
  <si>
    <t>Anubhuti Gupta</t>
  </si>
  <si>
    <t>Anoop Raj</t>
  </si>
  <si>
    <t>Anoop Narayan</t>
  </si>
  <si>
    <t>Annu Latika</t>
  </si>
  <si>
    <t>Anjali Sahay</t>
  </si>
  <si>
    <t>Anjali Deoram</t>
  </si>
  <si>
    <t>Anita Ghore</t>
  </si>
  <si>
    <t>Anita Dixit</t>
  </si>
  <si>
    <t>Anil Kumar</t>
  </si>
  <si>
    <t>Anikuttan</t>
  </si>
  <si>
    <t>Anamika Gupta</t>
  </si>
  <si>
    <t>Afzal Husain</t>
  </si>
  <si>
    <t>Abdul Hamid</t>
  </si>
  <si>
    <t>Patna</t>
  </si>
  <si>
    <t>Ranchi</t>
  </si>
  <si>
    <t xml:space="preserve"> 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</si>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</sst>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8" formatCode="&quot;₹&quot;\ #,##0.00;[Red]&quot;₹&quot;\ \-#,##0.00"/>
    <numFmt numFmtId="44" formatCode="_ &quot;₹&quot;\ * #,##0.00_ ;_ &quot;₹&quot;\ * \-#,##0.00_ ;_ &quot;₹&quot;\ * &quot;-&quot;??_ ;_ @_ "/>
    <numFmt numFmtId="164" formatCode="_ [$₹-4009]\ * #,##0.00_ ;_ [$₹-4009]\ * \-#,##0.00_ ;_ [$₹-4009]\ * &quot;-&quot;??_ ;_ @_ "/>
  </numFmts>
  <fonts count="12">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theme="1"/>
      <name val="Play"/>
    </font>
    <font>
      <sz val="11"/>
      <color rgb="FF000000"/>
      <name val="Calibri"/>
      <family val="2"/>
      <scheme val="minor"/>
    </font>
    <font>
      <b/>
      <sz val="11"/>
      <color rgb="FF000000"/>
      <name val="Calibri"/>
      <family val="2"/>
      <scheme val="minor"/>
    </font>
    <font>
      <sz val="8"/>
      <name val="Segoe UI"/>
      <family val="2"/>
    </font>
    <font>
      <b/>
      <sz val="11"/>
      <color theme="1"/>
      <name val="Aptos Narrow"/>
      <family val="2"/>
    </font>
    <font>
      <sz val="11"/>
      <color theme="1"/>
      <name val="Aptos Narrow"/>
      <family val="2"/>
    </font>
    <font>
      <b/>
      <sz val="10"/>
      <color theme="1"/>
      <name val="Calibri"/>
      <family val="2"/>
      <scheme val="minor"/>
    </font>
    <font>
      <sz val="10"/>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rgb="FFFF99FF"/>
        <bgColor indexed="64"/>
      </patternFill>
    </fill>
    <fill>
      <patternFill patternType="solid">
        <fgColor rgb="FF92D050"/>
        <bgColor indexed="64"/>
      </patternFill>
    </fill>
    <fill>
      <patternFill patternType="solid">
        <fgColor rgb="FFFF7C80"/>
        <bgColor indexed="64"/>
      </patternFill>
    </fill>
    <fill>
      <patternFill patternType="solid">
        <fgColor rgb="FFB9A5F7"/>
        <bgColor indexed="64"/>
      </patternFill>
    </fill>
    <fill>
      <patternFill patternType="solid">
        <fgColor rgb="FF00B050"/>
        <bgColor indexed="64"/>
      </patternFill>
    </fill>
    <fill>
      <patternFill patternType="solid">
        <fgColor rgb="FF00B0F0"/>
        <bgColor indexed="64"/>
      </patternFill>
    </fill>
    <fill>
      <patternFill patternType="solid">
        <fgColor rgb="FFCCFFCC"/>
        <bgColor indexed="64"/>
      </patternFill>
    </fill>
    <fill>
      <patternFill patternType="solid">
        <fgColor rgb="FFCCFF66"/>
        <bgColor indexed="64"/>
      </patternFill>
    </fill>
    <fill>
      <patternFill patternType="solid">
        <fgColor theme="0"/>
        <bgColor indexed="64"/>
      </patternFill>
    </fill>
    <fill>
      <patternFill patternType="solid">
        <fgColor theme="5" tint="0.39997558519241921"/>
        <bgColor indexed="64"/>
      </patternFill>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bottom style="medium">
        <color rgb="FF000000"/>
      </bottom>
      <diagonal/>
    </border>
    <border>
      <left style="medium">
        <color rgb="FF000000"/>
      </left>
      <right/>
      <top/>
      <bottom style="medium">
        <color rgb="FF000000"/>
      </bottom>
      <diagonal/>
    </border>
    <border>
      <left style="medium">
        <color rgb="FF000000"/>
      </left>
      <right/>
      <top style="medium">
        <color rgb="FFCCCCCC"/>
      </top>
      <bottom style="medium">
        <color rgb="FF000000"/>
      </bottom>
      <diagonal/>
    </border>
    <border>
      <left style="medium">
        <color rgb="FFCCCCCC"/>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CCCCCC"/>
      </left>
      <right style="medium">
        <color rgb="FF000000"/>
      </right>
      <top/>
      <bottom style="medium">
        <color rgb="FF000000"/>
      </bottom>
      <diagonal/>
    </border>
    <border>
      <left style="medium">
        <color rgb="FFCCCCCC"/>
      </left>
      <right style="medium">
        <color rgb="FF000000"/>
      </right>
      <top/>
      <bottom/>
      <diagonal/>
    </border>
    <border>
      <left style="medium">
        <color rgb="FFCCCCCC"/>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rgb="FFCCCCCC"/>
      </left>
      <right style="medium">
        <color rgb="FFCCCCCC"/>
      </right>
      <top style="medium">
        <color rgb="FF000000"/>
      </top>
      <bottom style="medium">
        <color rgb="FFCCCCCC"/>
      </bottom>
      <diagonal/>
    </border>
    <border>
      <left style="medium">
        <color indexed="64"/>
      </left>
      <right/>
      <top style="medium">
        <color indexed="64"/>
      </top>
      <bottom style="medium">
        <color indexed="64"/>
      </bottom>
      <diagonal/>
    </border>
    <border>
      <left style="medium">
        <color rgb="FFCCCCCC"/>
      </left>
      <right style="medium">
        <color rgb="FFCCCCCC"/>
      </right>
      <top/>
      <bottom style="medium">
        <color rgb="FFCCCCCC"/>
      </bottom>
      <diagonal/>
    </border>
  </borders>
  <cellStyleXfs count="2">
    <xf numFmtId="0" fontId="0" fillId="0" borderId="0"/>
    <xf numFmtId="44" fontId="1" fillId="0" borderId="0" applyFont="0" applyFill="0" applyBorder="0" applyAlignment="0" applyProtection="0"/>
  </cellStyleXfs>
  <cellXfs count="140">
    <xf numFmtId="0" fontId="0" fillId="0" borderId="0" xfId="0"/>
    <xf numFmtId="0" fontId="0" fillId="0" borderId="1" xfId="0" applyBorder="1"/>
    <xf numFmtId="0" fontId="0" fillId="0" borderId="2" xfId="0" applyBorder="1" applyAlignment="1">
      <alignment wrapText="1"/>
    </xf>
    <xf numFmtId="0" fontId="0" fillId="0" borderId="3" xfId="0" applyBorder="1" applyAlignment="1">
      <alignment wrapText="1"/>
    </xf>
    <xf numFmtId="0" fontId="0" fillId="3" borderId="3" xfId="0" applyFill="1" applyBorder="1" applyAlignment="1">
      <alignment wrapText="1"/>
    </xf>
    <xf numFmtId="0" fontId="2" fillId="2" borderId="1" xfId="1" applyNumberFormat="1" applyFont="1" applyFill="1" applyBorder="1" applyAlignment="1">
      <alignment horizontal="center"/>
    </xf>
    <xf numFmtId="14" fontId="0" fillId="0" borderId="3" xfId="0" applyNumberFormat="1" applyBorder="1" applyAlignment="1">
      <alignment horizontal="right" wrapText="1"/>
    </xf>
    <xf numFmtId="0" fontId="0" fillId="0" borderId="3" xfId="0" applyBorder="1" applyAlignment="1">
      <alignment horizontal="right" wrapText="1"/>
    </xf>
    <xf numFmtId="14" fontId="0" fillId="3" borderId="3" xfId="0" applyNumberFormat="1" applyFill="1" applyBorder="1" applyAlignment="1">
      <alignment horizontal="right" wrapText="1"/>
    </xf>
    <xf numFmtId="14" fontId="0" fillId="0" borderId="2" xfId="1" applyNumberFormat="1" applyFont="1" applyBorder="1" applyAlignment="1">
      <alignment horizontal="right" wrapText="1"/>
    </xf>
    <xf numFmtId="14" fontId="2" fillId="2" borderId="1" xfId="1" applyNumberFormat="1" applyFont="1" applyFill="1" applyBorder="1" applyAlignment="1">
      <alignment horizontal="center"/>
    </xf>
    <xf numFmtId="164" fontId="2" fillId="2" borderId="1" xfId="1" applyNumberFormat="1" applyFont="1" applyFill="1" applyBorder="1" applyAlignment="1">
      <alignment horizontal="center"/>
    </xf>
    <xf numFmtId="164" fontId="0" fillId="0" borderId="2" xfId="0" applyNumberFormat="1" applyBorder="1" applyAlignment="1">
      <alignment horizontal="right" wrapText="1"/>
    </xf>
    <xf numFmtId="164" fontId="0" fillId="0" borderId="3" xfId="0" applyNumberFormat="1" applyBorder="1" applyAlignment="1">
      <alignment horizontal="right" wrapText="1"/>
    </xf>
    <xf numFmtId="164" fontId="0" fillId="3" borderId="3" xfId="0" applyNumberFormat="1" applyFill="1" applyBorder="1" applyAlignment="1">
      <alignment horizontal="right" wrapText="1"/>
    </xf>
    <xf numFmtId="164" fontId="0" fillId="0" borderId="0" xfId="0" applyNumberFormat="1"/>
    <xf numFmtId="0" fontId="0" fillId="0" borderId="4" xfId="0" applyBorder="1" applyAlignment="1">
      <alignment horizontal="right" wrapText="1"/>
    </xf>
    <xf numFmtId="0" fontId="0" fillId="0" borderId="0" xfId="0" applyAlignment="1">
      <alignment vertical="center"/>
    </xf>
    <xf numFmtId="0" fontId="0" fillId="0" borderId="4" xfId="0" applyBorder="1" applyAlignment="1">
      <alignment wrapText="1"/>
    </xf>
    <xf numFmtId="0" fontId="0" fillId="0" borderId="1" xfId="0" applyBorder="1" applyAlignment="1">
      <alignment horizontal="right" wrapText="1"/>
    </xf>
    <xf numFmtId="0" fontId="0" fillId="0" borderId="1" xfId="0" applyBorder="1" applyAlignment="1">
      <alignment wrapText="1"/>
    </xf>
    <xf numFmtId="0" fontId="0" fillId="0" borderId="1" xfId="0" applyBorder="1" applyAlignment="1">
      <alignment vertical="center" wrapText="1"/>
    </xf>
    <xf numFmtId="0" fontId="0" fillId="0" borderId="1" xfId="0" applyBorder="1" applyAlignment="1">
      <alignment vertical="center"/>
    </xf>
    <xf numFmtId="0" fontId="2" fillId="3" borderId="0" xfId="0" applyFont="1" applyFill="1" applyAlignment="1">
      <alignment horizontal="center"/>
    </xf>
    <xf numFmtId="0" fontId="4" fillId="0" borderId="2" xfId="0" applyFont="1" applyBorder="1" applyAlignment="1">
      <alignment vertical="center" wrapText="1"/>
    </xf>
    <xf numFmtId="0" fontId="4" fillId="0" borderId="3" xfId="0" applyFont="1" applyBorder="1" applyAlignment="1">
      <alignment vertical="center" wrapText="1"/>
    </xf>
    <xf numFmtId="0" fontId="4" fillId="0" borderId="0" xfId="0" applyFont="1" applyAlignment="1">
      <alignment vertical="center" wrapText="1"/>
    </xf>
    <xf numFmtId="0" fontId="2" fillId="4" borderId="1" xfId="0" applyFont="1" applyFill="1" applyBorder="1" applyAlignment="1">
      <alignment horizontal="center" vertical="top" wrapText="1"/>
    </xf>
    <xf numFmtId="0" fontId="2" fillId="4" borderId="1" xfId="0" applyFont="1" applyFill="1" applyBorder="1" applyAlignment="1">
      <alignment horizontal="center" vertical="center"/>
    </xf>
    <xf numFmtId="0" fontId="2" fillId="4" borderId="1" xfId="0" applyFont="1" applyFill="1" applyBorder="1" applyAlignment="1">
      <alignment horizontal="center"/>
    </xf>
    <xf numFmtId="0" fontId="0" fillId="0" borderId="4" xfId="0" applyBorder="1" applyAlignment="1">
      <alignment vertical="top" wrapText="1"/>
    </xf>
    <xf numFmtId="0" fontId="0" fillId="0" borderId="4" xfId="0" applyBorder="1" applyAlignment="1">
      <alignment horizontal="right" vertical="top" wrapText="1"/>
    </xf>
    <xf numFmtId="0" fontId="0" fillId="0" borderId="4" xfId="0" applyBorder="1" applyAlignment="1">
      <alignment vertical="top"/>
    </xf>
    <xf numFmtId="0" fontId="2" fillId="5" borderId="0" xfId="0" applyFont="1" applyFill="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vertical="top"/>
    </xf>
    <xf numFmtId="0" fontId="0" fillId="0" borderId="2" xfId="0" applyBorder="1" applyAlignment="1">
      <alignment horizontal="right" wrapText="1"/>
    </xf>
    <xf numFmtId="0" fontId="0" fillId="0" borderId="5" xfId="0" applyBorder="1" applyAlignment="1">
      <alignment wrapText="1"/>
    </xf>
    <xf numFmtId="0" fontId="0" fillId="0" borderId="5" xfId="0" applyBorder="1" applyAlignment="1">
      <alignment vertical="top" wrapText="1"/>
    </xf>
    <xf numFmtId="0" fontId="0" fillId="0" borderId="6" xfId="0" applyBorder="1" applyAlignment="1">
      <alignment horizontal="right" wrapText="1"/>
    </xf>
    <xf numFmtId="0" fontId="0" fillId="0" borderId="7" xfId="0" applyBorder="1" applyAlignment="1">
      <alignment horizontal="right" wrapText="1"/>
    </xf>
    <xf numFmtId="0" fontId="6" fillId="3" borderId="0" xfId="0" applyFont="1" applyFill="1"/>
    <xf numFmtId="9" fontId="0" fillId="0" borderId="4" xfId="0" applyNumberFormat="1" applyBorder="1" applyAlignment="1">
      <alignment horizontal="right" wrapText="1"/>
    </xf>
    <xf numFmtId="0" fontId="2" fillId="7" borderId="1" xfId="0" applyFont="1" applyFill="1" applyBorder="1" applyAlignment="1">
      <alignment horizontal="center"/>
    </xf>
    <xf numFmtId="0" fontId="2" fillId="7" borderId="1" xfId="0" applyFont="1" applyFill="1" applyBorder="1" applyAlignment="1">
      <alignment horizontal="center" vertical="top"/>
    </xf>
    <xf numFmtId="0" fontId="2" fillId="8" borderId="2" xfId="0" applyFont="1" applyFill="1" applyBorder="1" applyAlignment="1">
      <alignment horizontal="center" wrapText="1"/>
    </xf>
    <xf numFmtId="0" fontId="2" fillId="8" borderId="10" xfId="0" applyFont="1" applyFill="1" applyBorder="1" applyAlignment="1">
      <alignment horizontal="center" wrapText="1"/>
    </xf>
    <xf numFmtId="0" fontId="5" fillId="0" borderId="0" xfId="0" applyFont="1"/>
    <xf numFmtId="0" fontId="0" fillId="0" borderId="10" xfId="0" applyBorder="1" applyAlignment="1">
      <alignment wrapText="1"/>
    </xf>
    <xf numFmtId="0" fontId="0" fillId="0" borderId="13" xfId="0" applyBorder="1" applyAlignment="1">
      <alignment horizontal="center" vertical="center" wrapText="1"/>
    </xf>
    <xf numFmtId="0" fontId="5" fillId="0" borderId="1" xfId="0" applyFont="1" applyBorder="1"/>
    <xf numFmtId="0" fontId="6" fillId="0" borderId="1" xfId="0" applyFont="1" applyBorder="1"/>
    <xf numFmtId="0" fontId="2" fillId="8" borderId="14" xfId="0" applyFont="1" applyFill="1" applyBorder="1" applyAlignment="1">
      <alignment horizontal="center" wrapText="1"/>
    </xf>
    <xf numFmtId="0" fontId="2" fillId="8" borderId="14" xfId="0" applyFont="1" applyFill="1" applyBorder="1" applyAlignment="1">
      <alignment horizontal="center" vertical="top" wrapText="1"/>
    </xf>
    <xf numFmtId="164" fontId="0" fillId="0" borderId="11" xfId="0" applyNumberFormat="1" applyBorder="1" applyAlignment="1">
      <alignment horizontal="right" wrapText="1"/>
    </xf>
    <xf numFmtId="164" fontId="0" fillId="0" borderId="7" xfId="0" applyNumberFormat="1" applyBorder="1" applyAlignment="1">
      <alignment horizontal="right" wrapText="1"/>
    </xf>
    <xf numFmtId="0" fontId="0" fillId="0" borderId="1" xfId="0" applyBorder="1" applyAlignment="1">
      <alignment vertical="top"/>
    </xf>
    <xf numFmtId="0" fontId="0" fillId="7" borderId="11" xfId="0" applyFill="1" applyBorder="1" applyAlignment="1">
      <alignment horizontal="center" wrapText="1"/>
    </xf>
    <xf numFmtId="0" fontId="0" fillId="7" borderId="12" xfId="0" applyFill="1" applyBorder="1" applyAlignment="1">
      <alignment horizontal="center" wrapText="1"/>
    </xf>
    <xf numFmtId="0" fontId="2" fillId="6" borderId="8" xfId="0" applyFont="1" applyFill="1" applyBorder="1" applyAlignment="1">
      <alignment horizontal="center" vertical="top" wrapText="1"/>
    </xf>
    <xf numFmtId="0" fontId="2" fillId="6" borderId="9" xfId="0" applyFont="1" applyFill="1" applyBorder="1" applyAlignment="1">
      <alignment horizontal="center" vertical="top" wrapText="1"/>
    </xf>
    <xf numFmtId="14" fontId="0" fillId="0" borderId="0" xfId="0" applyNumberFormat="1"/>
    <xf numFmtId="14" fontId="0" fillId="0" borderId="4" xfId="0" applyNumberFormat="1" applyBorder="1" applyAlignment="1">
      <alignment horizontal="right" wrapText="1"/>
    </xf>
    <xf numFmtId="14" fontId="0" fillId="0" borderId="4" xfId="0" applyNumberFormat="1" applyBorder="1" applyAlignment="1">
      <alignment horizontal="right" vertical="top" wrapText="1"/>
    </xf>
    <xf numFmtId="0" fontId="2" fillId="9" borderId="4" xfId="0" applyFont="1" applyFill="1" applyBorder="1" applyAlignment="1">
      <alignment horizontal="center" wrapText="1"/>
    </xf>
    <xf numFmtId="0" fontId="2" fillId="10" borderId="4" xfId="0" applyFont="1" applyFill="1" applyBorder="1" applyAlignment="1">
      <alignment horizontal="center" wrapText="1"/>
    </xf>
    <xf numFmtId="0" fontId="2" fillId="10" borderId="4" xfId="0" applyFont="1" applyFill="1" applyBorder="1" applyAlignment="1">
      <alignment horizontal="center" vertical="top" wrapText="1"/>
    </xf>
    <xf numFmtId="0" fontId="2" fillId="10" borderId="15" xfId="0" applyFont="1" applyFill="1" applyBorder="1" applyAlignment="1">
      <alignment horizontal="center" wrapText="1"/>
    </xf>
    <xf numFmtId="0" fontId="0" fillId="0" borderId="15" xfId="0" applyFill="1" applyBorder="1" applyAlignment="1">
      <alignment horizontal="right" wrapText="1"/>
    </xf>
    <xf numFmtId="0" fontId="8" fillId="11" borderId="2" xfId="0" applyFont="1" applyFill="1" applyBorder="1" applyAlignment="1">
      <alignment horizontal="center" wrapText="1"/>
    </xf>
    <xf numFmtId="0" fontId="8" fillId="11" borderId="10" xfId="0" applyFont="1" applyFill="1" applyBorder="1" applyAlignment="1">
      <alignment horizontal="center" wrapText="1"/>
    </xf>
    <xf numFmtId="0" fontId="9" fillId="0" borderId="2" xfId="0" applyFont="1" applyBorder="1" applyAlignment="1">
      <alignment wrapText="1"/>
    </xf>
    <xf numFmtId="0" fontId="9" fillId="0" borderId="3" xfId="0" applyFont="1" applyBorder="1" applyAlignment="1">
      <alignment wrapText="1"/>
    </xf>
    <xf numFmtId="8" fontId="9" fillId="0" borderId="2" xfId="0" applyNumberFormat="1" applyFont="1" applyBorder="1" applyAlignment="1">
      <alignment horizontal="right" wrapText="1"/>
    </xf>
    <xf numFmtId="8" fontId="9" fillId="0" borderId="3" xfId="0" applyNumberFormat="1" applyFont="1" applyBorder="1" applyAlignment="1">
      <alignment horizontal="right" wrapText="1"/>
    </xf>
    <xf numFmtId="14" fontId="9" fillId="0" borderId="2" xfId="0" applyNumberFormat="1" applyFont="1" applyBorder="1" applyAlignment="1">
      <alignment horizontal="right" wrapText="1"/>
    </xf>
    <xf numFmtId="14" fontId="9" fillId="0" borderId="3" xfId="0" applyNumberFormat="1" applyFont="1" applyBorder="1" applyAlignment="1">
      <alignment horizontal="right" wrapText="1"/>
    </xf>
    <xf numFmtId="0" fontId="8" fillId="11" borderId="2" xfId="0" applyFont="1" applyFill="1" applyBorder="1" applyAlignment="1">
      <alignment horizontal="center" vertical="top" wrapText="1"/>
    </xf>
    <xf numFmtId="0" fontId="9" fillId="0" borderId="4" xfId="0" applyFont="1" applyBorder="1" applyAlignment="1">
      <alignment horizontal="right" wrapText="1"/>
    </xf>
    <xf numFmtId="0" fontId="9" fillId="0" borderId="4" xfId="0" applyFont="1" applyBorder="1" applyAlignment="1">
      <alignment wrapText="1"/>
    </xf>
    <xf numFmtId="0" fontId="8" fillId="10" borderId="2" xfId="0" applyFont="1" applyFill="1" applyBorder="1" applyAlignment="1">
      <alignment horizontal="center" vertical="top" wrapText="1"/>
    </xf>
    <xf numFmtId="0" fontId="8" fillId="10" borderId="10" xfId="0" applyFont="1" applyFill="1" applyBorder="1" applyAlignment="1">
      <alignment horizontal="center" vertical="top" wrapText="1"/>
    </xf>
    <xf numFmtId="0" fontId="8" fillId="10" borderId="14" xfId="0" applyFont="1" applyFill="1" applyBorder="1" applyAlignment="1">
      <alignment horizontal="center" vertical="top" wrapText="1"/>
    </xf>
    <xf numFmtId="0" fontId="8" fillId="3" borderId="2" xfId="0" applyFont="1" applyFill="1" applyBorder="1" applyAlignment="1">
      <alignment horizontal="center" vertical="top" wrapText="1"/>
    </xf>
    <xf numFmtId="0" fontId="8" fillId="3" borderId="10" xfId="0" applyFont="1" applyFill="1" applyBorder="1" applyAlignment="1">
      <alignment horizontal="center" vertical="top" wrapText="1"/>
    </xf>
    <xf numFmtId="164" fontId="9" fillId="0" borderId="2" xfId="0" applyNumberFormat="1" applyFont="1" applyBorder="1" applyAlignment="1">
      <alignment horizontal="right" wrapText="1"/>
    </xf>
    <xf numFmtId="164" fontId="9" fillId="0" borderId="3" xfId="0" applyNumberFormat="1" applyFont="1" applyBorder="1" applyAlignment="1">
      <alignment horizontal="right" wrapText="1"/>
    </xf>
    <xf numFmtId="0" fontId="8" fillId="3" borderId="17" xfId="0" applyFont="1" applyFill="1" applyBorder="1" applyAlignment="1">
      <alignment horizontal="center" wrapText="1"/>
    </xf>
    <xf numFmtId="0" fontId="8" fillId="3" borderId="18" xfId="0" applyFont="1" applyFill="1" applyBorder="1" applyAlignment="1">
      <alignment horizontal="center" vertical="top" wrapText="1"/>
    </xf>
    <xf numFmtId="0" fontId="8" fillId="3" borderId="19" xfId="0" applyFont="1" applyFill="1" applyBorder="1" applyAlignment="1">
      <alignment horizontal="center" vertical="top" wrapText="1"/>
    </xf>
    <xf numFmtId="0" fontId="9" fillId="0" borderId="20" xfId="0" applyFont="1" applyBorder="1" applyAlignment="1">
      <alignment wrapText="1"/>
    </xf>
    <xf numFmtId="0" fontId="9" fillId="0" borderId="4" xfId="0" applyFont="1" applyBorder="1" applyAlignment="1">
      <alignment vertical="top" wrapText="1"/>
    </xf>
    <xf numFmtId="0" fontId="9" fillId="0" borderId="20" xfId="0" applyFont="1" applyBorder="1" applyAlignment="1">
      <alignment vertical="top" wrapText="1"/>
    </xf>
    <xf numFmtId="0" fontId="8" fillId="5" borderId="2" xfId="0" applyFont="1" applyFill="1" applyBorder="1" applyAlignment="1">
      <alignment horizontal="center" vertical="top" wrapText="1"/>
    </xf>
    <xf numFmtId="0" fontId="8" fillId="5" borderId="10" xfId="0" applyFont="1" applyFill="1" applyBorder="1" applyAlignment="1">
      <alignment horizontal="center" vertical="top" wrapText="1"/>
    </xf>
    <xf numFmtId="0" fontId="0" fillId="0" borderId="0" xfId="0" applyAlignment="1">
      <alignment horizontal="center"/>
    </xf>
    <xf numFmtId="0" fontId="2" fillId="5" borderId="16" xfId="0" applyFont="1" applyFill="1" applyBorder="1"/>
    <xf numFmtId="14" fontId="9" fillId="0" borderId="4" xfId="0" applyNumberFormat="1" applyFont="1" applyBorder="1" applyAlignment="1">
      <alignment horizontal="right" wrapText="1"/>
    </xf>
    <xf numFmtId="0" fontId="8" fillId="12" borderId="4" xfId="0" applyFont="1" applyFill="1" applyBorder="1" applyAlignment="1">
      <alignment horizontal="center" vertical="center" wrapText="1"/>
    </xf>
    <xf numFmtId="0" fontId="8" fillId="12" borderId="0" xfId="0" applyFont="1" applyFill="1" applyBorder="1" applyAlignment="1">
      <alignment horizontal="center" vertical="center" wrapText="1"/>
    </xf>
    <xf numFmtId="0" fontId="8" fillId="13" borderId="4" xfId="0" applyFont="1" applyFill="1" applyBorder="1" applyAlignment="1">
      <alignment horizontal="center" vertical="center" wrapText="1"/>
    </xf>
    <xf numFmtId="0" fontId="9" fillId="14" borderId="4" xfId="0" applyFont="1" applyFill="1" applyBorder="1" applyAlignment="1">
      <alignment wrapText="1"/>
    </xf>
    <xf numFmtId="0" fontId="9" fillId="14" borderId="4" xfId="0" applyFont="1" applyFill="1" applyBorder="1" applyAlignment="1">
      <alignment vertical="center" wrapText="1"/>
    </xf>
    <xf numFmtId="0" fontId="2" fillId="12" borderId="0" xfId="0" applyFont="1" applyFill="1" applyAlignment="1">
      <alignment vertical="top"/>
    </xf>
    <xf numFmtId="0" fontId="0" fillId="0" borderId="0" xfId="0" applyBorder="1"/>
    <xf numFmtId="0" fontId="0" fillId="0" borderId="0" xfId="0" applyBorder="1" applyAlignment="1">
      <alignment vertical="top"/>
    </xf>
    <xf numFmtId="0" fontId="0" fillId="0" borderId="15" xfId="0" applyBorder="1" applyAlignment="1">
      <alignment vertical="top"/>
    </xf>
    <xf numFmtId="0" fontId="2" fillId="0" borderId="0" xfId="0" applyFont="1" applyFill="1" applyBorder="1" applyAlignment="1">
      <alignment horizontal="center" vertical="center"/>
    </xf>
    <xf numFmtId="0" fontId="2" fillId="12" borderId="16" xfId="0" applyFont="1" applyFill="1" applyBorder="1" applyAlignment="1">
      <alignment horizontal="center" vertical="center"/>
    </xf>
    <xf numFmtId="0" fontId="9" fillId="0" borderId="22" xfId="0" applyFont="1" applyBorder="1" applyAlignment="1">
      <alignment wrapText="1"/>
    </xf>
    <xf numFmtId="0" fontId="8" fillId="12" borderId="21" xfId="0" applyFont="1" applyFill="1" applyBorder="1" applyAlignment="1">
      <alignment horizontal="center" vertical="center" wrapText="1"/>
    </xf>
    <xf numFmtId="0" fontId="2" fillId="12" borderId="0" xfId="0" applyFont="1" applyFill="1" applyAlignment="1">
      <alignment horizontal="center" vertical="top"/>
    </xf>
    <xf numFmtId="0" fontId="9" fillId="13" borderId="4" xfId="0" applyFont="1" applyFill="1" applyBorder="1" applyAlignment="1">
      <alignment wrapText="1"/>
    </xf>
    <xf numFmtId="0" fontId="2" fillId="0" borderId="2" xfId="0" applyFont="1" applyBorder="1" applyAlignment="1">
      <alignment horizontal="center" vertical="top" wrapText="1"/>
    </xf>
    <xf numFmtId="0" fontId="2" fillId="0" borderId="2" xfId="0" applyFont="1" applyBorder="1" applyAlignment="1">
      <alignment horizontal="center" vertical="center" wrapText="1"/>
    </xf>
    <xf numFmtId="0" fontId="0" fillId="0" borderId="4" xfId="0" applyBorder="1" applyAlignment="1">
      <alignment vertical="center" wrapText="1"/>
    </xf>
    <xf numFmtId="14" fontId="0" fillId="0" borderId="4" xfId="0" applyNumberFormat="1" applyBorder="1" applyAlignment="1">
      <alignment wrapText="1"/>
    </xf>
    <xf numFmtId="0" fontId="6" fillId="0" borderId="0" xfId="0" applyFont="1"/>
    <xf numFmtId="14" fontId="0" fillId="0" borderId="0" xfId="0" applyNumberFormat="1" applyFill="1" applyBorder="1" applyAlignment="1">
      <alignment wrapText="1"/>
    </xf>
    <xf numFmtId="14" fontId="0" fillId="0" borderId="20" xfId="0" applyNumberFormat="1" applyBorder="1" applyAlignment="1">
      <alignment horizontal="right" wrapText="1"/>
    </xf>
    <xf numFmtId="0" fontId="2" fillId="0" borderId="0" xfId="0" applyFont="1" applyAlignment="1">
      <alignment horizontal="center"/>
    </xf>
    <xf numFmtId="0" fontId="0" fillId="0" borderId="4" xfId="0" applyNumberFormat="1" applyBorder="1" applyAlignment="1">
      <alignment horizontal="right" wrapText="1"/>
    </xf>
    <xf numFmtId="0" fontId="8" fillId="8" borderId="4"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0" fillId="15" borderId="2" xfId="0" applyFont="1" applyFill="1" applyBorder="1" applyAlignment="1">
      <alignment horizontal="center" vertical="top" wrapText="1"/>
    </xf>
    <xf numFmtId="0" fontId="10" fillId="15" borderId="10" xfId="0" applyFont="1" applyFill="1" applyBorder="1" applyAlignment="1">
      <alignment horizontal="center" vertical="top" wrapText="1"/>
    </xf>
    <xf numFmtId="0" fontId="11" fillId="16" borderId="2" xfId="0" applyFont="1" applyFill="1" applyBorder="1" applyAlignment="1">
      <alignment horizontal="center" vertical="center" wrapText="1"/>
    </xf>
    <xf numFmtId="0" fontId="11" fillId="16" borderId="3" xfId="0" applyFont="1" applyFill="1" applyBorder="1" applyAlignment="1">
      <alignment horizontal="center" vertical="center" wrapText="1"/>
    </xf>
    <xf numFmtId="0" fontId="0" fillId="16" borderId="2" xfId="0" applyFill="1" applyBorder="1" applyAlignment="1">
      <alignment wrapText="1"/>
    </xf>
    <xf numFmtId="0" fontId="0" fillId="16" borderId="3" xfId="0" applyFill="1" applyBorder="1" applyAlignment="1">
      <alignment wrapText="1"/>
    </xf>
    <xf numFmtId="0" fontId="0" fillId="16" borderId="2" xfId="0" applyFill="1" applyBorder="1" applyAlignment="1">
      <alignment vertical="top" wrapText="1"/>
    </xf>
    <xf numFmtId="0" fontId="0" fillId="16" borderId="3" xfId="0" applyFill="1" applyBorder="1" applyAlignment="1">
      <alignment vertical="top" wrapText="1"/>
    </xf>
    <xf numFmtId="0" fontId="0" fillId="16" borderId="3" xfId="0" applyFill="1" applyBorder="1" applyAlignment="1">
      <alignment horizontal="center" wrapText="1"/>
    </xf>
    <xf numFmtId="10" fontId="0" fillId="0" borderId="0" xfId="0" applyNumberFormat="1"/>
    <xf numFmtId="10" fontId="11" fillId="16" borderId="2" xfId="0" applyNumberFormat="1" applyFont="1" applyFill="1" applyBorder="1" applyAlignment="1">
      <alignment horizontal="center" vertical="center" wrapText="1"/>
    </xf>
    <xf numFmtId="10" fontId="11" fillId="16" borderId="3" xfId="0" applyNumberFormat="1" applyFont="1" applyFill="1" applyBorder="1" applyAlignment="1">
      <alignment horizontal="center" vertical="center" wrapText="1"/>
    </xf>
    <xf numFmtId="0" fontId="0" fillId="17" borderId="0" xfId="0" applyFill="1"/>
  </cellXfs>
  <cellStyles count="2">
    <cellStyle name="Currency" xfId="1" builtinId="4"/>
    <cellStyle name="Normal" xfId="0" builtinId="0"/>
  </cellStyles>
  <dxfs count="3">
    <dxf>
      <fill>
        <patternFill>
          <bgColor theme="0"/>
        </patternFill>
      </fill>
    </dxf>
    <dxf>
      <fill>
        <patternFill>
          <bgColor theme="1" tint="0.24994659260841701"/>
        </patternFill>
      </fill>
    </dxf>
    <dxf>
      <fill>
        <patternFill>
          <bgColor theme="5" tint="0.39994506668294322"/>
        </patternFill>
      </fill>
    </dxf>
  </dxfs>
  <tableStyles count="3" defaultTableStyle="TableStyleMedium2" defaultPivotStyle="PivotStyleLight16">
    <tableStyle name="Slicer Style 1" pivot="0" table="0" count="5" xr9:uid="{7DC0B25C-B5CD-4E48-9E5E-D341256302A3}">
      <tableStyleElement type="wholeTable" dxfId="0"/>
    </tableStyle>
    <tableStyle name="Slicer Style 2" pivot="0" table="0" count="1" xr9:uid="{9DC4A84C-9B59-4F5A-B9F3-9839CF81CC97}"/>
    <tableStyle name="Slicer Style 3" pivot="0" table="0" count="2" xr9:uid="{A9EA4BA7-2E8B-43B7-B91F-E8377765442C}">
      <tableStyleElement type="wholeTable" dxfId="1"/>
    </tableStyle>
  </tableStyles>
  <colors>
    <mruColors>
      <color rgb="FFCCFFCC"/>
      <color rgb="FF9FF5B1"/>
      <color rgb="FFCCFF66"/>
      <color rgb="FFFF99FF"/>
      <color rgb="FFB9A5F7"/>
      <color rgb="FFFF7C80"/>
    </mruColors>
  </colors>
  <extLst>
    <ext xmlns:x14="http://schemas.microsoft.com/office/spreadsheetml/2009/9/main" uri="{46F421CA-312F-682f-3DD2-61675219B42D}">
      <x14:dxfs count="6">
        <dxf>
          <fill>
            <patternFill>
              <bgColor theme="7" tint="0.59996337778862885"/>
            </patternFill>
          </fill>
        </dxf>
        <dxf>
          <fill>
            <patternFill>
              <bgColor theme="7" tint="0.59996337778862885"/>
            </patternFill>
          </fill>
        </dxf>
        <dxf>
          <fill>
            <patternFill>
              <bgColor rgb="FF9FF5B1"/>
            </patternFill>
          </fill>
        </dxf>
        <dxf>
          <fill>
            <patternFill>
              <bgColor rgb="FF92D050"/>
            </patternFill>
          </fill>
        </dxf>
        <dxf>
          <fill>
            <patternFill>
              <bgColor theme="5" tint="0.39994506668294322"/>
            </patternFill>
          </fill>
        </dxf>
        <dxf>
          <fill>
            <patternFill>
              <bgColor theme="1"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 name="Slicer Style 2">
          <x14:slicerStyleElements>
            <x14:slicerStyleElement type="selectedItemWithData" dxfId="5"/>
          </x14:slicerStyleElements>
        </x14:slicerStyle>
        <x14:slicerStyle name="Slicer Style 3">
          <x14:slicerStyleElements>
            <x14:slicerStyleElement type="selectedItemWith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1.xlsm]Sheet12!PivotTable1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2"/>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3"/>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accent4"/>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5"/>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642703134120338"/>
          <c:y val="0.24057793746655454"/>
          <c:w val="0.71909490511870588"/>
          <c:h val="0.54593761944805441"/>
        </c:manualLayout>
      </c:layout>
      <c:pieChart>
        <c:varyColors val="1"/>
        <c:ser>
          <c:idx val="0"/>
          <c:order val="0"/>
          <c:tx>
            <c:strRef>
              <c:f>Sheet12!$B$3</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4169-4739-BE52-289C30D86B98}"/>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4-4169-4739-BE52-289C30D86B98}"/>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4169-4739-BE52-289C30D86B98}"/>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6-4169-4739-BE52-289C30D86B98}"/>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7-4169-4739-BE52-289C30D86B9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Sheet12!$A$4:$A$9</c:f>
              <c:strCache>
                <c:ptCount val="5"/>
                <c:pt idx="0">
                  <c:v>Delhi</c:v>
                </c:pt>
                <c:pt idx="1">
                  <c:v>Gujarat</c:v>
                </c:pt>
                <c:pt idx="2">
                  <c:v>Karnataka</c:v>
                </c:pt>
                <c:pt idx="3">
                  <c:v>Maharashtra</c:v>
                </c:pt>
                <c:pt idx="4">
                  <c:v>Tamil Nadu</c:v>
                </c:pt>
              </c:strCache>
            </c:strRef>
          </c:cat>
          <c:val>
            <c:numRef>
              <c:f>Sheet12!$B$4:$B$9</c:f>
              <c:numCache>
                <c:formatCode>General</c:formatCode>
                <c:ptCount val="5"/>
                <c:pt idx="0">
                  <c:v>2067</c:v>
                </c:pt>
                <c:pt idx="1">
                  <c:v>1933</c:v>
                </c:pt>
                <c:pt idx="2">
                  <c:v>2170</c:v>
                </c:pt>
                <c:pt idx="3">
                  <c:v>2140</c:v>
                </c:pt>
                <c:pt idx="4">
                  <c:v>2264</c:v>
                </c:pt>
              </c:numCache>
            </c:numRef>
          </c:val>
          <c:extLst>
            <c:ext xmlns:c16="http://schemas.microsoft.com/office/drawing/2014/chart" uri="{C3380CC4-5D6E-409C-BE32-E72D297353CC}">
              <c16:uniqueId val="{00000000-4169-4739-BE52-289C30D86B98}"/>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1.xlsm]DASHBOARDS!PivotTable2</c:name>
    <c:fmtId val="1"/>
  </c:pivotSource>
  <c:chart>
    <c:autoTitleDeleted val="1"/>
    <c:pivotFmts>
      <c:pivotFmt>
        <c:idx val="0"/>
        <c:spPr>
          <a:solidFill>
            <a:schemeClr val="accent1"/>
          </a:solidFill>
          <a:ln>
            <a:noFill/>
          </a:ln>
          <a:effectLst/>
        </c:spPr>
        <c:marker>
          <c:symbol val="none"/>
        </c:marker>
        <c:dLbl>
          <c:idx val="0"/>
          <c:spPr>
            <a:solidFill>
              <a:srgbClr val="CCFF66"/>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639582469954413"/>
          <c:y val="6.3768115942028983E-2"/>
          <c:w val="0.71741996477414005"/>
          <c:h val="0.87246376811594206"/>
        </c:manualLayout>
      </c:layout>
      <c:barChart>
        <c:barDir val="bar"/>
        <c:grouping val="clustered"/>
        <c:varyColors val="0"/>
        <c:ser>
          <c:idx val="0"/>
          <c:order val="0"/>
          <c:tx>
            <c:strRef>
              <c:f>DASHBOARDS!$B$3</c:f>
              <c:strCache>
                <c:ptCount val="1"/>
                <c:pt idx="0">
                  <c:v>Total</c:v>
                </c:pt>
              </c:strCache>
            </c:strRef>
          </c:tx>
          <c:spPr>
            <a:solidFill>
              <a:schemeClr val="accent1"/>
            </a:solidFill>
            <a:ln>
              <a:noFill/>
            </a:ln>
            <a:effectLst/>
          </c:spPr>
          <c:invertIfNegative val="0"/>
          <c:dLbls>
            <c:spPr>
              <a:solidFill>
                <a:srgbClr val="CCFF66"/>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DASHBOARDS!$A$4:$A$8</c:f>
              <c:strCache>
                <c:ptCount val="5"/>
                <c:pt idx="0">
                  <c:v>Kahkasha Parveen</c:v>
                </c:pt>
                <c:pt idx="1">
                  <c:v>Mukesh Nagar</c:v>
                </c:pt>
                <c:pt idx="2">
                  <c:v>Raj Verma</c:v>
                </c:pt>
                <c:pt idx="3">
                  <c:v>Sanju Ramdas</c:v>
                </c:pt>
                <c:pt idx="4">
                  <c:v>Sheeba Joseph</c:v>
                </c:pt>
              </c:strCache>
            </c:strRef>
          </c:cat>
          <c:val>
            <c:numRef>
              <c:f>DASHBOARDS!$B$4:$B$8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8DB3-483C-8DC6-E565BBF246D5}"/>
            </c:ext>
          </c:extLst>
        </c:ser>
        <c:dLbls>
          <c:showLegendKey val="0"/>
          <c:showVal val="0"/>
          <c:showCatName val="0"/>
          <c:showSerName val="0"/>
          <c:showPercent val="0"/>
          <c:showBubbleSize val="0"/>
        </c:dLbls>
        <c:gapWidth val="182"/>
        <c:axId val="1973260928"/>
        <c:axId val="1973261408"/>
      </c:barChart>
      <c:catAx>
        <c:axId val="197326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73261408"/>
        <c:crosses val="autoZero"/>
        <c:auto val="1"/>
        <c:lblAlgn val="ctr"/>
        <c:lblOffset val="100"/>
        <c:noMultiLvlLbl val="0"/>
      </c:catAx>
      <c:valAx>
        <c:axId val="1973261408"/>
        <c:scaling>
          <c:orientation val="minMax"/>
        </c:scaling>
        <c:delete val="1"/>
        <c:axPos val="b"/>
        <c:numFmt formatCode="General" sourceLinked="1"/>
        <c:majorTickMark val="none"/>
        <c:minorTickMark val="none"/>
        <c:tickLblPos val="nextTo"/>
        <c:crossAx val="197326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1.xlsm]DASHBOARDS!PivotTable4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DASHBOARDS!$H$3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DASHBOARDS!$G$4:$G$8</c:f>
              <c:strCache>
                <c:ptCount val="5"/>
                <c:pt idx="0">
                  <c:v>Anikuttan</c:v>
                </c:pt>
                <c:pt idx="1">
                  <c:v>Arvind Sharma</c:v>
                </c:pt>
                <c:pt idx="2">
                  <c:v>Jagdish Chandra</c:v>
                </c:pt>
                <c:pt idx="3">
                  <c:v>Miny Mole</c:v>
                </c:pt>
                <c:pt idx="4">
                  <c:v>Rachita Anupam</c:v>
                </c:pt>
              </c:strCache>
            </c:strRef>
          </c:cat>
          <c:val>
            <c:numRef>
              <c:f>DASHBOARDS!$H$4:$H$8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CC6-435C-967D-01123E2EB0D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1.xlsm]DASHBOARDS!PivotTable5</c:name>
    <c:fmtId val="1"/>
  </c:pivotSource>
  <c:chart>
    <c:autoTitleDeleted val="1"/>
    <c:pivotFmts>
      <c:pivotFmt>
        <c:idx val="0"/>
        <c:spPr>
          <a:ln w="28575" cap="rnd">
            <a:solidFill>
              <a:schemeClr val="accent1"/>
            </a:solidFill>
            <a:round/>
          </a:ln>
          <a:effectLst/>
        </c:spPr>
        <c:marker>
          <c:symbol val="none"/>
        </c:marker>
        <c:dLbl>
          <c:idx val="0"/>
          <c:spPr>
            <a:solidFill>
              <a:srgbClr val="CCFF66"/>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rgbClr val="CCFF6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
      </c:pivotFmt>
      <c:pivotFmt>
        <c:idx val="2"/>
        <c:dLbl>
          <c:idx val="0"/>
          <c:spPr>
            <a:solidFill>
              <a:srgbClr val="CCFF6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
      </c:pivotFmt>
      <c:pivotFmt>
        <c:idx val="3"/>
        <c:spPr>
          <a:ln w="28575" cap="rnd">
            <a:solidFill>
              <a:schemeClr val="accent1"/>
            </a:solidFill>
            <a:round/>
          </a:ln>
          <a:effectLst/>
        </c:spPr>
        <c:marker>
          <c:symbol val="none"/>
        </c:marker>
        <c:dLbl>
          <c:idx val="0"/>
          <c:spPr>
            <a:solidFill>
              <a:srgbClr val="CCFF6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
      </c:pivotFmt>
      <c:pivotFmt>
        <c:idx val="4"/>
        <c:dLbl>
          <c:idx val="0"/>
          <c:spPr>
            <a:solidFill>
              <a:srgbClr val="CCFF6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
      </c:pivotFmt>
      <c:pivotFmt>
        <c:idx val="5"/>
        <c:dLbl>
          <c:idx val="0"/>
          <c:spPr>
            <a:solidFill>
              <a:srgbClr val="CCFF66"/>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
      </c:pivotFmt>
    </c:pivotFmts>
    <c:plotArea>
      <c:layout/>
      <c:lineChart>
        <c:grouping val="standard"/>
        <c:varyColors val="0"/>
        <c:ser>
          <c:idx val="0"/>
          <c:order val="0"/>
          <c:tx>
            <c:strRef>
              <c:f>DASHBOARDS!$K$3</c:f>
              <c:strCache>
                <c:ptCount val="1"/>
                <c:pt idx="0">
                  <c:v>Total</c:v>
                </c:pt>
              </c:strCache>
            </c:strRef>
          </c:tx>
          <c:spPr>
            <a:ln w="28575" cap="rnd">
              <a:solidFill>
                <a:schemeClr val="accent1"/>
              </a:solidFill>
              <a:round/>
            </a:ln>
            <a:effectLst/>
          </c:spPr>
          <c:marker>
            <c:symbol val="none"/>
          </c:marker>
          <c:dLbls>
            <c:spPr>
              <a:solidFill>
                <a:srgbClr val="CCFF66"/>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DASHBOARDS!$J$4:$J$8</c:f>
              <c:strCache>
                <c:ptCount val="5"/>
                <c:pt idx="0">
                  <c:v>Krishana Kumar</c:v>
                </c:pt>
                <c:pt idx="1">
                  <c:v>Manoj Kumar</c:v>
                </c:pt>
                <c:pt idx="2">
                  <c:v>Omprakash O</c:v>
                </c:pt>
                <c:pt idx="3">
                  <c:v>Rohit Nishchal</c:v>
                </c:pt>
                <c:pt idx="4">
                  <c:v>Swarnlata Borse</c:v>
                </c:pt>
              </c:strCache>
            </c:strRef>
          </c:cat>
          <c:val>
            <c:numRef>
              <c:f>DASHBOARDS!$K$4:$K$8</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B62A-4550-9FAE-B30DC4801465}"/>
            </c:ext>
          </c:extLst>
        </c:ser>
        <c:dLbls>
          <c:showLegendKey val="0"/>
          <c:showVal val="0"/>
          <c:showCatName val="0"/>
          <c:showSerName val="0"/>
          <c:showPercent val="0"/>
          <c:showBubbleSize val="0"/>
        </c:dLbls>
        <c:smooth val="0"/>
        <c:axId val="92979312"/>
        <c:axId val="92980272"/>
      </c:lineChart>
      <c:catAx>
        <c:axId val="9297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2980272"/>
        <c:crosses val="autoZero"/>
        <c:auto val="1"/>
        <c:lblAlgn val="ctr"/>
        <c:lblOffset val="100"/>
        <c:noMultiLvlLbl val="0"/>
      </c:catAx>
      <c:valAx>
        <c:axId val="92980272"/>
        <c:scaling>
          <c:orientation val="minMax"/>
        </c:scaling>
        <c:delete val="1"/>
        <c:axPos val="l"/>
        <c:numFmt formatCode="0.00%" sourceLinked="1"/>
        <c:majorTickMark val="none"/>
        <c:minorTickMark val="none"/>
        <c:tickLblPos val="nextTo"/>
        <c:crossAx val="92979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25400</xdr:colOff>
      <xdr:row>10</xdr:row>
      <xdr:rowOff>31750</xdr:rowOff>
    </xdr:from>
    <xdr:to>
      <xdr:col>5</xdr:col>
      <xdr:colOff>425450</xdr:colOff>
      <xdr:row>24</xdr:row>
      <xdr:rowOff>69850</xdr:rowOff>
    </xdr:to>
    <xdr:graphicFrame macro="">
      <xdr:nvGraphicFramePr>
        <xdr:cNvPr id="2" name="Chart 1">
          <a:extLst>
            <a:ext uri="{FF2B5EF4-FFF2-40B4-BE49-F238E27FC236}">
              <a16:creationId xmlns:a16="http://schemas.microsoft.com/office/drawing/2014/main" id="{C0D3CA79-C0F8-496B-B7C9-71E8FFC331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603250</xdr:colOff>
      <xdr:row>1</xdr:row>
      <xdr:rowOff>146050</xdr:rowOff>
    </xdr:from>
    <xdr:to>
      <xdr:col>8</xdr:col>
      <xdr:colOff>501650</xdr:colOff>
      <xdr:row>15</xdr:row>
      <xdr:rowOff>92075</xdr:rowOff>
    </xdr:to>
    <mc:AlternateContent xmlns:mc="http://schemas.openxmlformats.org/markup-compatibility/2006">
      <mc:Choice xmlns:a14="http://schemas.microsoft.com/office/drawing/2010/main" Requires="a14">
        <xdr:graphicFrame macro="">
          <xdr:nvGraphicFramePr>
            <xdr:cNvPr id="3" name="State">
              <a:extLst>
                <a:ext uri="{FF2B5EF4-FFF2-40B4-BE49-F238E27FC236}">
                  <a16:creationId xmlns:a16="http://schemas.microsoft.com/office/drawing/2014/main" id="{04515916-0EBE-4836-0F34-8EB407078E8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994150" y="3302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107950</xdr:rowOff>
    </xdr:from>
    <xdr:to>
      <xdr:col>5</xdr:col>
      <xdr:colOff>6350</xdr:colOff>
      <xdr:row>20</xdr:row>
      <xdr:rowOff>88900</xdr:rowOff>
    </xdr:to>
    <xdr:graphicFrame macro="">
      <xdr:nvGraphicFramePr>
        <xdr:cNvPr id="3" name="Chart 2">
          <a:extLst>
            <a:ext uri="{FF2B5EF4-FFF2-40B4-BE49-F238E27FC236}">
              <a16:creationId xmlns:a16="http://schemas.microsoft.com/office/drawing/2014/main" id="{159FE494-41B2-E6C4-2E64-E3E626DCF4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165100</xdr:colOff>
      <xdr:row>8</xdr:row>
      <xdr:rowOff>107950</xdr:rowOff>
    </xdr:from>
    <xdr:to>
      <xdr:col>8</xdr:col>
      <xdr:colOff>12700</xdr:colOff>
      <xdr:row>20</xdr:row>
      <xdr:rowOff>69850</xdr:rowOff>
    </xdr:to>
    <xdr:graphicFrame macro="">
      <xdr:nvGraphicFramePr>
        <xdr:cNvPr id="4" name="Chart 3">
          <a:extLst>
            <a:ext uri="{FF2B5EF4-FFF2-40B4-BE49-F238E27FC236}">
              <a16:creationId xmlns:a16="http://schemas.microsoft.com/office/drawing/2014/main" id="{4D2AA42B-2399-0921-7303-7AFFF25B73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190500</xdr:colOff>
      <xdr:row>8</xdr:row>
      <xdr:rowOff>101600</xdr:rowOff>
    </xdr:from>
    <xdr:to>
      <xdr:col>11</xdr:col>
      <xdr:colOff>0</xdr:colOff>
      <xdr:row>20</xdr:row>
      <xdr:rowOff>69850</xdr:rowOff>
    </xdr:to>
    <xdr:graphicFrame macro="">
      <xdr:nvGraphicFramePr>
        <xdr:cNvPr id="6" name="Chart 5">
          <a:extLst>
            <a:ext uri="{FF2B5EF4-FFF2-40B4-BE49-F238E27FC236}">
              <a16:creationId xmlns:a16="http://schemas.microsoft.com/office/drawing/2014/main" id="{A3520848-786D-D9E7-6515-606773E724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25400</xdr:rowOff>
    </xdr:from>
    <xdr:to>
      <xdr:col>11</xdr:col>
      <xdr:colOff>0</xdr:colOff>
      <xdr:row>0</xdr:row>
      <xdr:rowOff>520700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42239F47-3E63-CCA3-5A1B-23EA13A95EF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5400"/>
              <a:ext cx="9328150" cy="495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279400</xdr:colOff>
      <xdr:row>1</xdr:row>
      <xdr:rowOff>12700</xdr:rowOff>
    </xdr:from>
    <xdr:to>
      <xdr:col>1</xdr:col>
      <xdr:colOff>361950</xdr:colOff>
      <xdr:row>1</xdr:row>
      <xdr:rowOff>469900</xdr:rowOff>
    </xdr:to>
    <xdr:sp macro="" textlink="">
      <xdr:nvSpPr>
        <xdr:cNvPr id="10" name="Speech Bubble: Rectangle with Corners Rounded 9">
          <a:extLst>
            <a:ext uri="{FF2B5EF4-FFF2-40B4-BE49-F238E27FC236}">
              <a16:creationId xmlns:a16="http://schemas.microsoft.com/office/drawing/2014/main" id="{38F31C10-408F-D384-E0BE-064C00126696}"/>
            </a:ext>
          </a:extLst>
        </xdr:cNvPr>
        <xdr:cNvSpPr/>
      </xdr:nvSpPr>
      <xdr:spPr>
        <a:xfrm>
          <a:off x="279400" y="546100"/>
          <a:ext cx="1174750" cy="457200"/>
        </a:xfrm>
        <a:prstGeom prst="wedgeRoundRectCallout">
          <a:avLst>
            <a:gd name="adj1" fmla="val -20833"/>
            <a:gd name="adj2" fmla="val 69257"/>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0</xdr:rowOff>
        </xdr:from>
        <xdr:to>
          <xdr:col>1</xdr:col>
          <xdr:colOff>457200</xdr:colOff>
          <xdr:row>1</xdr:row>
          <xdr:rowOff>469900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13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387350</xdr:colOff>
      <xdr:row>1</xdr:row>
      <xdr:rowOff>12700</xdr:rowOff>
    </xdr:from>
    <xdr:to>
      <xdr:col>7</xdr:col>
      <xdr:colOff>450850</xdr:colOff>
      <xdr:row>1</xdr:row>
      <xdr:rowOff>482600</xdr:rowOff>
    </xdr:to>
    <xdr:sp macro="" textlink="">
      <xdr:nvSpPr>
        <xdr:cNvPr id="11" name="Speech Bubble: Rectangle with Corners Rounded 10">
          <a:extLst>
            <a:ext uri="{FF2B5EF4-FFF2-40B4-BE49-F238E27FC236}">
              <a16:creationId xmlns:a16="http://schemas.microsoft.com/office/drawing/2014/main" id="{937E6097-B147-42C7-AAC9-3256581F1CA3}"/>
            </a:ext>
          </a:extLst>
        </xdr:cNvPr>
        <xdr:cNvSpPr/>
      </xdr:nvSpPr>
      <xdr:spPr>
        <a:xfrm>
          <a:off x="4419600" y="546100"/>
          <a:ext cx="1174750" cy="469900"/>
        </a:xfrm>
        <a:prstGeom prst="wedgeRoundRectCallout">
          <a:avLst>
            <a:gd name="adj1" fmla="val -20833"/>
            <a:gd name="adj2" fmla="val 66554"/>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831850</xdr:colOff>
      <xdr:row>1</xdr:row>
      <xdr:rowOff>12700</xdr:rowOff>
    </xdr:from>
    <xdr:to>
      <xdr:col>10</xdr:col>
      <xdr:colOff>762000</xdr:colOff>
      <xdr:row>1</xdr:row>
      <xdr:rowOff>469900</xdr:rowOff>
    </xdr:to>
    <xdr:sp macro="" textlink="">
      <xdr:nvSpPr>
        <xdr:cNvPr id="12" name="Speech Bubble: Rectangle with Corners Rounded 11">
          <a:extLst>
            <a:ext uri="{FF2B5EF4-FFF2-40B4-BE49-F238E27FC236}">
              <a16:creationId xmlns:a16="http://schemas.microsoft.com/office/drawing/2014/main" id="{D8CBBDDD-95F5-451E-A1BD-1C2694C20EB4}"/>
            </a:ext>
          </a:extLst>
        </xdr:cNvPr>
        <xdr:cNvSpPr/>
      </xdr:nvSpPr>
      <xdr:spPr>
        <a:xfrm>
          <a:off x="7245350" y="546100"/>
          <a:ext cx="1174750" cy="457200"/>
        </a:xfrm>
        <a:prstGeom prst="wedgeRoundRectCallout">
          <a:avLst>
            <a:gd name="adj1" fmla="val -20833"/>
            <a:gd name="adj2" fmla="val 70608"/>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171450</xdr:colOff>
      <xdr:row>1</xdr:row>
      <xdr:rowOff>12700</xdr:rowOff>
    </xdr:from>
    <xdr:to>
      <xdr:col>4</xdr:col>
      <xdr:colOff>254000</xdr:colOff>
      <xdr:row>1</xdr:row>
      <xdr:rowOff>482600</xdr:rowOff>
    </xdr:to>
    <xdr:sp macro="" textlink="">
      <xdr:nvSpPr>
        <xdr:cNvPr id="13" name="Speech Bubble: Rectangle with Corners Rounded 12">
          <a:extLst>
            <a:ext uri="{FF2B5EF4-FFF2-40B4-BE49-F238E27FC236}">
              <a16:creationId xmlns:a16="http://schemas.microsoft.com/office/drawing/2014/main" id="{636EAA36-7768-456F-A901-F9C17A10AE22}"/>
            </a:ext>
          </a:extLst>
        </xdr:cNvPr>
        <xdr:cNvSpPr/>
      </xdr:nvSpPr>
      <xdr:spPr>
        <a:xfrm>
          <a:off x="2197100" y="546100"/>
          <a:ext cx="1174750" cy="469900"/>
        </a:xfrm>
        <a:prstGeom prst="wedgeRoundRectCallout">
          <a:avLst>
            <a:gd name="adj1" fmla="val -20833"/>
            <a:gd name="adj2" fmla="val 69257"/>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311150</xdr:colOff>
          <xdr:row>0</xdr:row>
          <xdr:rowOff>444500</xdr:rowOff>
        </xdr:from>
        <xdr:to>
          <xdr:col>4</xdr:col>
          <xdr:colOff>311150</xdr:colOff>
          <xdr:row>1</xdr:row>
          <xdr:rowOff>488950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13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0</xdr:row>
          <xdr:rowOff>457200</xdr:rowOff>
        </xdr:from>
        <xdr:to>
          <xdr:col>7</xdr:col>
          <xdr:colOff>450850</xdr:colOff>
          <xdr:row>1</xdr:row>
          <xdr:rowOff>520700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13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952500</xdr:colOff>
          <xdr:row>0</xdr:row>
          <xdr:rowOff>457200</xdr:rowOff>
        </xdr:from>
        <xdr:to>
          <xdr:col>10</xdr:col>
          <xdr:colOff>1377950</xdr:colOff>
          <xdr:row>1</xdr:row>
          <xdr:rowOff>501650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13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ACY SINGH" refreshedDate="46098.818630208334" createdVersion="8" refreshedVersion="8" minRefreshableVersion="3" recordCount="1000" xr:uid="{94404A21-E5E8-4996-89BA-3AE4A9846DA9}">
  <cacheSource type="worksheet">
    <worksheetSource ref="A1:J1001" sheet="PIVOT SOURCE"/>
  </cacheSource>
  <cacheFields count="10">
    <cacheField name="Sale Date" numFmtId="14">
      <sharedItems containsDate="1" containsMixedTypes="1" minDate="2023-01-02T00:00:00" maxDate="2023-12-13T00:00:00"/>
    </cacheField>
    <cacheField name="Customer Name" numFmtId="0">
      <sharedItems count="10">
        <s v="Meera"/>
        <s v="Vihaan"/>
        <s v="Nishant"/>
        <s v="Aditi"/>
        <s v="Ishita"/>
        <s v="Aarav"/>
        <s v="Riya"/>
        <s v="Aryan"/>
        <s v="Ananya"/>
        <s v="Kabir"/>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ount="3">
        <s v="West"/>
        <s v="South"/>
        <s v="North"/>
      </sharedItems>
    </cacheField>
    <cacheField name="Product Category" numFmtId="0">
      <sharedItems count="5">
        <s v="Furniture"/>
        <s v="Stationery"/>
        <s v="Clothing"/>
        <s v="Groceries"/>
        <s v="Electronics"/>
      </sharedItems>
    </cacheField>
    <cacheField name="Product Name" numFmtId="0">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s>
  <extLst>
    <ext xmlns:x14="http://schemas.microsoft.com/office/spreadsheetml/2009/9/main" uri="{725AE2AE-9491-48be-B2B4-4EB974FC3084}">
      <x14:pivotCacheDefinition pivotCacheId="177726761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ACY SINGH" refreshedDate="46099.535778703706" createdVersion="8" refreshedVersion="8" minRefreshableVersion="3" recordCount="141" xr:uid="{9AAA41EF-1503-4E9B-8DB3-8DE2EF7679FC}">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769862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6/25/2023"/>
    <x v="0"/>
    <x v="0"/>
    <x v="0"/>
    <x v="0"/>
    <x v="0"/>
    <s v="Table"/>
    <n v="6"/>
    <n v="4016.25"/>
    <n v="24097.5"/>
  </r>
  <r>
    <d v="2023-01-11T00:00:00"/>
    <x v="1"/>
    <x v="1"/>
    <x v="1"/>
    <x v="1"/>
    <x v="1"/>
    <s v="Ruler"/>
    <n v="9"/>
    <n v="3801.85"/>
    <n v="34216.65"/>
  </r>
  <r>
    <d v="2023-06-04T00:00:00"/>
    <x v="2"/>
    <x v="2"/>
    <x v="2"/>
    <x v="1"/>
    <x v="1"/>
    <s v="Ruler"/>
    <n v="11"/>
    <n v="3594.07"/>
    <n v="39534.769999999997"/>
  </r>
  <r>
    <s v="10/15/2023"/>
    <x v="1"/>
    <x v="3"/>
    <x v="1"/>
    <x v="1"/>
    <x v="2"/>
    <s v="Dress"/>
    <n v="9"/>
    <n v="4487"/>
    <n v="40383"/>
  </r>
  <r>
    <d v="2023-07-08T00:00:00"/>
    <x v="3"/>
    <x v="4"/>
    <x v="0"/>
    <x v="0"/>
    <x v="3"/>
    <s v="Lentils"/>
    <n v="17"/>
    <n v="1240.77"/>
    <n v="21093.09"/>
  </r>
  <r>
    <s v="12/23/2023"/>
    <x v="4"/>
    <x v="5"/>
    <x v="1"/>
    <x v="1"/>
    <x v="1"/>
    <s v="Eraser"/>
    <n v="7"/>
    <n v="4772.29"/>
    <n v="33406.03"/>
  </r>
  <r>
    <d v="2023-01-05T00:00:00"/>
    <x v="5"/>
    <x v="6"/>
    <x v="2"/>
    <x v="1"/>
    <x v="4"/>
    <s v="Headphones"/>
    <n v="5"/>
    <n v="2196.9899999999998"/>
    <n v="10984.95"/>
  </r>
  <r>
    <s v="12/23/2023"/>
    <x v="6"/>
    <x v="7"/>
    <x v="3"/>
    <x v="0"/>
    <x v="2"/>
    <s v="Dress"/>
    <n v="5"/>
    <n v="967.6"/>
    <n v="4838"/>
  </r>
  <r>
    <s v="10/23/2023"/>
    <x v="1"/>
    <x v="3"/>
    <x v="1"/>
    <x v="1"/>
    <x v="1"/>
    <s v="Ruler"/>
    <n v="18"/>
    <n v="3128.59"/>
    <n v="56314.62"/>
  </r>
  <r>
    <s v="11/17/2023"/>
    <x v="2"/>
    <x v="5"/>
    <x v="1"/>
    <x v="1"/>
    <x v="0"/>
    <s v="Table"/>
    <n v="10"/>
    <n v="2754.3"/>
    <n v="27543"/>
  </r>
  <r>
    <s v="2/15/2023"/>
    <x v="1"/>
    <x v="7"/>
    <x v="3"/>
    <x v="0"/>
    <x v="4"/>
    <s v="Laptop"/>
    <n v="19"/>
    <n v="4896.3100000000004"/>
    <n v="93029.89"/>
  </r>
  <r>
    <s v="4/21/2023"/>
    <x v="5"/>
    <x v="6"/>
    <x v="2"/>
    <x v="1"/>
    <x v="2"/>
    <s v="Pants"/>
    <n v="19"/>
    <n v="4562.0200000000004"/>
    <n v="86678.38"/>
  </r>
  <r>
    <d v="2023-12-01T00:00:00"/>
    <x v="4"/>
    <x v="4"/>
    <x v="0"/>
    <x v="0"/>
    <x v="1"/>
    <s v="Eraser"/>
    <n v="6"/>
    <n v="4231.7700000000004"/>
    <n v="25390.62"/>
  </r>
  <r>
    <s v="1/26/2023"/>
    <x v="7"/>
    <x v="7"/>
    <x v="3"/>
    <x v="0"/>
    <x v="2"/>
    <s v="Shirt"/>
    <n v="20"/>
    <n v="1027.53"/>
    <n v="20550.599999999999"/>
  </r>
  <r>
    <s v="5/27/2023"/>
    <x v="8"/>
    <x v="0"/>
    <x v="0"/>
    <x v="0"/>
    <x v="2"/>
    <s v="Pants"/>
    <n v="7"/>
    <n v="1257.3399999999999"/>
    <n v="8801.3799999999992"/>
  </r>
  <r>
    <s v="11/28/2023"/>
    <x v="5"/>
    <x v="8"/>
    <x v="4"/>
    <x v="2"/>
    <x v="2"/>
    <s v="Shirt"/>
    <n v="9"/>
    <n v="2634.14"/>
    <n v="23707.26"/>
  </r>
  <r>
    <d v="2023-02-06T00:00:00"/>
    <x v="3"/>
    <x v="9"/>
    <x v="0"/>
    <x v="0"/>
    <x v="0"/>
    <s v="Table"/>
    <n v="11"/>
    <n v="4509.49"/>
    <n v="49604.39"/>
  </r>
  <r>
    <s v="2/24/2023"/>
    <x v="4"/>
    <x v="10"/>
    <x v="3"/>
    <x v="0"/>
    <x v="3"/>
    <s v="Rice"/>
    <n v="3"/>
    <n v="2738.83"/>
    <n v="8216.49"/>
  </r>
  <r>
    <s v="2/17/2023"/>
    <x v="4"/>
    <x v="0"/>
    <x v="0"/>
    <x v="0"/>
    <x v="2"/>
    <s v="Dress"/>
    <n v="10"/>
    <n v="4247.74"/>
    <n v="42477.4"/>
  </r>
  <r>
    <s v="2/15/2023"/>
    <x v="2"/>
    <x v="6"/>
    <x v="2"/>
    <x v="1"/>
    <x v="1"/>
    <s v="Eraser"/>
    <n v="3"/>
    <n v="1133.19"/>
    <n v="3399.57"/>
  </r>
  <r>
    <s v="2/19/2023"/>
    <x v="9"/>
    <x v="11"/>
    <x v="4"/>
    <x v="2"/>
    <x v="4"/>
    <s v="Laptop"/>
    <n v="6"/>
    <n v="623.22"/>
    <n v="3739.32"/>
  </r>
  <r>
    <s v="4/28/2023"/>
    <x v="3"/>
    <x v="1"/>
    <x v="1"/>
    <x v="1"/>
    <x v="1"/>
    <s v="Ruler"/>
    <n v="18"/>
    <n v="698.42"/>
    <n v="12571.56"/>
  </r>
  <r>
    <d v="2023-06-12T00:00:00"/>
    <x v="6"/>
    <x v="12"/>
    <x v="2"/>
    <x v="1"/>
    <x v="3"/>
    <s v="Sugar"/>
    <n v="19"/>
    <n v="2494.11"/>
    <n v="47388.09"/>
  </r>
  <r>
    <s v="6/24/2023"/>
    <x v="5"/>
    <x v="5"/>
    <x v="1"/>
    <x v="1"/>
    <x v="3"/>
    <s v="Sugar"/>
    <n v="15"/>
    <n v="3368.77"/>
    <n v="50531.55"/>
  </r>
  <r>
    <s v="3/27/2023"/>
    <x v="2"/>
    <x v="6"/>
    <x v="2"/>
    <x v="1"/>
    <x v="0"/>
    <s v="Bed"/>
    <n v="2"/>
    <n v="962.28"/>
    <n v="1924.56"/>
  </r>
  <r>
    <d v="2023-01-04T00:00:00"/>
    <x v="9"/>
    <x v="9"/>
    <x v="0"/>
    <x v="0"/>
    <x v="2"/>
    <s v="Shirt"/>
    <n v="19"/>
    <n v="1065.27"/>
    <n v="20240.13"/>
  </r>
  <r>
    <s v="12/17/2023"/>
    <x v="9"/>
    <x v="7"/>
    <x v="3"/>
    <x v="0"/>
    <x v="3"/>
    <s v="Rice"/>
    <n v="10"/>
    <n v="4507.62"/>
    <n v="45076.2"/>
  </r>
  <r>
    <s v="7/21/2023"/>
    <x v="3"/>
    <x v="11"/>
    <x v="4"/>
    <x v="2"/>
    <x v="2"/>
    <s v="Pants"/>
    <n v="4"/>
    <n v="4373.75"/>
    <n v="17495"/>
  </r>
  <r>
    <s v="8/29/2023"/>
    <x v="7"/>
    <x v="1"/>
    <x v="1"/>
    <x v="1"/>
    <x v="2"/>
    <s v="Pants"/>
    <n v="4"/>
    <n v="791.28"/>
    <n v="3165.12"/>
  </r>
  <r>
    <d v="2023-06-05T00:00:00"/>
    <x v="6"/>
    <x v="6"/>
    <x v="2"/>
    <x v="1"/>
    <x v="3"/>
    <s v="Lentils"/>
    <n v="14"/>
    <n v="4868.33"/>
    <n v="68156.62"/>
  </r>
  <r>
    <s v="11/28/2023"/>
    <x v="5"/>
    <x v="8"/>
    <x v="4"/>
    <x v="2"/>
    <x v="2"/>
    <s v="Shirt"/>
    <n v="12"/>
    <n v="1958.77"/>
    <n v="23505.24"/>
  </r>
  <r>
    <s v="1/13/2023"/>
    <x v="2"/>
    <x v="9"/>
    <x v="0"/>
    <x v="0"/>
    <x v="1"/>
    <s v="Eraser"/>
    <n v="10"/>
    <n v="3690.75"/>
    <n v="36907.5"/>
  </r>
  <r>
    <s v="6/20/2023"/>
    <x v="2"/>
    <x v="7"/>
    <x v="3"/>
    <x v="0"/>
    <x v="1"/>
    <s v="Eraser"/>
    <n v="17"/>
    <n v="1037.05"/>
    <n v="17629.849999999999"/>
  </r>
  <r>
    <d v="2023-11-01T00:00:00"/>
    <x v="8"/>
    <x v="12"/>
    <x v="2"/>
    <x v="1"/>
    <x v="3"/>
    <s v="Oil"/>
    <n v="17"/>
    <n v="2215.5500000000002"/>
    <n v="37664.35"/>
  </r>
  <r>
    <s v="11/30/2023"/>
    <x v="8"/>
    <x v="3"/>
    <x v="1"/>
    <x v="1"/>
    <x v="2"/>
    <s v="Jacket"/>
    <n v="19"/>
    <n v="1343.6"/>
    <n v="25528.400000000001"/>
  </r>
  <r>
    <d v="2023-10-05T00:00:00"/>
    <x v="8"/>
    <x v="0"/>
    <x v="0"/>
    <x v="0"/>
    <x v="3"/>
    <s v="Lentils"/>
    <n v="8"/>
    <n v="4455.43"/>
    <n v="35643.440000000002"/>
  </r>
  <r>
    <s v="1/24/2023"/>
    <x v="6"/>
    <x v="5"/>
    <x v="1"/>
    <x v="1"/>
    <x v="1"/>
    <s v="Pen"/>
    <n v="9"/>
    <n v="3892.79"/>
    <n v="35035.11"/>
  </r>
  <r>
    <d v="2023-06-12T00:00:00"/>
    <x v="6"/>
    <x v="11"/>
    <x v="4"/>
    <x v="2"/>
    <x v="4"/>
    <s v="Laptop"/>
    <n v="9"/>
    <n v="4618.59"/>
    <n v="41567.31"/>
  </r>
  <r>
    <s v="8/23/2023"/>
    <x v="7"/>
    <x v="12"/>
    <x v="2"/>
    <x v="1"/>
    <x v="2"/>
    <s v="Jacket"/>
    <n v="11"/>
    <n v="3385.93"/>
    <n v="37245.230000000003"/>
  </r>
  <r>
    <s v="2/18/2023"/>
    <x v="6"/>
    <x v="7"/>
    <x v="3"/>
    <x v="0"/>
    <x v="1"/>
    <s v="Eraser"/>
    <n v="14"/>
    <n v="2452.98"/>
    <n v="34341.72"/>
  </r>
  <r>
    <d v="2023-04-08T00:00:00"/>
    <x v="0"/>
    <x v="2"/>
    <x v="2"/>
    <x v="1"/>
    <x v="4"/>
    <s v="Headphones"/>
    <n v="16"/>
    <n v="695.96"/>
    <n v="11135.36"/>
  </r>
  <r>
    <d v="2023-01-03T00:00:00"/>
    <x v="3"/>
    <x v="7"/>
    <x v="3"/>
    <x v="0"/>
    <x v="4"/>
    <s v="Smartphone"/>
    <n v="1"/>
    <n v="1979.54"/>
    <n v="1979.54"/>
  </r>
  <r>
    <s v="3/31/2023"/>
    <x v="5"/>
    <x v="11"/>
    <x v="4"/>
    <x v="2"/>
    <x v="1"/>
    <s v="Ruler"/>
    <n v="9"/>
    <n v="3727.82"/>
    <n v="33550.379999999997"/>
  </r>
  <r>
    <s v="4/15/2023"/>
    <x v="0"/>
    <x v="10"/>
    <x v="3"/>
    <x v="0"/>
    <x v="3"/>
    <s v="Oil"/>
    <n v="1"/>
    <n v="1495.61"/>
    <n v="1495.61"/>
  </r>
  <r>
    <s v="12/28/2023"/>
    <x v="7"/>
    <x v="4"/>
    <x v="0"/>
    <x v="0"/>
    <x v="2"/>
    <s v="Pants"/>
    <n v="18"/>
    <n v="1928.15"/>
    <n v="34706.699999999997"/>
  </r>
  <r>
    <d v="2023-04-03T00:00:00"/>
    <x v="4"/>
    <x v="4"/>
    <x v="0"/>
    <x v="0"/>
    <x v="1"/>
    <s v="Eraser"/>
    <n v="1"/>
    <n v="4192.3900000000003"/>
    <n v="4192.3900000000003"/>
  </r>
  <r>
    <d v="2023-04-02T00:00:00"/>
    <x v="7"/>
    <x v="5"/>
    <x v="1"/>
    <x v="1"/>
    <x v="4"/>
    <s v="Tablet"/>
    <n v="7"/>
    <n v="4988.71"/>
    <n v="34920.97"/>
  </r>
  <r>
    <s v="4/19/2023"/>
    <x v="6"/>
    <x v="12"/>
    <x v="2"/>
    <x v="1"/>
    <x v="2"/>
    <s v="Pants"/>
    <n v="9"/>
    <n v="1328.13"/>
    <n v="11953.17"/>
  </r>
  <r>
    <s v="9/21/2023"/>
    <x v="7"/>
    <x v="9"/>
    <x v="0"/>
    <x v="0"/>
    <x v="0"/>
    <s v="Sofa"/>
    <n v="9"/>
    <n v="722.44"/>
    <n v="6501.96"/>
  </r>
  <r>
    <s v="10/21/2023"/>
    <x v="2"/>
    <x v="0"/>
    <x v="0"/>
    <x v="0"/>
    <x v="2"/>
    <s v="Pants"/>
    <n v="2"/>
    <n v="4726.0600000000004"/>
    <n v="9452.1200000000008"/>
  </r>
  <r>
    <d v="2023-06-02T00:00:00"/>
    <x v="6"/>
    <x v="2"/>
    <x v="2"/>
    <x v="1"/>
    <x v="2"/>
    <s v="Shirt"/>
    <n v="3"/>
    <n v="2263.4699999999998"/>
    <n v="6790.41"/>
  </r>
  <r>
    <s v="4/26/2023"/>
    <x v="2"/>
    <x v="6"/>
    <x v="2"/>
    <x v="1"/>
    <x v="0"/>
    <s v="Bed"/>
    <n v="20"/>
    <n v="4365.58"/>
    <n v="87311.6"/>
  </r>
  <r>
    <s v="1/16/2023"/>
    <x v="8"/>
    <x v="13"/>
    <x v="4"/>
    <x v="2"/>
    <x v="4"/>
    <s v="Headphones"/>
    <n v="20"/>
    <n v="3925.65"/>
    <n v="78513"/>
  </r>
  <r>
    <d v="2023-03-10T00:00:00"/>
    <x v="1"/>
    <x v="5"/>
    <x v="1"/>
    <x v="1"/>
    <x v="0"/>
    <s v="Sofa"/>
    <n v="3"/>
    <n v="3613.98"/>
    <n v="10841.94"/>
  </r>
  <r>
    <d v="2023-11-06T00:00:00"/>
    <x v="7"/>
    <x v="4"/>
    <x v="0"/>
    <x v="0"/>
    <x v="1"/>
    <s v="Pen"/>
    <n v="7"/>
    <n v="2483.54"/>
    <n v="17384.78"/>
  </r>
  <r>
    <d v="2023-02-10T00:00:00"/>
    <x v="4"/>
    <x v="8"/>
    <x v="4"/>
    <x v="2"/>
    <x v="0"/>
    <s v="Sofa"/>
    <n v="14"/>
    <n v="2145.21"/>
    <n v="30032.94"/>
  </r>
  <r>
    <s v="11/24/2023"/>
    <x v="7"/>
    <x v="12"/>
    <x v="2"/>
    <x v="1"/>
    <x v="4"/>
    <s v="Smartphone"/>
    <n v="8"/>
    <n v="4997.45"/>
    <n v="39979.599999999999"/>
  </r>
  <r>
    <d v="2023-09-07T00:00:00"/>
    <x v="8"/>
    <x v="7"/>
    <x v="3"/>
    <x v="0"/>
    <x v="4"/>
    <s v="Laptop"/>
    <n v="3"/>
    <n v="1753.98"/>
    <n v="5261.94"/>
  </r>
  <r>
    <s v="4/20/2023"/>
    <x v="5"/>
    <x v="6"/>
    <x v="2"/>
    <x v="1"/>
    <x v="4"/>
    <s v="Smartphone"/>
    <n v="2"/>
    <n v="1207.92"/>
    <n v="2415.84"/>
  </r>
  <r>
    <d v="2023-10-03T00:00:00"/>
    <x v="3"/>
    <x v="9"/>
    <x v="0"/>
    <x v="0"/>
    <x v="4"/>
    <s v="Tablet"/>
    <n v="13"/>
    <n v="4196.33"/>
    <n v="54552.29"/>
  </r>
  <r>
    <d v="2023-03-05T00:00:00"/>
    <x v="9"/>
    <x v="14"/>
    <x v="3"/>
    <x v="0"/>
    <x v="1"/>
    <s v="Ruler"/>
    <n v="18"/>
    <n v="1310.78"/>
    <n v="23594.04"/>
  </r>
  <r>
    <s v="10/29/2023"/>
    <x v="8"/>
    <x v="9"/>
    <x v="0"/>
    <x v="0"/>
    <x v="0"/>
    <s v="Sofa"/>
    <n v="20"/>
    <n v="2142.9"/>
    <n v="42858"/>
  </r>
  <r>
    <d v="2023-03-12T00:00:00"/>
    <x v="9"/>
    <x v="13"/>
    <x v="4"/>
    <x v="2"/>
    <x v="4"/>
    <s v="Tablet"/>
    <n v="19"/>
    <n v="1359.7"/>
    <n v="25834.3"/>
  </r>
  <r>
    <s v="5/26/2023"/>
    <x v="0"/>
    <x v="12"/>
    <x v="2"/>
    <x v="1"/>
    <x v="0"/>
    <s v="Sofa"/>
    <n v="16"/>
    <n v="4896.07"/>
    <n v="78337.119999999995"/>
  </r>
  <r>
    <s v="12/26/2023"/>
    <x v="4"/>
    <x v="2"/>
    <x v="2"/>
    <x v="1"/>
    <x v="1"/>
    <s v="Pen"/>
    <n v="8"/>
    <n v="4216.03"/>
    <n v="33728.239999999998"/>
  </r>
  <r>
    <d v="2023-05-08T00:00:00"/>
    <x v="3"/>
    <x v="9"/>
    <x v="0"/>
    <x v="0"/>
    <x v="3"/>
    <s v="Rice"/>
    <n v="14"/>
    <n v="2134.06"/>
    <n v="29876.84"/>
  </r>
  <r>
    <s v="4/25/2023"/>
    <x v="9"/>
    <x v="8"/>
    <x v="4"/>
    <x v="2"/>
    <x v="0"/>
    <s v="Bed"/>
    <n v="6"/>
    <n v="1523.33"/>
    <n v="9139.98"/>
  </r>
  <r>
    <s v="4/27/2023"/>
    <x v="2"/>
    <x v="3"/>
    <x v="1"/>
    <x v="1"/>
    <x v="3"/>
    <s v="Lentils"/>
    <n v="13"/>
    <n v="646.63"/>
    <n v="8406.19"/>
  </r>
  <r>
    <s v="3/31/2023"/>
    <x v="5"/>
    <x v="12"/>
    <x v="2"/>
    <x v="1"/>
    <x v="1"/>
    <s v="Notebook"/>
    <n v="4"/>
    <n v="4965.34"/>
    <n v="19861.36"/>
  </r>
  <r>
    <s v="6/26/2023"/>
    <x v="7"/>
    <x v="9"/>
    <x v="0"/>
    <x v="0"/>
    <x v="1"/>
    <s v="Eraser"/>
    <n v="14"/>
    <n v="2883.11"/>
    <n v="40363.54"/>
  </r>
  <r>
    <s v="6/18/2023"/>
    <x v="4"/>
    <x v="11"/>
    <x v="4"/>
    <x v="2"/>
    <x v="3"/>
    <s v="Rice"/>
    <n v="9"/>
    <n v="2819.87"/>
    <n v="25378.83"/>
  </r>
  <r>
    <s v="11/17/2023"/>
    <x v="3"/>
    <x v="4"/>
    <x v="0"/>
    <x v="0"/>
    <x v="2"/>
    <s v="Dress"/>
    <n v="12"/>
    <n v="3961.23"/>
    <n v="47534.76"/>
  </r>
  <r>
    <d v="2023-02-03T00:00:00"/>
    <x v="5"/>
    <x v="3"/>
    <x v="1"/>
    <x v="1"/>
    <x v="2"/>
    <s v="Dress"/>
    <n v="15"/>
    <n v="2194.7199999999998"/>
    <n v="32920.800000000003"/>
  </r>
  <r>
    <s v="3/18/2023"/>
    <x v="4"/>
    <x v="6"/>
    <x v="2"/>
    <x v="1"/>
    <x v="4"/>
    <s v="Smartphone"/>
    <n v="5"/>
    <n v="3058.74"/>
    <n v="15293.7"/>
  </r>
  <r>
    <d v="2023-10-12T00:00:00"/>
    <x v="6"/>
    <x v="4"/>
    <x v="0"/>
    <x v="0"/>
    <x v="2"/>
    <s v="Dress"/>
    <n v="11"/>
    <n v="827.59"/>
    <n v="9103.49"/>
  </r>
  <r>
    <s v="10/30/2023"/>
    <x v="7"/>
    <x v="3"/>
    <x v="1"/>
    <x v="1"/>
    <x v="4"/>
    <s v="Tablet"/>
    <n v="10"/>
    <n v="2008.29"/>
    <n v="20082.900000000001"/>
  </r>
  <r>
    <s v="2/24/2023"/>
    <x v="6"/>
    <x v="10"/>
    <x v="3"/>
    <x v="0"/>
    <x v="2"/>
    <s v="Pants"/>
    <n v="3"/>
    <n v="4157.17"/>
    <n v="12471.51"/>
  </r>
  <r>
    <d v="2023-07-02T00:00:00"/>
    <x v="3"/>
    <x v="12"/>
    <x v="2"/>
    <x v="1"/>
    <x v="0"/>
    <s v="Chair"/>
    <n v="19"/>
    <n v="2880.28"/>
    <n v="54725.32"/>
  </r>
  <r>
    <s v="8/25/2023"/>
    <x v="9"/>
    <x v="7"/>
    <x v="3"/>
    <x v="0"/>
    <x v="4"/>
    <s v="Laptop"/>
    <n v="6"/>
    <n v="1212.76"/>
    <n v="7276.56"/>
  </r>
  <r>
    <s v="9/15/2023"/>
    <x v="4"/>
    <x v="14"/>
    <x v="3"/>
    <x v="0"/>
    <x v="4"/>
    <s v="Smartphone"/>
    <n v="11"/>
    <n v="4463.4799999999996"/>
    <n v="49098.28"/>
  </r>
  <r>
    <d v="2023-11-06T00:00:00"/>
    <x v="7"/>
    <x v="6"/>
    <x v="2"/>
    <x v="1"/>
    <x v="1"/>
    <s v="Eraser"/>
    <n v="17"/>
    <n v="3975.74"/>
    <n v="67587.58"/>
  </r>
  <r>
    <s v="7/19/2023"/>
    <x v="0"/>
    <x v="1"/>
    <x v="1"/>
    <x v="1"/>
    <x v="2"/>
    <s v="Shirt"/>
    <n v="15"/>
    <n v="2158.2199999999998"/>
    <n v="32373.3"/>
  </r>
  <r>
    <s v="5/17/2023"/>
    <x v="2"/>
    <x v="10"/>
    <x v="3"/>
    <x v="0"/>
    <x v="2"/>
    <s v="Pants"/>
    <n v="17"/>
    <n v="1720.9"/>
    <n v="29255.3"/>
  </r>
  <r>
    <s v="6/30/2023"/>
    <x v="6"/>
    <x v="4"/>
    <x v="0"/>
    <x v="0"/>
    <x v="2"/>
    <s v="Dress"/>
    <n v="11"/>
    <n v="3562.92"/>
    <n v="39192.120000000003"/>
  </r>
  <r>
    <s v="11/29/2023"/>
    <x v="4"/>
    <x v="4"/>
    <x v="0"/>
    <x v="0"/>
    <x v="1"/>
    <s v="Eraser"/>
    <n v="17"/>
    <n v="608.79"/>
    <n v="10349.43"/>
  </r>
  <r>
    <s v="4/19/2023"/>
    <x v="5"/>
    <x v="7"/>
    <x v="3"/>
    <x v="0"/>
    <x v="3"/>
    <s v="Lentils"/>
    <n v="20"/>
    <n v="4856.17"/>
    <n v="97123.4"/>
  </r>
  <r>
    <s v="4/27/2023"/>
    <x v="9"/>
    <x v="8"/>
    <x v="4"/>
    <x v="2"/>
    <x v="1"/>
    <s v="Ruler"/>
    <n v="12"/>
    <n v="4298"/>
    <n v="51576"/>
  </r>
  <r>
    <d v="2023-04-04T00:00:00"/>
    <x v="4"/>
    <x v="11"/>
    <x v="4"/>
    <x v="2"/>
    <x v="4"/>
    <s v="Smartphone"/>
    <n v="7"/>
    <n v="1160.3499999999999"/>
    <n v="8122.45"/>
  </r>
  <r>
    <d v="2023-07-08T00:00:00"/>
    <x v="6"/>
    <x v="8"/>
    <x v="4"/>
    <x v="2"/>
    <x v="2"/>
    <s v="Pants"/>
    <n v="3"/>
    <n v="2488.34"/>
    <n v="7465.02"/>
  </r>
  <r>
    <s v="7/19/2023"/>
    <x v="2"/>
    <x v="1"/>
    <x v="1"/>
    <x v="1"/>
    <x v="0"/>
    <s v="Sofa"/>
    <n v="8"/>
    <n v="1990"/>
    <n v="15920"/>
  </r>
  <r>
    <s v="3/13/2023"/>
    <x v="5"/>
    <x v="14"/>
    <x v="3"/>
    <x v="0"/>
    <x v="4"/>
    <s v="Smartphone"/>
    <n v="20"/>
    <n v="2446.21"/>
    <n v="48924.2"/>
  </r>
  <r>
    <s v="10/22/2023"/>
    <x v="3"/>
    <x v="12"/>
    <x v="2"/>
    <x v="1"/>
    <x v="1"/>
    <s v="Notebook"/>
    <n v="11"/>
    <n v="1841.84"/>
    <n v="20260.240000000002"/>
  </r>
  <r>
    <d v="2023-01-12T00:00:00"/>
    <x v="5"/>
    <x v="13"/>
    <x v="4"/>
    <x v="2"/>
    <x v="4"/>
    <s v="Headphones"/>
    <n v="5"/>
    <n v="3289.83"/>
    <n v="16449.150000000001"/>
  </r>
  <r>
    <s v="3/29/2023"/>
    <x v="6"/>
    <x v="4"/>
    <x v="0"/>
    <x v="0"/>
    <x v="3"/>
    <s v="Sugar"/>
    <n v="6"/>
    <n v="549.79999999999995"/>
    <n v="3298.8"/>
  </r>
  <r>
    <d v="2023-03-02T00:00:00"/>
    <x v="7"/>
    <x v="3"/>
    <x v="1"/>
    <x v="1"/>
    <x v="4"/>
    <s v="Headphones"/>
    <n v="20"/>
    <n v="4397.46"/>
    <n v="87949.2"/>
  </r>
  <r>
    <d v="2023-11-05T00:00:00"/>
    <x v="6"/>
    <x v="2"/>
    <x v="2"/>
    <x v="1"/>
    <x v="3"/>
    <s v="Lentils"/>
    <n v="3"/>
    <n v="3107.88"/>
    <n v="9323.64"/>
  </r>
  <r>
    <s v="11/24/2023"/>
    <x v="0"/>
    <x v="10"/>
    <x v="3"/>
    <x v="0"/>
    <x v="0"/>
    <s v="Chair"/>
    <n v="11"/>
    <n v="1451.86"/>
    <n v="15970.46"/>
  </r>
  <r>
    <d v="2023-03-07T00:00:00"/>
    <x v="6"/>
    <x v="1"/>
    <x v="1"/>
    <x v="1"/>
    <x v="3"/>
    <s v="Oil"/>
    <n v="13"/>
    <n v="4087.03"/>
    <n v="53131.39"/>
  </r>
  <r>
    <d v="2023-02-09T00:00:00"/>
    <x v="0"/>
    <x v="8"/>
    <x v="4"/>
    <x v="2"/>
    <x v="1"/>
    <s v="Ruler"/>
    <n v="12"/>
    <n v="3040.08"/>
    <n v="36480.959999999999"/>
  </r>
  <r>
    <s v="10/30/2023"/>
    <x v="5"/>
    <x v="13"/>
    <x v="4"/>
    <x v="2"/>
    <x v="3"/>
    <s v="Sugar"/>
    <n v="19"/>
    <n v="3968.42"/>
    <n v="75399.98"/>
  </r>
  <r>
    <s v="7/15/2023"/>
    <x v="9"/>
    <x v="6"/>
    <x v="2"/>
    <x v="1"/>
    <x v="4"/>
    <s v="Laptop"/>
    <n v="4"/>
    <n v="894.64"/>
    <n v="3578.56"/>
  </r>
  <r>
    <d v="2023-03-11T00:00:00"/>
    <x v="6"/>
    <x v="6"/>
    <x v="2"/>
    <x v="1"/>
    <x v="3"/>
    <s v="Oil"/>
    <n v="20"/>
    <n v="1787.99"/>
    <n v="35759.800000000003"/>
  </r>
  <r>
    <s v="6/13/2023"/>
    <x v="0"/>
    <x v="4"/>
    <x v="0"/>
    <x v="0"/>
    <x v="0"/>
    <s v="Bed"/>
    <n v="17"/>
    <n v="2910.12"/>
    <n v="49472.04"/>
  </r>
  <r>
    <d v="2023-03-02T00:00:00"/>
    <x v="9"/>
    <x v="1"/>
    <x v="1"/>
    <x v="1"/>
    <x v="3"/>
    <s v="Lentils"/>
    <n v="16"/>
    <n v="827.8"/>
    <n v="13244.8"/>
  </r>
  <r>
    <d v="2023-09-05T00:00:00"/>
    <x v="2"/>
    <x v="8"/>
    <x v="4"/>
    <x v="2"/>
    <x v="1"/>
    <s v="Eraser"/>
    <n v="18"/>
    <n v="3093.44"/>
    <n v="55681.919999999998"/>
  </r>
  <r>
    <s v="1/20/2023"/>
    <x v="6"/>
    <x v="5"/>
    <x v="1"/>
    <x v="1"/>
    <x v="2"/>
    <s v="Shirt"/>
    <n v="10"/>
    <n v="2469.04"/>
    <n v="24690.400000000001"/>
  </r>
  <r>
    <s v="5/16/2023"/>
    <x v="2"/>
    <x v="5"/>
    <x v="1"/>
    <x v="1"/>
    <x v="1"/>
    <s v="Ruler"/>
    <n v="12"/>
    <n v="2127.2800000000002"/>
    <n v="25527.360000000001"/>
  </r>
  <r>
    <s v="1/18/2023"/>
    <x v="5"/>
    <x v="5"/>
    <x v="1"/>
    <x v="1"/>
    <x v="4"/>
    <s v="Laptop"/>
    <n v="1"/>
    <n v="1811.76"/>
    <n v="1811.76"/>
  </r>
  <r>
    <s v="5/29/2023"/>
    <x v="8"/>
    <x v="12"/>
    <x v="2"/>
    <x v="1"/>
    <x v="0"/>
    <s v="Bed"/>
    <n v="4"/>
    <n v="4485.82"/>
    <n v="17943.28"/>
  </r>
  <r>
    <d v="2023-03-09T00:00:00"/>
    <x v="8"/>
    <x v="6"/>
    <x v="2"/>
    <x v="1"/>
    <x v="4"/>
    <s v="Laptop"/>
    <n v="8"/>
    <n v="4649.3500000000004"/>
    <n v="37194.800000000003"/>
  </r>
  <r>
    <s v="3/24/2023"/>
    <x v="1"/>
    <x v="3"/>
    <x v="1"/>
    <x v="1"/>
    <x v="0"/>
    <s v="Chair"/>
    <n v="3"/>
    <n v="4027.17"/>
    <n v="12081.51"/>
  </r>
  <r>
    <s v="11/14/2023"/>
    <x v="8"/>
    <x v="13"/>
    <x v="4"/>
    <x v="2"/>
    <x v="4"/>
    <s v="Smartphone"/>
    <n v="14"/>
    <n v="4406.29"/>
    <n v="61688.06"/>
  </r>
  <r>
    <s v="5/31/2023"/>
    <x v="1"/>
    <x v="5"/>
    <x v="1"/>
    <x v="1"/>
    <x v="3"/>
    <s v="Sugar"/>
    <n v="20"/>
    <n v="4072.4"/>
    <n v="81448"/>
  </r>
  <r>
    <s v="6/21/2023"/>
    <x v="4"/>
    <x v="13"/>
    <x v="4"/>
    <x v="2"/>
    <x v="3"/>
    <s v="Oil"/>
    <n v="1"/>
    <n v="4801.38"/>
    <n v="4801.38"/>
  </r>
  <r>
    <d v="2023-06-01T00:00:00"/>
    <x v="6"/>
    <x v="2"/>
    <x v="2"/>
    <x v="1"/>
    <x v="2"/>
    <s v="Shirt"/>
    <n v="17"/>
    <n v="828.26"/>
    <n v="14080.42"/>
  </r>
  <r>
    <d v="2023-09-01T00:00:00"/>
    <x v="3"/>
    <x v="10"/>
    <x v="3"/>
    <x v="0"/>
    <x v="3"/>
    <s v="Sugar"/>
    <n v="13"/>
    <n v="4331.5"/>
    <n v="56309.5"/>
  </r>
  <r>
    <d v="2023-03-09T00:00:00"/>
    <x v="4"/>
    <x v="9"/>
    <x v="0"/>
    <x v="0"/>
    <x v="2"/>
    <s v="Shirt"/>
    <n v="14"/>
    <n v="3404.4"/>
    <n v="47661.599999999999"/>
  </r>
  <r>
    <s v="1/30/2023"/>
    <x v="8"/>
    <x v="0"/>
    <x v="0"/>
    <x v="0"/>
    <x v="0"/>
    <s v="Chair"/>
    <n v="20"/>
    <n v="3734.44"/>
    <n v="74688.800000000003"/>
  </r>
  <r>
    <s v="2/26/2023"/>
    <x v="9"/>
    <x v="0"/>
    <x v="0"/>
    <x v="0"/>
    <x v="0"/>
    <s v="Bed"/>
    <n v="6"/>
    <n v="112.76"/>
    <n v="676.56"/>
  </r>
  <r>
    <s v="12/15/2023"/>
    <x v="9"/>
    <x v="11"/>
    <x v="4"/>
    <x v="2"/>
    <x v="4"/>
    <s v="Headphones"/>
    <n v="6"/>
    <n v="4751.7700000000004"/>
    <n v="28510.62"/>
  </r>
  <r>
    <d v="2023-08-07T00:00:00"/>
    <x v="2"/>
    <x v="10"/>
    <x v="3"/>
    <x v="0"/>
    <x v="3"/>
    <s v="Sugar"/>
    <n v="4"/>
    <n v="3214.1"/>
    <n v="12856.4"/>
  </r>
  <r>
    <s v="9/23/2023"/>
    <x v="0"/>
    <x v="11"/>
    <x v="4"/>
    <x v="2"/>
    <x v="4"/>
    <s v="Laptop"/>
    <n v="20"/>
    <n v="598.97"/>
    <n v="11979.4"/>
  </r>
  <r>
    <s v="4/15/2023"/>
    <x v="9"/>
    <x v="0"/>
    <x v="0"/>
    <x v="0"/>
    <x v="0"/>
    <s v="Bed"/>
    <n v="15"/>
    <n v="1513.67"/>
    <n v="22705.05"/>
  </r>
  <r>
    <s v="3/14/2023"/>
    <x v="6"/>
    <x v="14"/>
    <x v="3"/>
    <x v="0"/>
    <x v="2"/>
    <s v="Pants"/>
    <n v="6"/>
    <n v="194.62"/>
    <n v="1167.72"/>
  </r>
  <r>
    <d v="2023-01-12T00:00:00"/>
    <x v="7"/>
    <x v="14"/>
    <x v="3"/>
    <x v="0"/>
    <x v="2"/>
    <s v="Pants"/>
    <n v="6"/>
    <n v="4508.3"/>
    <n v="27049.8"/>
  </r>
  <r>
    <d v="2023-11-09T00:00:00"/>
    <x v="5"/>
    <x v="7"/>
    <x v="3"/>
    <x v="0"/>
    <x v="0"/>
    <s v="Chair"/>
    <n v="20"/>
    <n v="4055.72"/>
    <n v="81114.399999999994"/>
  </r>
  <r>
    <d v="2023-03-10T00:00:00"/>
    <x v="6"/>
    <x v="3"/>
    <x v="1"/>
    <x v="1"/>
    <x v="0"/>
    <s v="Chair"/>
    <n v="8"/>
    <n v="2986.89"/>
    <n v="23895.119999999999"/>
  </r>
  <r>
    <s v="4/25/2023"/>
    <x v="4"/>
    <x v="8"/>
    <x v="4"/>
    <x v="2"/>
    <x v="4"/>
    <s v="Smartphone"/>
    <n v="7"/>
    <n v="4933.0600000000004"/>
    <n v="34531.42"/>
  </r>
  <r>
    <s v="9/25/2023"/>
    <x v="8"/>
    <x v="2"/>
    <x v="2"/>
    <x v="1"/>
    <x v="1"/>
    <s v="Ruler"/>
    <n v="4"/>
    <n v="4837.17"/>
    <n v="19348.68"/>
  </r>
  <r>
    <d v="2023-04-10T00:00:00"/>
    <x v="6"/>
    <x v="11"/>
    <x v="4"/>
    <x v="2"/>
    <x v="1"/>
    <s v="Ruler"/>
    <n v="1"/>
    <n v="4813.2299999999996"/>
    <n v="4813.2299999999996"/>
  </r>
  <r>
    <s v="3/27/2023"/>
    <x v="6"/>
    <x v="6"/>
    <x v="2"/>
    <x v="1"/>
    <x v="2"/>
    <s v="Jacket"/>
    <n v="16"/>
    <n v="3158.66"/>
    <n v="50538.559999999998"/>
  </r>
  <r>
    <d v="2023-06-09T00:00:00"/>
    <x v="1"/>
    <x v="0"/>
    <x v="0"/>
    <x v="0"/>
    <x v="4"/>
    <s v="Laptop"/>
    <n v="6"/>
    <n v="2920.43"/>
    <n v="17522.580000000002"/>
  </r>
  <r>
    <d v="2023-07-12T00:00:00"/>
    <x v="1"/>
    <x v="0"/>
    <x v="0"/>
    <x v="0"/>
    <x v="2"/>
    <s v="Pants"/>
    <n v="12"/>
    <n v="2170.02"/>
    <n v="26040.240000000002"/>
  </r>
  <r>
    <s v="5/14/2023"/>
    <x v="4"/>
    <x v="0"/>
    <x v="0"/>
    <x v="0"/>
    <x v="4"/>
    <s v="Headphones"/>
    <n v="2"/>
    <n v="4542.6099999999997"/>
    <n v="9085.2199999999993"/>
  </r>
  <r>
    <s v="12/23/2023"/>
    <x v="2"/>
    <x v="9"/>
    <x v="0"/>
    <x v="0"/>
    <x v="4"/>
    <s v="Headphones"/>
    <n v="1"/>
    <n v="3091.48"/>
    <n v="3091.48"/>
  </r>
  <r>
    <d v="2023-04-01T00:00:00"/>
    <x v="6"/>
    <x v="10"/>
    <x v="3"/>
    <x v="0"/>
    <x v="0"/>
    <s v="Table"/>
    <n v="3"/>
    <n v="2205.6"/>
    <n v="6616.8"/>
  </r>
  <r>
    <s v="7/22/2023"/>
    <x v="2"/>
    <x v="0"/>
    <x v="0"/>
    <x v="0"/>
    <x v="4"/>
    <s v="Smartphone"/>
    <n v="10"/>
    <n v="4282.18"/>
    <n v="42821.8"/>
  </r>
  <r>
    <s v="11/18/2023"/>
    <x v="4"/>
    <x v="2"/>
    <x v="2"/>
    <x v="1"/>
    <x v="1"/>
    <s v="Ruler"/>
    <n v="5"/>
    <n v="4252.84"/>
    <n v="21264.2"/>
  </r>
  <r>
    <d v="2023-08-01T00:00:00"/>
    <x v="1"/>
    <x v="13"/>
    <x v="4"/>
    <x v="2"/>
    <x v="0"/>
    <s v="Chair"/>
    <n v="3"/>
    <n v="916.33"/>
    <n v="2748.99"/>
  </r>
  <r>
    <s v="4/13/2023"/>
    <x v="1"/>
    <x v="7"/>
    <x v="3"/>
    <x v="0"/>
    <x v="0"/>
    <s v="Chair"/>
    <n v="3"/>
    <n v="1270.1500000000001"/>
    <n v="3810.45"/>
  </r>
  <r>
    <d v="2023-11-02T00:00:00"/>
    <x v="2"/>
    <x v="1"/>
    <x v="1"/>
    <x v="1"/>
    <x v="0"/>
    <s v="Bed"/>
    <n v="6"/>
    <n v="1750.35"/>
    <n v="10502.1"/>
  </r>
  <r>
    <s v="10/31/2023"/>
    <x v="0"/>
    <x v="1"/>
    <x v="1"/>
    <x v="1"/>
    <x v="3"/>
    <s v="Lentils"/>
    <n v="6"/>
    <n v="1105.03"/>
    <n v="6630.18"/>
  </r>
  <r>
    <s v="3/26/2023"/>
    <x v="6"/>
    <x v="1"/>
    <x v="1"/>
    <x v="1"/>
    <x v="0"/>
    <s v="Table"/>
    <n v="17"/>
    <n v="1801.69"/>
    <n v="30628.73"/>
  </r>
  <r>
    <d v="2023-09-07T00:00:00"/>
    <x v="7"/>
    <x v="12"/>
    <x v="2"/>
    <x v="1"/>
    <x v="4"/>
    <s v="Headphones"/>
    <n v="19"/>
    <n v="717.29"/>
    <n v="13628.51"/>
  </r>
  <r>
    <s v="10/22/2023"/>
    <x v="2"/>
    <x v="14"/>
    <x v="3"/>
    <x v="0"/>
    <x v="1"/>
    <s v="Pen"/>
    <n v="2"/>
    <n v="4547.16"/>
    <n v="9094.32"/>
  </r>
  <r>
    <d v="2023-04-11T00:00:00"/>
    <x v="6"/>
    <x v="13"/>
    <x v="4"/>
    <x v="2"/>
    <x v="2"/>
    <s v="Dress"/>
    <n v="2"/>
    <n v="4818.49"/>
    <n v="9636.98"/>
  </r>
  <r>
    <d v="2023-10-11T00:00:00"/>
    <x v="3"/>
    <x v="5"/>
    <x v="1"/>
    <x v="1"/>
    <x v="1"/>
    <s v="Ruler"/>
    <n v="14"/>
    <n v="1410.91"/>
    <n v="19752.740000000002"/>
  </r>
  <r>
    <s v="3/20/2023"/>
    <x v="9"/>
    <x v="2"/>
    <x v="2"/>
    <x v="1"/>
    <x v="2"/>
    <s v="Dress"/>
    <n v="20"/>
    <n v="239.35"/>
    <n v="4787"/>
  </r>
  <r>
    <d v="2023-02-06T00:00:00"/>
    <x v="4"/>
    <x v="14"/>
    <x v="3"/>
    <x v="0"/>
    <x v="1"/>
    <s v="Pen"/>
    <n v="16"/>
    <n v="4096.74"/>
    <n v="65547.839999999997"/>
  </r>
  <r>
    <s v="1/19/2023"/>
    <x v="4"/>
    <x v="5"/>
    <x v="1"/>
    <x v="1"/>
    <x v="1"/>
    <s v="Eraser"/>
    <n v="14"/>
    <n v="3507.25"/>
    <n v="49101.5"/>
  </r>
  <r>
    <s v="2/14/2023"/>
    <x v="3"/>
    <x v="9"/>
    <x v="0"/>
    <x v="0"/>
    <x v="1"/>
    <s v="Pen"/>
    <n v="16"/>
    <n v="4507.37"/>
    <n v="72117.919999999998"/>
  </r>
  <r>
    <s v="5/26/2023"/>
    <x v="4"/>
    <x v="13"/>
    <x v="4"/>
    <x v="2"/>
    <x v="0"/>
    <s v="Bed"/>
    <n v="10"/>
    <n v="239.55"/>
    <n v="2395.5"/>
  </r>
  <r>
    <s v="6/18/2023"/>
    <x v="0"/>
    <x v="0"/>
    <x v="0"/>
    <x v="0"/>
    <x v="1"/>
    <s v="Eraser"/>
    <n v="17"/>
    <n v="679.78"/>
    <n v="11556.26"/>
  </r>
  <r>
    <s v="11/25/2023"/>
    <x v="4"/>
    <x v="6"/>
    <x v="2"/>
    <x v="1"/>
    <x v="0"/>
    <s v="Chair"/>
    <n v="18"/>
    <n v="2658.57"/>
    <n v="47854.26"/>
  </r>
  <r>
    <s v="5/16/2023"/>
    <x v="7"/>
    <x v="1"/>
    <x v="1"/>
    <x v="1"/>
    <x v="0"/>
    <s v="Table"/>
    <n v="18"/>
    <n v="4937.99"/>
    <n v="88883.82"/>
  </r>
  <r>
    <s v="11/14/2023"/>
    <x v="7"/>
    <x v="10"/>
    <x v="3"/>
    <x v="0"/>
    <x v="0"/>
    <s v="Sofa"/>
    <n v="17"/>
    <n v="3421.31"/>
    <n v="58162.27"/>
  </r>
  <r>
    <s v="11/18/2023"/>
    <x v="9"/>
    <x v="11"/>
    <x v="4"/>
    <x v="2"/>
    <x v="4"/>
    <s v="Headphones"/>
    <n v="4"/>
    <n v="1555.9"/>
    <n v="6223.6"/>
  </r>
  <r>
    <s v="5/30/2023"/>
    <x v="5"/>
    <x v="9"/>
    <x v="0"/>
    <x v="0"/>
    <x v="4"/>
    <s v="Headphones"/>
    <n v="12"/>
    <n v="932.42"/>
    <n v="11189.04"/>
  </r>
  <r>
    <s v="6/21/2023"/>
    <x v="4"/>
    <x v="6"/>
    <x v="2"/>
    <x v="1"/>
    <x v="0"/>
    <s v="Chair"/>
    <n v="20"/>
    <n v="459.48"/>
    <n v="9189.6"/>
  </r>
  <r>
    <s v="3/29/2023"/>
    <x v="1"/>
    <x v="2"/>
    <x v="2"/>
    <x v="1"/>
    <x v="4"/>
    <s v="Smartphone"/>
    <n v="5"/>
    <n v="568.87"/>
    <n v="2844.35"/>
  </r>
  <r>
    <s v="5/17/2023"/>
    <x v="2"/>
    <x v="12"/>
    <x v="2"/>
    <x v="1"/>
    <x v="2"/>
    <s v="Jacket"/>
    <n v="10"/>
    <n v="1468.96"/>
    <n v="14689.6"/>
  </r>
  <r>
    <s v="7/22/2023"/>
    <x v="9"/>
    <x v="11"/>
    <x v="4"/>
    <x v="2"/>
    <x v="0"/>
    <s v="Chair"/>
    <n v="6"/>
    <n v="3080.25"/>
    <n v="18481.5"/>
  </r>
  <r>
    <s v="10/28/2023"/>
    <x v="9"/>
    <x v="2"/>
    <x v="2"/>
    <x v="1"/>
    <x v="2"/>
    <s v="Pants"/>
    <n v="11"/>
    <n v="1817.43"/>
    <n v="19991.73"/>
  </r>
  <r>
    <s v="3/15/2023"/>
    <x v="0"/>
    <x v="13"/>
    <x v="4"/>
    <x v="2"/>
    <x v="1"/>
    <s v="Pen"/>
    <n v="19"/>
    <n v="3800.55"/>
    <n v="72210.45"/>
  </r>
  <r>
    <s v="7/14/2023"/>
    <x v="5"/>
    <x v="14"/>
    <x v="3"/>
    <x v="0"/>
    <x v="4"/>
    <s v="Headphones"/>
    <n v="17"/>
    <n v="2809.13"/>
    <n v="47755.21"/>
  </r>
  <r>
    <d v="2023-06-06T00:00:00"/>
    <x v="2"/>
    <x v="6"/>
    <x v="2"/>
    <x v="1"/>
    <x v="1"/>
    <s v="Ruler"/>
    <n v="9"/>
    <n v="4712.9799999999996"/>
    <n v="42416.82"/>
  </r>
  <r>
    <d v="2023-02-12T00:00:00"/>
    <x v="2"/>
    <x v="14"/>
    <x v="3"/>
    <x v="0"/>
    <x v="4"/>
    <s v="Tablet"/>
    <n v="1"/>
    <n v="4541.7700000000004"/>
    <n v="4541.7700000000004"/>
  </r>
  <r>
    <d v="2023-03-03T00:00:00"/>
    <x v="6"/>
    <x v="8"/>
    <x v="4"/>
    <x v="2"/>
    <x v="4"/>
    <s v="Laptop"/>
    <n v="9"/>
    <n v="3122.72"/>
    <n v="28104.48"/>
  </r>
  <r>
    <s v="3/20/2023"/>
    <x v="5"/>
    <x v="4"/>
    <x v="0"/>
    <x v="0"/>
    <x v="1"/>
    <s v="Pen"/>
    <n v="9"/>
    <n v="4198.92"/>
    <n v="37790.28"/>
  </r>
  <r>
    <d v="2023-04-03T00:00:00"/>
    <x v="4"/>
    <x v="1"/>
    <x v="1"/>
    <x v="1"/>
    <x v="0"/>
    <s v="Sofa"/>
    <n v="17"/>
    <n v="4415.8500000000004"/>
    <n v="75069.45"/>
  </r>
  <r>
    <s v="10/25/2023"/>
    <x v="8"/>
    <x v="2"/>
    <x v="2"/>
    <x v="1"/>
    <x v="3"/>
    <s v="Sugar"/>
    <n v="16"/>
    <n v="4684.8599999999997"/>
    <n v="74957.759999999995"/>
  </r>
  <r>
    <s v="12/23/2023"/>
    <x v="2"/>
    <x v="2"/>
    <x v="2"/>
    <x v="1"/>
    <x v="0"/>
    <s v="Bed"/>
    <n v="17"/>
    <n v="4156.25"/>
    <n v="70656.25"/>
  </r>
  <r>
    <d v="2023-05-05T00:00:00"/>
    <x v="2"/>
    <x v="1"/>
    <x v="1"/>
    <x v="1"/>
    <x v="1"/>
    <s v="Pen"/>
    <n v="10"/>
    <n v="3776.8"/>
    <n v="37768"/>
  </r>
  <r>
    <s v="1/24/2023"/>
    <x v="7"/>
    <x v="10"/>
    <x v="3"/>
    <x v="0"/>
    <x v="4"/>
    <s v="Headphones"/>
    <n v="8"/>
    <n v="310.33"/>
    <n v="2482.64"/>
  </r>
  <r>
    <d v="2023-05-05T00:00:00"/>
    <x v="4"/>
    <x v="14"/>
    <x v="3"/>
    <x v="0"/>
    <x v="3"/>
    <s v="Rice"/>
    <n v="5"/>
    <n v="1313.4"/>
    <n v="6567"/>
  </r>
  <r>
    <s v="10/19/2023"/>
    <x v="9"/>
    <x v="0"/>
    <x v="0"/>
    <x v="0"/>
    <x v="3"/>
    <s v="Sugar"/>
    <n v="6"/>
    <n v="2332.11"/>
    <n v="13992.66"/>
  </r>
  <r>
    <s v="4/29/2023"/>
    <x v="1"/>
    <x v="13"/>
    <x v="4"/>
    <x v="2"/>
    <x v="1"/>
    <s v="Notebook"/>
    <n v="3"/>
    <n v="4955.22"/>
    <n v="14865.66"/>
  </r>
  <r>
    <s v="11/13/2023"/>
    <x v="1"/>
    <x v="0"/>
    <x v="0"/>
    <x v="0"/>
    <x v="0"/>
    <s v="Table"/>
    <n v="17"/>
    <n v="3827.64"/>
    <n v="65069.88"/>
  </r>
  <r>
    <d v="2023-04-09T00:00:00"/>
    <x v="0"/>
    <x v="10"/>
    <x v="3"/>
    <x v="0"/>
    <x v="2"/>
    <s v="Dress"/>
    <n v="17"/>
    <n v="3857.33"/>
    <n v="65574.61"/>
  </r>
  <r>
    <s v="11/26/2023"/>
    <x v="2"/>
    <x v="3"/>
    <x v="1"/>
    <x v="1"/>
    <x v="2"/>
    <s v="Shirt"/>
    <n v="8"/>
    <n v="1421.21"/>
    <n v="11369.68"/>
  </r>
  <r>
    <s v="6/27/2023"/>
    <x v="1"/>
    <x v="4"/>
    <x v="0"/>
    <x v="0"/>
    <x v="3"/>
    <s v="Oil"/>
    <n v="1"/>
    <n v="1544.87"/>
    <n v="1544.87"/>
  </r>
  <r>
    <s v="7/29/2023"/>
    <x v="2"/>
    <x v="10"/>
    <x v="3"/>
    <x v="0"/>
    <x v="3"/>
    <s v="Sugar"/>
    <n v="14"/>
    <n v="2764.71"/>
    <n v="38705.94"/>
  </r>
  <r>
    <d v="2023-04-07T00:00:00"/>
    <x v="5"/>
    <x v="6"/>
    <x v="2"/>
    <x v="1"/>
    <x v="2"/>
    <s v="Dress"/>
    <n v="9"/>
    <n v="2210.8000000000002"/>
    <n v="19897.2"/>
  </r>
  <r>
    <d v="2023-02-01T00:00:00"/>
    <x v="2"/>
    <x v="5"/>
    <x v="1"/>
    <x v="1"/>
    <x v="0"/>
    <s v="Chair"/>
    <n v="3"/>
    <n v="4359.8999999999996"/>
    <n v="13079.7"/>
  </r>
  <r>
    <s v="3/27/2023"/>
    <x v="7"/>
    <x v="2"/>
    <x v="2"/>
    <x v="1"/>
    <x v="0"/>
    <s v="Table"/>
    <n v="7"/>
    <n v="3836.77"/>
    <n v="26857.39"/>
  </r>
  <r>
    <s v="10/18/2023"/>
    <x v="6"/>
    <x v="10"/>
    <x v="3"/>
    <x v="0"/>
    <x v="1"/>
    <s v="Pen"/>
    <n v="7"/>
    <n v="560.58000000000004"/>
    <n v="3924.06"/>
  </r>
  <r>
    <d v="2023-12-06T00:00:00"/>
    <x v="4"/>
    <x v="8"/>
    <x v="4"/>
    <x v="2"/>
    <x v="4"/>
    <s v="Headphones"/>
    <n v="17"/>
    <n v="1574.45"/>
    <n v="26765.65"/>
  </r>
  <r>
    <d v="2023-02-03T00:00:00"/>
    <x v="3"/>
    <x v="8"/>
    <x v="4"/>
    <x v="2"/>
    <x v="0"/>
    <s v="Table"/>
    <n v="17"/>
    <n v="578.66999999999996"/>
    <n v="9837.39"/>
  </r>
  <r>
    <s v="12/26/2023"/>
    <x v="6"/>
    <x v="1"/>
    <x v="1"/>
    <x v="1"/>
    <x v="3"/>
    <s v="Lentils"/>
    <n v="19"/>
    <n v="1441.02"/>
    <n v="27379.38"/>
  </r>
  <r>
    <s v="9/18/2023"/>
    <x v="0"/>
    <x v="5"/>
    <x v="1"/>
    <x v="1"/>
    <x v="0"/>
    <s v="Sofa"/>
    <n v="19"/>
    <n v="618.02"/>
    <n v="11742.38"/>
  </r>
  <r>
    <s v="2/14/2023"/>
    <x v="7"/>
    <x v="14"/>
    <x v="3"/>
    <x v="0"/>
    <x v="1"/>
    <s v="Eraser"/>
    <n v="15"/>
    <n v="4093.93"/>
    <n v="61408.95"/>
  </r>
  <r>
    <s v="1/30/2023"/>
    <x v="1"/>
    <x v="7"/>
    <x v="3"/>
    <x v="0"/>
    <x v="0"/>
    <s v="Bed"/>
    <n v="16"/>
    <n v="2714.37"/>
    <n v="43429.919999999998"/>
  </r>
  <r>
    <s v="6/21/2023"/>
    <x v="5"/>
    <x v="14"/>
    <x v="3"/>
    <x v="0"/>
    <x v="2"/>
    <s v="Dress"/>
    <n v="8"/>
    <n v="4658.57"/>
    <n v="37268.559999999998"/>
  </r>
  <r>
    <d v="2023-12-08T00:00:00"/>
    <x v="6"/>
    <x v="0"/>
    <x v="0"/>
    <x v="0"/>
    <x v="1"/>
    <s v="Notebook"/>
    <n v="20"/>
    <n v="3203.76"/>
    <n v="64075.199999999997"/>
  </r>
  <r>
    <s v="11/28/2023"/>
    <x v="6"/>
    <x v="11"/>
    <x v="4"/>
    <x v="2"/>
    <x v="4"/>
    <s v="Smartphone"/>
    <n v="5"/>
    <n v="3572.02"/>
    <n v="17860.099999999999"/>
  </r>
  <r>
    <s v="1/25/2023"/>
    <x v="0"/>
    <x v="10"/>
    <x v="3"/>
    <x v="0"/>
    <x v="3"/>
    <s v="Oil"/>
    <n v="4"/>
    <n v="328.82"/>
    <n v="1315.28"/>
  </r>
  <r>
    <d v="2023-06-06T00:00:00"/>
    <x v="0"/>
    <x v="13"/>
    <x v="4"/>
    <x v="2"/>
    <x v="1"/>
    <s v="Eraser"/>
    <n v="10"/>
    <n v="4210.63"/>
    <n v="42106.3"/>
  </r>
  <r>
    <s v="3/22/2023"/>
    <x v="3"/>
    <x v="2"/>
    <x v="2"/>
    <x v="1"/>
    <x v="2"/>
    <s v="Dress"/>
    <n v="15"/>
    <n v="211.9"/>
    <n v="3178.5"/>
  </r>
  <r>
    <s v="1/17/2023"/>
    <x v="9"/>
    <x v="11"/>
    <x v="4"/>
    <x v="2"/>
    <x v="0"/>
    <s v="Table"/>
    <n v="6"/>
    <n v="1847.42"/>
    <n v="11084.52"/>
  </r>
  <r>
    <s v="12/19/2023"/>
    <x v="1"/>
    <x v="11"/>
    <x v="4"/>
    <x v="2"/>
    <x v="3"/>
    <s v="Rice"/>
    <n v="15"/>
    <n v="3875.6"/>
    <n v="58134"/>
  </r>
  <r>
    <s v="7/17/2023"/>
    <x v="5"/>
    <x v="11"/>
    <x v="4"/>
    <x v="2"/>
    <x v="1"/>
    <s v="Eraser"/>
    <n v="1"/>
    <n v="1323.63"/>
    <n v="1323.63"/>
  </r>
  <r>
    <d v="2023-03-03T00:00:00"/>
    <x v="8"/>
    <x v="10"/>
    <x v="3"/>
    <x v="0"/>
    <x v="4"/>
    <s v="Smartphone"/>
    <n v="18"/>
    <n v="3916.11"/>
    <n v="70489.98"/>
  </r>
  <r>
    <s v="3/17/2023"/>
    <x v="2"/>
    <x v="7"/>
    <x v="3"/>
    <x v="0"/>
    <x v="0"/>
    <s v="Sofa"/>
    <n v="16"/>
    <n v="4624.91"/>
    <n v="73998.559999999998"/>
  </r>
  <r>
    <s v="4/21/2023"/>
    <x v="2"/>
    <x v="0"/>
    <x v="0"/>
    <x v="0"/>
    <x v="1"/>
    <s v="Notebook"/>
    <n v="8"/>
    <n v="4091.1"/>
    <n v="32728.799999999999"/>
  </r>
  <r>
    <s v="8/19/2023"/>
    <x v="0"/>
    <x v="0"/>
    <x v="0"/>
    <x v="0"/>
    <x v="0"/>
    <s v="Sofa"/>
    <n v="16"/>
    <n v="3369.55"/>
    <n v="53912.800000000003"/>
  </r>
  <r>
    <d v="2023-10-10T00:00:00"/>
    <x v="4"/>
    <x v="12"/>
    <x v="2"/>
    <x v="1"/>
    <x v="0"/>
    <s v="Bed"/>
    <n v="3"/>
    <n v="3591.92"/>
    <n v="10775.76"/>
  </r>
  <r>
    <s v="8/16/2023"/>
    <x v="7"/>
    <x v="4"/>
    <x v="0"/>
    <x v="0"/>
    <x v="2"/>
    <s v="Dress"/>
    <n v="4"/>
    <n v="4298.3500000000004"/>
    <n v="17193.400000000001"/>
  </r>
  <r>
    <d v="2023-07-08T00:00:00"/>
    <x v="0"/>
    <x v="10"/>
    <x v="3"/>
    <x v="0"/>
    <x v="1"/>
    <s v="Pen"/>
    <n v="11"/>
    <n v="3687.73"/>
    <n v="40565.03"/>
  </r>
  <r>
    <s v="10/19/2023"/>
    <x v="1"/>
    <x v="7"/>
    <x v="3"/>
    <x v="0"/>
    <x v="3"/>
    <s v="Oil"/>
    <n v="12"/>
    <n v="548.36"/>
    <n v="6580.32"/>
  </r>
  <r>
    <d v="2023-09-06T00:00:00"/>
    <x v="6"/>
    <x v="2"/>
    <x v="2"/>
    <x v="1"/>
    <x v="2"/>
    <s v="Dress"/>
    <n v="6"/>
    <n v="3931.61"/>
    <n v="23589.66"/>
  </r>
  <r>
    <d v="2023-11-07T00:00:00"/>
    <x v="0"/>
    <x v="0"/>
    <x v="0"/>
    <x v="0"/>
    <x v="2"/>
    <s v="Pants"/>
    <n v="18"/>
    <n v="1120.0999999999999"/>
    <n v="20161.8"/>
  </r>
  <r>
    <s v="2/13/2023"/>
    <x v="8"/>
    <x v="6"/>
    <x v="2"/>
    <x v="1"/>
    <x v="1"/>
    <s v="Notebook"/>
    <n v="11"/>
    <n v="1473.35"/>
    <n v="16206.85"/>
  </r>
  <r>
    <s v="9/16/2023"/>
    <x v="3"/>
    <x v="10"/>
    <x v="3"/>
    <x v="0"/>
    <x v="4"/>
    <s v="Laptop"/>
    <n v="6"/>
    <n v="297.27"/>
    <n v="1783.62"/>
  </r>
  <r>
    <s v="12/25/2023"/>
    <x v="0"/>
    <x v="4"/>
    <x v="0"/>
    <x v="0"/>
    <x v="3"/>
    <s v="Rice"/>
    <n v="5"/>
    <n v="4872.8900000000003"/>
    <n v="24364.45"/>
  </r>
  <r>
    <s v="7/15/2023"/>
    <x v="5"/>
    <x v="8"/>
    <x v="4"/>
    <x v="2"/>
    <x v="3"/>
    <s v="Sugar"/>
    <n v="20"/>
    <n v="4711.51"/>
    <n v="94230.2"/>
  </r>
  <r>
    <s v="11/14/2023"/>
    <x v="9"/>
    <x v="10"/>
    <x v="3"/>
    <x v="0"/>
    <x v="4"/>
    <s v="Laptop"/>
    <n v="5"/>
    <n v="4096.54"/>
    <n v="20482.7"/>
  </r>
  <r>
    <s v="10/15/2023"/>
    <x v="6"/>
    <x v="8"/>
    <x v="4"/>
    <x v="2"/>
    <x v="3"/>
    <s v="Sugar"/>
    <n v="6"/>
    <n v="830.82"/>
    <n v="4984.92"/>
  </r>
  <r>
    <d v="2023-03-07T00:00:00"/>
    <x v="7"/>
    <x v="11"/>
    <x v="4"/>
    <x v="2"/>
    <x v="3"/>
    <s v="Lentils"/>
    <n v="3"/>
    <n v="4637.38"/>
    <n v="13912.14"/>
  </r>
  <r>
    <d v="2023-02-02T00:00:00"/>
    <x v="8"/>
    <x v="2"/>
    <x v="2"/>
    <x v="1"/>
    <x v="1"/>
    <s v="Ruler"/>
    <n v="5"/>
    <n v="3770.1"/>
    <n v="18850.5"/>
  </r>
  <r>
    <s v="11/30/2023"/>
    <x v="4"/>
    <x v="12"/>
    <x v="2"/>
    <x v="1"/>
    <x v="3"/>
    <s v="Rice"/>
    <n v="20"/>
    <n v="285.95999999999998"/>
    <n v="5719.2"/>
  </r>
  <r>
    <d v="2023-08-04T00:00:00"/>
    <x v="5"/>
    <x v="11"/>
    <x v="4"/>
    <x v="2"/>
    <x v="0"/>
    <s v="Chair"/>
    <n v="6"/>
    <n v="1912.36"/>
    <n v="11474.16"/>
  </r>
  <r>
    <s v="6/22/2023"/>
    <x v="1"/>
    <x v="14"/>
    <x v="3"/>
    <x v="0"/>
    <x v="2"/>
    <s v="Dress"/>
    <n v="19"/>
    <n v="3648.27"/>
    <n v="69317.13"/>
  </r>
  <r>
    <d v="2023-04-06T00:00:00"/>
    <x v="2"/>
    <x v="2"/>
    <x v="2"/>
    <x v="1"/>
    <x v="0"/>
    <s v="Sofa"/>
    <n v="20"/>
    <n v="473.23"/>
    <n v="9464.6"/>
  </r>
  <r>
    <s v="11/24/2023"/>
    <x v="0"/>
    <x v="3"/>
    <x v="1"/>
    <x v="1"/>
    <x v="4"/>
    <s v="Headphones"/>
    <n v="16"/>
    <n v="1870.47"/>
    <n v="29927.52"/>
  </r>
  <r>
    <s v="3/30/2023"/>
    <x v="6"/>
    <x v="13"/>
    <x v="4"/>
    <x v="2"/>
    <x v="3"/>
    <s v="Sugar"/>
    <n v="18"/>
    <n v="835.8"/>
    <n v="15044.4"/>
  </r>
  <r>
    <d v="2023-03-07T00:00:00"/>
    <x v="9"/>
    <x v="0"/>
    <x v="0"/>
    <x v="0"/>
    <x v="1"/>
    <s v="Pen"/>
    <n v="18"/>
    <n v="4850.91"/>
    <n v="87316.38"/>
  </r>
  <r>
    <s v="4/21/2023"/>
    <x v="2"/>
    <x v="9"/>
    <x v="0"/>
    <x v="0"/>
    <x v="0"/>
    <s v="Table"/>
    <n v="10"/>
    <n v="2200.91"/>
    <n v="22009.1"/>
  </r>
  <r>
    <d v="2023-10-12T00:00:00"/>
    <x v="8"/>
    <x v="6"/>
    <x v="2"/>
    <x v="1"/>
    <x v="4"/>
    <s v="Headphones"/>
    <n v="9"/>
    <n v="1694.83"/>
    <n v="15253.47"/>
  </r>
  <r>
    <d v="2023-06-02T00:00:00"/>
    <x v="9"/>
    <x v="1"/>
    <x v="1"/>
    <x v="1"/>
    <x v="0"/>
    <s v="Sofa"/>
    <n v="10"/>
    <n v="1229.56"/>
    <n v="12295.6"/>
  </r>
  <r>
    <s v="1/26/2023"/>
    <x v="9"/>
    <x v="10"/>
    <x v="3"/>
    <x v="0"/>
    <x v="3"/>
    <s v="Lentils"/>
    <n v="14"/>
    <n v="705.15"/>
    <n v="9872.1"/>
  </r>
  <r>
    <s v="5/22/2023"/>
    <x v="7"/>
    <x v="11"/>
    <x v="4"/>
    <x v="2"/>
    <x v="2"/>
    <s v="Pants"/>
    <n v="19"/>
    <n v="3485.85"/>
    <n v="66231.149999999994"/>
  </r>
  <r>
    <s v="2/20/2023"/>
    <x v="1"/>
    <x v="8"/>
    <x v="4"/>
    <x v="2"/>
    <x v="4"/>
    <s v="Headphones"/>
    <n v="10"/>
    <n v="3633.26"/>
    <n v="36332.6"/>
  </r>
  <r>
    <d v="2023-10-09T00:00:00"/>
    <x v="7"/>
    <x v="0"/>
    <x v="0"/>
    <x v="0"/>
    <x v="3"/>
    <s v="Oil"/>
    <n v="14"/>
    <n v="1245.9000000000001"/>
    <n v="17442.599999999999"/>
  </r>
  <r>
    <s v="11/27/2023"/>
    <x v="3"/>
    <x v="8"/>
    <x v="4"/>
    <x v="2"/>
    <x v="0"/>
    <s v="Table"/>
    <n v="4"/>
    <n v="4553.5200000000004"/>
    <n v="18214.080000000002"/>
  </r>
  <r>
    <d v="2023-08-08T00:00:00"/>
    <x v="1"/>
    <x v="9"/>
    <x v="0"/>
    <x v="0"/>
    <x v="0"/>
    <s v="Bed"/>
    <n v="3"/>
    <n v="1417.18"/>
    <n v="4251.54"/>
  </r>
  <r>
    <s v="5/23/2023"/>
    <x v="5"/>
    <x v="0"/>
    <x v="0"/>
    <x v="0"/>
    <x v="4"/>
    <s v="Tablet"/>
    <n v="7"/>
    <n v="1249.3599999999999"/>
    <n v="8745.52"/>
  </r>
  <r>
    <s v="6/21/2023"/>
    <x v="4"/>
    <x v="1"/>
    <x v="1"/>
    <x v="1"/>
    <x v="2"/>
    <s v="Jacket"/>
    <n v="7"/>
    <n v="3911.96"/>
    <n v="27383.72"/>
  </r>
  <r>
    <s v="4/27/2023"/>
    <x v="3"/>
    <x v="6"/>
    <x v="2"/>
    <x v="1"/>
    <x v="2"/>
    <s v="Pants"/>
    <n v="4"/>
    <n v="3087.87"/>
    <n v="12351.48"/>
  </r>
  <r>
    <d v="2023-11-11T00:00:00"/>
    <x v="3"/>
    <x v="0"/>
    <x v="0"/>
    <x v="0"/>
    <x v="4"/>
    <s v="Tablet"/>
    <n v="16"/>
    <n v="628.15"/>
    <n v="10050.4"/>
  </r>
  <r>
    <s v="7/30/2023"/>
    <x v="5"/>
    <x v="2"/>
    <x v="2"/>
    <x v="1"/>
    <x v="3"/>
    <s v="Oil"/>
    <n v="15"/>
    <n v="3100.61"/>
    <n v="46509.15"/>
  </r>
  <r>
    <s v="5/18/2023"/>
    <x v="1"/>
    <x v="6"/>
    <x v="2"/>
    <x v="1"/>
    <x v="2"/>
    <s v="Pants"/>
    <n v="10"/>
    <n v="4017.66"/>
    <n v="40176.6"/>
  </r>
  <r>
    <s v="8/14/2023"/>
    <x v="1"/>
    <x v="12"/>
    <x v="2"/>
    <x v="1"/>
    <x v="0"/>
    <s v="Bed"/>
    <n v="3"/>
    <n v="3389.2"/>
    <n v="10167.6"/>
  </r>
  <r>
    <s v="5/26/2023"/>
    <x v="2"/>
    <x v="0"/>
    <x v="0"/>
    <x v="0"/>
    <x v="3"/>
    <s v="Lentils"/>
    <n v="20"/>
    <n v="2441.83"/>
    <n v="48836.6"/>
  </r>
  <r>
    <d v="2023-09-12T00:00:00"/>
    <x v="1"/>
    <x v="13"/>
    <x v="4"/>
    <x v="2"/>
    <x v="0"/>
    <s v="Sofa"/>
    <n v="17"/>
    <n v="2655.98"/>
    <n v="45151.66"/>
  </r>
  <r>
    <d v="2023-03-01T00:00:00"/>
    <x v="1"/>
    <x v="6"/>
    <x v="2"/>
    <x v="1"/>
    <x v="4"/>
    <s v="Tablet"/>
    <n v="3"/>
    <n v="4908.74"/>
    <n v="14726.22"/>
  </r>
  <r>
    <s v="9/23/2023"/>
    <x v="7"/>
    <x v="11"/>
    <x v="4"/>
    <x v="2"/>
    <x v="4"/>
    <s v="Tablet"/>
    <n v="13"/>
    <n v="4121.8"/>
    <n v="53583.4"/>
  </r>
  <r>
    <d v="2023-06-03T00:00:00"/>
    <x v="9"/>
    <x v="0"/>
    <x v="0"/>
    <x v="0"/>
    <x v="4"/>
    <s v="Tablet"/>
    <n v="7"/>
    <n v="2083.7800000000002"/>
    <n v="14586.46"/>
  </r>
  <r>
    <d v="2023-10-02T00:00:00"/>
    <x v="5"/>
    <x v="9"/>
    <x v="0"/>
    <x v="0"/>
    <x v="2"/>
    <s v="Jacket"/>
    <n v="4"/>
    <n v="697.88"/>
    <n v="2791.52"/>
  </r>
  <r>
    <d v="2023-01-04T00:00:00"/>
    <x v="9"/>
    <x v="8"/>
    <x v="4"/>
    <x v="2"/>
    <x v="4"/>
    <s v="Smartphone"/>
    <n v="3"/>
    <n v="3754.7"/>
    <n v="11264.1"/>
  </r>
  <r>
    <s v="10/13/2023"/>
    <x v="2"/>
    <x v="1"/>
    <x v="1"/>
    <x v="1"/>
    <x v="0"/>
    <s v="Chair"/>
    <n v="20"/>
    <n v="2449.44"/>
    <n v="48988.800000000003"/>
  </r>
  <r>
    <d v="2023-02-07T00:00:00"/>
    <x v="3"/>
    <x v="5"/>
    <x v="1"/>
    <x v="1"/>
    <x v="4"/>
    <s v="Laptop"/>
    <n v="6"/>
    <n v="2862.86"/>
    <n v="17177.16"/>
  </r>
  <r>
    <s v="6/15/2023"/>
    <x v="6"/>
    <x v="5"/>
    <x v="1"/>
    <x v="1"/>
    <x v="1"/>
    <s v="Ruler"/>
    <n v="4"/>
    <n v="4795.3999999999996"/>
    <n v="19181.599999999999"/>
  </r>
  <r>
    <d v="2023-12-11T00:00:00"/>
    <x v="6"/>
    <x v="8"/>
    <x v="4"/>
    <x v="2"/>
    <x v="0"/>
    <s v="Sofa"/>
    <n v="3"/>
    <n v="672.84"/>
    <n v="2018.52"/>
  </r>
  <r>
    <d v="2023-06-09T00:00:00"/>
    <x v="9"/>
    <x v="12"/>
    <x v="2"/>
    <x v="1"/>
    <x v="0"/>
    <s v="Chair"/>
    <n v="5"/>
    <n v="4423.53"/>
    <n v="22117.65"/>
  </r>
  <r>
    <d v="2023-03-05T00:00:00"/>
    <x v="6"/>
    <x v="5"/>
    <x v="1"/>
    <x v="1"/>
    <x v="0"/>
    <s v="Chair"/>
    <n v="13"/>
    <n v="1330.85"/>
    <n v="17301.05"/>
  </r>
  <r>
    <s v="8/30/2023"/>
    <x v="9"/>
    <x v="0"/>
    <x v="0"/>
    <x v="0"/>
    <x v="1"/>
    <s v="Pen"/>
    <n v="2"/>
    <n v="1785.76"/>
    <n v="3571.52"/>
  </r>
  <r>
    <s v="1/22/2023"/>
    <x v="2"/>
    <x v="8"/>
    <x v="4"/>
    <x v="2"/>
    <x v="0"/>
    <s v="Sofa"/>
    <n v="10"/>
    <n v="505.39"/>
    <n v="5053.8999999999996"/>
  </r>
  <r>
    <s v="11/25/2023"/>
    <x v="4"/>
    <x v="2"/>
    <x v="2"/>
    <x v="1"/>
    <x v="4"/>
    <s v="Smartphone"/>
    <n v="1"/>
    <n v="4966.8599999999997"/>
    <n v="4966.8599999999997"/>
  </r>
  <r>
    <s v="9/13/2023"/>
    <x v="2"/>
    <x v="14"/>
    <x v="3"/>
    <x v="0"/>
    <x v="0"/>
    <s v="Bed"/>
    <n v="5"/>
    <n v="4988.76"/>
    <n v="24943.8"/>
  </r>
  <r>
    <s v="5/21/2023"/>
    <x v="5"/>
    <x v="6"/>
    <x v="2"/>
    <x v="1"/>
    <x v="4"/>
    <s v="Smartphone"/>
    <n v="18"/>
    <n v="1745.63"/>
    <n v="31421.34"/>
  </r>
  <r>
    <s v="12/14/2023"/>
    <x v="2"/>
    <x v="4"/>
    <x v="0"/>
    <x v="0"/>
    <x v="2"/>
    <s v="Jacket"/>
    <n v="2"/>
    <n v="3024.56"/>
    <n v="6049.12"/>
  </r>
  <r>
    <d v="2023-06-06T00:00:00"/>
    <x v="7"/>
    <x v="1"/>
    <x v="1"/>
    <x v="1"/>
    <x v="1"/>
    <s v="Eraser"/>
    <n v="15"/>
    <n v="4599.74"/>
    <n v="68996.100000000006"/>
  </r>
  <r>
    <s v="12/26/2023"/>
    <x v="2"/>
    <x v="8"/>
    <x v="4"/>
    <x v="2"/>
    <x v="3"/>
    <s v="Oil"/>
    <n v="18"/>
    <n v="330.49"/>
    <n v="5948.82"/>
  </r>
  <r>
    <s v="12/24/2023"/>
    <x v="3"/>
    <x v="12"/>
    <x v="2"/>
    <x v="1"/>
    <x v="2"/>
    <s v="Dress"/>
    <n v="8"/>
    <n v="4775.74"/>
    <n v="38205.919999999998"/>
  </r>
  <r>
    <s v="10/26/2023"/>
    <x v="9"/>
    <x v="14"/>
    <x v="3"/>
    <x v="0"/>
    <x v="1"/>
    <s v="Eraser"/>
    <n v="16"/>
    <n v="2329.86"/>
    <n v="37277.760000000002"/>
  </r>
  <r>
    <s v="6/21/2023"/>
    <x v="1"/>
    <x v="7"/>
    <x v="3"/>
    <x v="0"/>
    <x v="4"/>
    <s v="Headphones"/>
    <n v="16"/>
    <n v="1426.64"/>
    <n v="22826.240000000002"/>
  </r>
  <r>
    <s v="5/24/2023"/>
    <x v="4"/>
    <x v="14"/>
    <x v="3"/>
    <x v="0"/>
    <x v="2"/>
    <s v="Shirt"/>
    <n v="8"/>
    <n v="2663.16"/>
    <n v="21305.279999999999"/>
  </r>
  <r>
    <d v="2023-11-03T00:00:00"/>
    <x v="8"/>
    <x v="7"/>
    <x v="3"/>
    <x v="0"/>
    <x v="2"/>
    <s v="Dress"/>
    <n v="20"/>
    <n v="1690.56"/>
    <n v="33811.199999999997"/>
  </r>
  <r>
    <s v="1/21/2023"/>
    <x v="8"/>
    <x v="9"/>
    <x v="0"/>
    <x v="0"/>
    <x v="2"/>
    <s v="Dress"/>
    <n v="1"/>
    <n v="776.08"/>
    <n v="776.08"/>
  </r>
  <r>
    <d v="2023-02-04T00:00:00"/>
    <x v="1"/>
    <x v="2"/>
    <x v="2"/>
    <x v="1"/>
    <x v="3"/>
    <s v="Sugar"/>
    <n v="3"/>
    <n v="1435.01"/>
    <n v="4305.03"/>
  </r>
  <r>
    <d v="2023-07-09T00:00:00"/>
    <x v="3"/>
    <x v="10"/>
    <x v="3"/>
    <x v="0"/>
    <x v="1"/>
    <s v="Pen"/>
    <n v="16"/>
    <n v="1473.98"/>
    <n v="23583.68"/>
  </r>
  <r>
    <d v="2023-05-11T00:00:00"/>
    <x v="8"/>
    <x v="13"/>
    <x v="4"/>
    <x v="2"/>
    <x v="0"/>
    <s v="Bed"/>
    <n v="6"/>
    <n v="1822.86"/>
    <n v="10937.16"/>
  </r>
  <r>
    <d v="2023-06-02T00:00:00"/>
    <x v="8"/>
    <x v="3"/>
    <x v="1"/>
    <x v="1"/>
    <x v="2"/>
    <s v="Pants"/>
    <n v="13"/>
    <n v="739.6"/>
    <n v="9614.7999999999993"/>
  </r>
  <r>
    <d v="2023-09-03T00:00:00"/>
    <x v="5"/>
    <x v="7"/>
    <x v="3"/>
    <x v="0"/>
    <x v="3"/>
    <s v="Oil"/>
    <n v="11"/>
    <n v="4209.66"/>
    <n v="46306.26"/>
  </r>
  <r>
    <d v="2023-01-03T00:00:00"/>
    <x v="1"/>
    <x v="12"/>
    <x v="2"/>
    <x v="1"/>
    <x v="4"/>
    <s v="Laptop"/>
    <n v="8"/>
    <n v="4105.17"/>
    <n v="32841.360000000001"/>
  </r>
  <r>
    <s v="5/26/2023"/>
    <x v="5"/>
    <x v="8"/>
    <x v="4"/>
    <x v="2"/>
    <x v="0"/>
    <s v="Table"/>
    <n v="2"/>
    <n v="4100.3999999999996"/>
    <n v="8200.7999999999993"/>
  </r>
  <r>
    <s v="10/22/2023"/>
    <x v="1"/>
    <x v="1"/>
    <x v="1"/>
    <x v="1"/>
    <x v="3"/>
    <s v="Lentils"/>
    <n v="20"/>
    <n v="2295.08"/>
    <n v="45901.599999999999"/>
  </r>
  <r>
    <d v="2023-11-11T00:00:00"/>
    <x v="8"/>
    <x v="4"/>
    <x v="0"/>
    <x v="0"/>
    <x v="3"/>
    <s v="Rice"/>
    <n v="20"/>
    <n v="4970.33"/>
    <n v="99406.6"/>
  </r>
  <r>
    <d v="2023-12-12T00:00:00"/>
    <x v="5"/>
    <x v="14"/>
    <x v="3"/>
    <x v="0"/>
    <x v="0"/>
    <s v="Bed"/>
    <n v="12"/>
    <n v="3939.5"/>
    <n v="47274"/>
  </r>
  <r>
    <s v="10/25/2023"/>
    <x v="6"/>
    <x v="6"/>
    <x v="2"/>
    <x v="1"/>
    <x v="4"/>
    <s v="Smartphone"/>
    <n v="15"/>
    <n v="1450.75"/>
    <n v="21761.25"/>
  </r>
  <r>
    <d v="2023-05-11T00:00:00"/>
    <x v="6"/>
    <x v="3"/>
    <x v="1"/>
    <x v="1"/>
    <x v="0"/>
    <s v="Table"/>
    <n v="8"/>
    <n v="3279.33"/>
    <n v="26234.639999999999"/>
  </r>
  <r>
    <s v="1/27/2023"/>
    <x v="8"/>
    <x v="9"/>
    <x v="0"/>
    <x v="0"/>
    <x v="2"/>
    <s v="Shirt"/>
    <n v="7"/>
    <n v="579.91999999999996"/>
    <n v="4059.44"/>
  </r>
  <r>
    <d v="2023-05-02T00:00:00"/>
    <x v="6"/>
    <x v="3"/>
    <x v="1"/>
    <x v="1"/>
    <x v="4"/>
    <s v="Headphones"/>
    <n v="10"/>
    <n v="2515.54"/>
    <n v="25155.4"/>
  </r>
  <r>
    <s v="3/20/2023"/>
    <x v="3"/>
    <x v="9"/>
    <x v="0"/>
    <x v="0"/>
    <x v="3"/>
    <s v="Rice"/>
    <n v="10"/>
    <n v="2976.69"/>
    <n v="29766.9"/>
  </r>
  <r>
    <s v="4/28/2023"/>
    <x v="3"/>
    <x v="1"/>
    <x v="1"/>
    <x v="1"/>
    <x v="3"/>
    <s v="Oil"/>
    <n v="16"/>
    <n v="4047.21"/>
    <n v="64755.360000000001"/>
  </r>
  <r>
    <d v="2023-10-04T00:00:00"/>
    <x v="4"/>
    <x v="10"/>
    <x v="3"/>
    <x v="0"/>
    <x v="3"/>
    <s v="Sugar"/>
    <n v="18"/>
    <n v="2825.07"/>
    <n v="50851.26"/>
  </r>
  <r>
    <s v="5/21/2023"/>
    <x v="5"/>
    <x v="5"/>
    <x v="1"/>
    <x v="1"/>
    <x v="2"/>
    <s v="Jacket"/>
    <n v="13"/>
    <n v="1406.82"/>
    <n v="18288.66"/>
  </r>
  <r>
    <s v="4/22/2023"/>
    <x v="9"/>
    <x v="0"/>
    <x v="0"/>
    <x v="0"/>
    <x v="1"/>
    <s v="Notebook"/>
    <n v="16"/>
    <n v="1090.18"/>
    <n v="17442.88"/>
  </r>
  <r>
    <d v="2023-03-02T00:00:00"/>
    <x v="7"/>
    <x v="13"/>
    <x v="4"/>
    <x v="2"/>
    <x v="4"/>
    <s v="Smartphone"/>
    <n v="12"/>
    <n v="3696.43"/>
    <n v="44357.16"/>
  </r>
  <r>
    <d v="2023-09-11T00:00:00"/>
    <x v="3"/>
    <x v="12"/>
    <x v="2"/>
    <x v="1"/>
    <x v="4"/>
    <s v="Smartphone"/>
    <n v="7"/>
    <n v="4535.1400000000003"/>
    <n v="31745.98"/>
  </r>
  <r>
    <d v="2023-02-11T00:00:00"/>
    <x v="4"/>
    <x v="1"/>
    <x v="1"/>
    <x v="1"/>
    <x v="3"/>
    <s v="Oil"/>
    <n v="3"/>
    <n v="4931.6899999999996"/>
    <n v="14795.07"/>
  </r>
  <r>
    <s v="4/21/2023"/>
    <x v="9"/>
    <x v="11"/>
    <x v="4"/>
    <x v="2"/>
    <x v="3"/>
    <s v="Lentils"/>
    <n v="16"/>
    <n v="3263.65"/>
    <n v="52218.400000000001"/>
  </r>
  <r>
    <s v="4/30/2023"/>
    <x v="2"/>
    <x v="4"/>
    <x v="0"/>
    <x v="0"/>
    <x v="1"/>
    <s v="Pen"/>
    <n v="17"/>
    <n v="4083.07"/>
    <n v="69412.19"/>
  </r>
  <r>
    <s v="2/18/2023"/>
    <x v="6"/>
    <x v="9"/>
    <x v="0"/>
    <x v="0"/>
    <x v="1"/>
    <s v="Ruler"/>
    <n v="12"/>
    <n v="528.69000000000005"/>
    <n v="6344.28"/>
  </r>
  <r>
    <d v="2023-04-08T00:00:00"/>
    <x v="8"/>
    <x v="3"/>
    <x v="1"/>
    <x v="1"/>
    <x v="4"/>
    <s v="Tablet"/>
    <n v="8"/>
    <n v="528.92999999999995"/>
    <n v="4231.4399999999996"/>
  </r>
  <r>
    <d v="2023-12-08T00:00:00"/>
    <x v="0"/>
    <x v="4"/>
    <x v="0"/>
    <x v="0"/>
    <x v="3"/>
    <s v="Lentils"/>
    <n v="11"/>
    <n v="1749.31"/>
    <n v="19242.41"/>
  </r>
  <r>
    <d v="2023-02-12T00:00:00"/>
    <x v="0"/>
    <x v="0"/>
    <x v="0"/>
    <x v="0"/>
    <x v="1"/>
    <s v="Ruler"/>
    <n v="11"/>
    <n v="2635.95"/>
    <n v="28995.45"/>
  </r>
  <r>
    <s v="12/15/2023"/>
    <x v="5"/>
    <x v="0"/>
    <x v="0"/>
    <x v="0"/>
    <x v="3"/>
    <s v="Lentils"/>
    <n v="6"/>
    <n v="2850.31"/>
    <n v="17101.86"/>
  </r>
  <r>
    <s v="4/13/2023"/>
    <x v="9"/>
    <x v="2"/>
    <x v="2"/>
    <x v="1"/>
    <x v="4"/>
    <s v="Laptop"/>
    <n v="5"/>
    <n v="1413.03"/>
    <n v="7065.15"/>
  </r>
  <r>
    <s v="12/31/2023"/>
    <x v="4"/>
    <x v="9"/>
    <x v="0"/>
    <x v="0"/>
    <x v="4"/>
    <s v="Smartphone"/>
    <n v="14"/>
    <n v="4541.87"/>
    <n v="63586.18"/>
  </r>
  <r>
    <s v="5/30/2023"/>
    <x v="4"/>
    <x v="8"/>
    <x v="4"/>
    <x v="2"/>
    <x v="2"/>
    <s v="Shirt"/>
    <n v="5"/>
    <n v="3395.71"/>
    <n v="16978.55"/>
  </r>
  <r>
    <d v="2023-07-11T00:00:00"/>
    <x v="3"/>
    <x v="7"/>
    <x v="3"/>
    <x v="0"/>
    <x v="1"/>
    <s v="Pen"/>
    <n v="2"/>
    <n v="4050.46"/>
    <n v="8100.92"/>
  </r>
  <r>
    <d v="2023-03-08T00:00:00"/>
    <x v="7"/>
    <x v="14"/>
    <x v="3"/>
    <x v="0"/>
    <x v="2"/>
    <s v="Dress"/>
    <n v="6"/>
    <n v="3617.81"/>
    <n v="21706.86"/>
  </r>
  <r>
    <s v="8/20/2023"/>
    <x v="3"/>
    <x v="1"/>
    <x v="1"/>
    <x v="1"/>
    <x v="3"/>
    <s v="Rice"/>
    <n v="11"/>
    <n v="1527.71"/>
    <n v="16804.810000000001"/>
  </r>
  <r>
    <d v="2023-06-02T00:00:00"/>
    <x v="7"/>
    <x v="13"/>
    <x v="4"/>
    <x v="2"/>
    <x v="4"/>
    <s v="Tablet"/>
    <n v="7"/>
    <n v="1420.32"/>
    <n v="9942.24"/>
  </r>
  <r>
    <s v="1/26/2023"/>
    <x v="4"/>
    <x v="3"/>
    <x v="1"/>
    <x v="1"/>
    <x v="4"/>
    <s v="Headphones"/>
    <n v="17"/>
    <n v="1336.86"/>
    <n v="22726.62"/>
  </r>
  <r>
    <d v="2023-10-01T00:00:00"/>
    <x v="0"/>
    <x v="14"/>
    <x v="3"/>
    <x v="0"/>
    <x v="2"/>
    <s v="Dress"/>
    <n v="15"/>
    <n v="359.4"/>
    <n v="5391"/>
  </r>
  <r>
    <s v="9/23/2023"/>
    <x v="8"/>
    <x v="13"/>
    <x v="4"/>
    <x v="2"/>
    <x v="0"/>
    <s v="Chair"/>
    <n v="6"/>
    <n v="4109.0200000000004"/>
    <n v="24654.12"/>
  </r>
  <r>
    <d v="2023-08-02T00:00:00"/>
    <x v="2"/>
    <x v="2"/>
    <x v="2"/>
    <x v="1"/>
    <x v="0"/>
    <s v="Table"/>
    <n v="12"/>
    <n v="3700.23"/>
    <n v="44402.76"/>
  </r>
  <r>
    <s v="3/30/2023"/>
    <x v="3"/>
    <x v="3"/>
    <x v="1"/>
    <x v="1"/>
    <x v="0"/>
    <s v="Chair"/>
    <n v="5"/>
    <n v="221.41"/>
    <n v="1107.05"/>
  </r>
  <r>
    <s v="5/29/2023"/>
    <x v="8"/>
    <x v="12"/>
    <x v="2"/>
    <x v="1"/>
    <x v="2"/>
    <s v="Dress"/>
    <n v="12"/>
    <n v="4446.1499999999996"/>
    <n v="53353.8"/>
  </r>
  <r>
    <d v="2023-08-07T00:00:00"/>
    <x v="4"/>
    <x v="12"/>
    <x v="2"/>
    <x v="1"/>
    <x v="3"/>
    <s v="Lentils"/>
    <n v="12"/>
    <n v="2393.9699999999998"/>
    <n v="28727.64"/>
  </r>
  <r>
    <d v="2023-12-06T00:00:00"/>
    <x v="5"/>
    <x v="8"/>
    <x v="4"/>
    <x v="2"/>
    <x v="3"/>
    <s v="Sugar"/>
    <n v="7"/>
    <n v="256.57"/>
    <n v="1795.99"/>
  </r>
  <r>
    <s v="5/25/2023"/>
    <x v="8"/>
    <x v="5"/>
    <x v="1"/>
    <x v="1"/>
    <x v="2"/>
    <s v="Jacket"/>
    <n v="9"/>
    <n v="4218.3599999999997"/>
    <n v="37965.24"/>
  </r>
  <r>
    <s v="7/14/2023"/>
    <x v="4"/>
    <x v="8"/>
    <x v="4"/>
    <x v="2"/>
    <x v="2"/>
    <s v="Pants"/>
    <n v="8"/>
    <n v="4930.67"/>
    <n v="39445.360000000001"/>
  </r>
  <r>
    <s v="9/17/2023"/>
    <x v="1"/>
    <x v="3"/>
    <x v="1"/>
    <x v="1"/>
    <x v="2"/>
    <s v="Pants"/>
    <n v="2"/>
    <n v="1264.68"/>
    <n v="2529.36"/>
  </r>
  <r>
    <d v="2023-07-06T00:00:00"/>
    <x v="0"/>
    <x v="9"/>
    <x v="0"/>
    <x v="0"/>
    <x v="1"/>
    <s v="Eraser"/>
    <n v="16"/>
    <n v="2192.7399999999998"/>
    <n v="35083.839999999997"/>
  </r>
  <r>
    <s v="11/28/2023"/>
    <x v="1"/>
    <x v="9"/>
    <x v="0"/>
    <x v="0"/>
    <x v="3"/>
    <s v="Rice"/>
    <n v="14"/>
    <n v="3943.42"/>
    <n v="55207.88"/>
  </r>
  <r>
    <d v="2023-03-09T00:00:00"/>
    <x v="7"/>
    <x v="10"/>
    <x v="3"/>
    <x v="0"/>
    <x v="3"/>
    <s v="Oil"/>
    <n v="11"/>
    <n v="2951.18"/>
    <n v="32462.98"/>
  </r>
  <r>
    <s v="10/17/2023"/>
    <x v="6"/>
    <x v="3"/>
    <x v="1"/>
    <x v="1"/>
    <x v="3"/>
    <s v="Sugar"/>
    <n v="11"/>
    <n v="4325.83"/>
    <n v="47584.13"/>
  </r>
  <r>
    <s v="4/17/2023"/>
    <x v="6"/>
    <x v="10"/>
    <x v="3"/>
    <x v="0"/>
    <x v="4"/>
    <s v="Tablet"/>
    <n v="2"/>
    <n v="1417.87"/>
    <n v="2835.74"/>
  </r>
  <r>
    <s v="10/20/2023"/>
    <x v="6"/>
    <x v="4"/>
    <x v="0"/>
    <x v="0"/>
    <x v="1"/>
    <s v="Ruler"/>
    <n v="13"/>
    <n v="2511.64"/>
    <n v="32651.32"/>
  </r>
  <r>
    <d v="2023-01-05T00:00:00"/>
    <x v="7"/>
    <x v="4"/>
    <x v="0"/>
    <x v="0"/>
    <x v="0"/>
    <s v="Table"/>
    <n v="7"/>
    <n v="862.76"/>
    <n v="6039.32"/>
  </r>
  <r>
    <d v="2023-01-10T00:00:00"/>
    <x v="1"/>
    <x v="6"/>
    <x v="2"/>
    <x v="1"/>
    <x v="2"/>
    <s v="Jacket"/>
    <n v="18"/>
    <n v="1412.15"/>
    <n v="25418.7"/>
  </r>
  <r>
    <d v="2023-12-01T00:00:00"/>
    <x v="7"/>
    <x v="14"/>
    <x v="3"/>
    <x v="0"/>
    <x v="1"/>
    <s v="Ruler"/>
    <n v="6"/>
    <n v="3295.29"/>
    <n v="19771.740000000002"/>
  </r>
  <r>
    <s v="7/13/2023"/>
    <x v="9"/>
    <x v="1"/>
    <x v="1"/>
    <x v="1"/>
    <x v="1"/>
    <s v="Pen"/>
    <n v="18"/>
    <n v="4132.6899999999996"/>
    <n v="74388.42"/>
  </r>
  <r>
    <d v="2023-09-10T00:00:00"/>
    <x v="2"/>
    <x v="3"/>
    <x v="1"/>
    <x v="1"/>
    <x v="4"/>
    <s v="Smartphone"/>
    <n v="7"/>
    <n v="1557.83"/>
    <n v="10904.81"/>
  </r>
  <r>
    <s v="12/20/2023"/>
    <x v="8"/>
    <x v="8"/>
    <x v="4"/>
    <x v="2"/>
    <x v="1"/>
    <s v="Eraser"/>
    <n v="7"/>
    <n v="4673.3100000000004"/>
    <n v="32713.17"/>
  </r>
  <r>
    <s v="3/17/2023"/>
    <x v="2"/>
    <x v="4"/>
    <x v="0"/>
    <x v="0"/>
    <x v="3"/>
    <s v="Oil"/>
    <n v="5"/>
    <n v="3775.72"/>
    <n v="18878.599999999999"/>
  </r>
  <r>
    <s v="10/29/2023"/>
    <x v="7"/>
    <x v="4"/>
    <x v="0"/>
    <x v="0"/>
    <x v="0"/>
    <s v="Bed"/>
    <n v="6"/>
    <n v="3524.48"/>
    <n v="21146.880000000001"/>
  </r>
  <r>
    <s v="11/13/2023"/>
    <x v="3"/>
    <x v="10"/>
    <x v="3"/>
    <x v="0"/>
    <x v="4"/>
    <s v="Laptop"/>
    <n v="1"/>
    <n v="2961.1"/>
    <n v="2961.1"/>
  </r>
  <r>
    <d v="2023-01-04T00:00:00"/>
    <x v="2"/>
    <x v="2"/>
    <x v="2"/>
    <x v="1"/>
    <x v="1"/>
    <s v="Notebook"/>
    <n v="13"/>
    <n v="513.05999999999995"/>
    <n v="6669.78"/>
  </r>
  <r>
    <s v="5/18/2023"/>
    <x v="2"/>
    <x v="2"/>
    <x v="2"/>
    <x v="1"/>
    <x v="0"/>
    <s v="Sofa"/>
    <n v="3"/>
    <n v="953.26"/>
    <n v="2859.78"/>
  </r>
  <r>
    <s v="2/14/2023"/>
    <x v="0"/>
    <x v="11"/>
    <x v="4"/>
    <x v="2"/>
    <x v="1"/>
    <s v="Eraser"/>
    <n v="2"/>
    <n v="1189.6500000000001"/>
    <n v="2379.3000000000002"/>
  </r>
  <r>
    <d v="2023-01-07T00:00:00"/>
    <x v="8"/>
    <x v="2"/>
    <x v="2"/>
    <x v="1"/>
    <x v="1"/>
    <s v="Eraser"/>
    <n v="1"/>
    <n v="1915.3"/>
    <n v="1915.3"/>
  </r>
  <r>
    <d v="2023-09-09T00:00:00"/>
    <x v="7"/>
    <x v="5"/>
    <x v="1"/>
    <x v="1"/>
    <x v="1"/>
    <s v="Pen"/>
    <n v="8"/>
    <n v="3927.74"/>
    <n v="31421.919999999998"/>
  </r>
  <r>
    <s v="4/30/2023"/>
    <x v="9"/>
    <x v="13"/>
    <x v="4"/>
    <x v="2"/>
    <x v="2"/>
    <s v="Jacket"/>
    <n v="10"/>
    <n v="2682.33"/>
    <n v="26823.3"/>
  </r>
  <r>
    <d v="2023-03-10T00:00:00"/>
    <x v="8"/>
    <x v="3"/>
    <x v="1"/>
    <x v="1"/>
    <x v="4"/>
    <s v="Smartphone"/>
    <n v="6"/>
    <n v="4086.27"/>
    <n v="24517.62"/>
  </r>
  <r>
    <s v="3/18/2023"/>
    <x v="8"/>
    <x v="3"/>
    <x v="1"/>
    <x v="1"/>
    <x v="4"/>
    <s v="Headphones"/>
    <n v="8"/>
    <n v="827.02"/>
    <n v="6616.16"/>
  </r>
  <r>
    <d v="2023-05-05T00:00:00"/>
    <x v="9"/>
    <x v="11"/>
    <x v="4"/>
    <x v="2"/>
    <x v="3"/>
    <s v="Rice"/>
    <n v="14"/>
    <n v="4728.4399999999996"/>
    <n v="66198.16"/>
  </r>
  <r>
    <s v="2/22/2023"/>
    <x v="3"/>
    <x v="7"/>
    <x v="3"/>
    <x v="0"/>
    <x v="0"/>
    <s v="Bed"/>
    <n v="11"/>
    <n v="575.73"/>
    <n v="6333.03"/>
  </r>
  <r>
    <s v="6/16/2023"/>
    <x v="2"/>
    <x v="9"/>
    <x v="0"/>
    <x v="0"/>
    <x v="0"/>
    <s v="Bed"/>
    <n v="4"/>
    <n v="578.35"/>
    <n v="2313.4"/>
  </r>
  <r>
    <s v="8/22/2023"/>
    <x v="7"/>
    <x v="3"/>
    <x v="1"/>
    <x v="1"/>
    <x v="1"/>
    <s v="Ruler"/>
    <n v="8"/>
    <n v="3043.72"/>
    <n v="24349.759999999998"/>
  </r>
  <r>
    <s v="5/25/2023"/>
    <x v="4"/>
    <x v="6"/>
    <x v="2"/>
    <x v="1"/>
    <x v="0"/>
    <s v="Table"/>
    <n v="10"/>
    <n v="3339.72"/>
    <n v="33397.199999999997"/>
  </r>
  <r>
    <d v="2023-12-09T00:00:00"/>
    <x v="0"/>
    <x v="11"/>
    <x v="4"/>
    <x v="2"/>
    <x v="0"/>
    <s v="Table"/>
    <n v="7"/>
    <n v="2286.4"/>
    <n v="16004.8"/>
  </r>
  <r>
    <s v="1/16/2023"/>
    <x v="8"/>
    <x v="5"/>
    <x v="1"/>
    <x v="1"/>
    <x v="1"/>
    <s v="Pen"/>
    <n v="6"/>
    <n v="4862.26"/>
    <n v="29173.56"/>
  </r>
  <r>
    <s v="11/27/2023"/>
    <x v="6"/>
    <x v="12"/>
    <x v="2"/>
    <x v="1"/>
    <x v="4"/>
    <s v="Laptop"/>
    <n v="6"/>
    <n v="3470.44"/>
    <n v="20822.64"/>
  </r>
  <r>
    <s v="6/29/2023"/>
    <x v="5"/>
    <x v="0"/>
    <x v="0"/>
    <x v="0"/>
    <x v="2"/>
    <s v="Pants"/>
    <n v="5"/>
    <n v="4175.13"/>
    <n v="20875.650000000001"/>
  </r>
  <r>
    <d v="2023-05-10T00:00:00"/>
    <x v="7"/>
    <x v="2"/>
    <x v="2"/>
    <x v="1"/>
    <x v="3"/>
    <s v="Rice"/>
    <n v="16"/>
    <n v="1880.67"/>
    <n v="30090.720000000001"/>
  </r>
  <r>
    <d v="2023-11-08T00:00:00"/>
    <x v="6"/>
    <x v="13"/>
    <x v="4"/>
    <x v="2"/>
    <x v="4"/>
    <s v="Smartphone"/>
    <n v="7"/>
    <n v="2187.71"/>
    <n v="15313.97"/>
  </r>
  <r>
    <s v="9/21/2023"/>
    <x v="2"/>
    <x v="12"/>
    <x v="2"/>
    <x v="1"/>
    <x v="2"/>
    <s v="Shirt"/>
    <n v="14"/>
    <n v="1024.22"/>
    <n v="14339.08"/>
  </r>
  <r>
    <s v="11/30/2023"/>
    <x v="8"/>
    <x v="3"/>
    <x v="1"/>
    <x v="1"/>
    <x v="2"/>
    <s v="Pants"/>
    <n v="17"/>
    <n v="544.41999999999996"/>
    <n v="9255.14"/>
  </r>
  <r>
    <s v="3/29/2023"/>
    <x v="4"/>
    <x v="4"/>
    <x v="0"/>
    <x v="0"/>
    <x v="1"/>
    <s v="Pen"/>
    <n v="4"/>
    <n v="942.96"/>
    <n v="3771.84"/>
  </r>
  <r>
    <d v="2023-10-12T00:00:00"/>
    <x v="8"/>
    <x v="5"/>
    <x v="1"/>
    <x v="1"/>
    <x v="0"/>
    <s v="Chair"/>
    <n v="12"/>
    <n v="1799.38"/>
    <n v="21592.560000000001"/>
  </r>
  <r>
    <s v="2/15/2023"/>
    <x v="3"/>
    <x v="5"/>
    <x v="1"/>
    <x v="1"/>
    <x v="2"/>
    <s v="Shirt"/>
    <n v="11"/>
    <n v="1634.39"/>
    <n v="17978.29"/>
  </r>
  <r>
    <d v="2023-08-10T00:00:00"/>
    <x v="9"/>
    <x v="4"/>
    <x v="0"/>
    <x v="0"/>
    <x v="0"/>
    <s v="Sofa"/>
    <n v="3"/>
    <n v="2950.28"/>
    <n v="8850.84"/>
  </r>
  <r>
    <s v="9/27/2023"/>
    <x v="3"/>
    <x v="9"/>
    <x v="0"/>
    <x v="0"/>
    <x v="3"/>
    <s v="Oil"/>
    <n v="10"/>
    <n v="4788"/>
    <n v="47880"/>
  </r>
  <r>
    <s v="3/29/2023"/>
    <x v="1"/>
    <x v="1"/>
    <x v="1"/>
    <x v="1"/>
    <x v="0"/>
    <s v="Bed"/>
    <n v="8"/>
    <n v="1807.67"/>
    <n v="14461.36"/>
  </r>
  <r>
    <d v="2023-02-10T00:00:00"/>
    <x v="5"/>
    <x v="2"/>
    <x v="2"/>
    <x v="1"/>
    <x v="3"/>
    <s v="Oil"/>
    <n v="19"/>
    <n v="797.02"/>
    <n v="15143.38"/>
  </r>
  <r>
    <s v="11/25/2023"/>
    <x v="1"/>
    <x v="1"/>
    <x v="1"/>
    <x v="1"/>
    <x v="4"/>
    <s v="Smartphone"/>
    <n v="2"/>
    <n v="1195.99"/>
    <n v="2391.98"/>
  </r>
  <r>
    <d v="2023-06-05T00:00:00"/>
    <x v="7"/>
    <x v="10"/>
    <x v="3"/>
    <x v="0"/>
    <x v="2"/>
    <s v="Jacket"/>
    <n v="20"/>
    <n v="2056.65"/>
    <n v="41133"/>
  </r>
  <r>
    <d v="2023-04-03T00:00:00"/>
    <x v="7"/>
    <x v="5"/>
    <x v="1"/>
    <x v="1"/>
    <x v="0"/>
    <s v="Chair"/>
    <n v="16"/>
    <n v="4817.63"/>
    <n v="77082.080000000002"/>
  </r>
  <r>
    <s v="6/13/2023"/>
    <x v="1"/>
    <x v="6"/>
    <x v="2"/>
    <x v="1"/>
    <x v="2"/>
    <s v="Shirt"/>
    <n v="7"/>
    <n v="4950.24"/>
    <n v="34651.68"/>
  </r>
  <r>
    <s v="8/25/2023"/>
    <x v="7"/>
    <x v="4"/>
    <x v="0"/>
    <x v="0"/>
    <x v="2"/>
    <s v="Shirt"/>
    <n v="9"/>
    <n v="2935.97"/>
    <n v="26423.73"/>
  </r>
  <r>
    <d v="2023-09-12T00:00:00"/>
    <x v="9"/>
    <x v="14"/>
    <x v="3"/>
    <x v="0"/>
    <x v="3"/>
    <s v="Lentils"/>
    <n v="9"/>
    <n v="3560.8"/>
    <n v="32047.200000000001"/>
  </r>
  <r>
    <d v="2023-08-03T00:00:00"/>
    <x v="9"/>
    <x v="10"/>
    <x v="3"/>
    <x v="0"/>
    <x v="1"/>
    <s v="Notebook"/>
    <n v="11"/>
    <n v="4890.92"/>
    <n v="53800.12"/>
  </r>
  <r>
    <s v="2/20/2023"/>
    <x v="4"/>
    <x v="6"/>
    <x v="2"/>
    <x v="1"/>
    <x v="2"/>
    <s v="Dress"/>
    <n v="8"/>
    <n v="4143.5600000000004"/>
    <n v="33148.480000000003"/>
  </r>
  <r>
    <s v="4/16/2023"/>
    <x v="8"/>
    <x v="5"/>
    <x v="1"/>
    <x v="1"/>
    <x v="3"/>
    <s v="Oil"/>
    <n v="4"/>
    <n v="2395.66"/>
    <n v="9582.64"/>
  </r>
  <r>
    <d v="2023-09-08T00:00:00"/>
    <x v="4"/>
    <x v="14"/>
    <x v="3"/>
    <x v="0"/>
    <x v="2"/>
    <s v="Pants"/>
    <n v="18"/>
    <n v="1582.02"/>
    <n v="28476.36"/>
  </r>
  <r>
    <s v="8/26/2023"/>
    <x v="0"/>
    <x v="10"/>
    <x v="3"/>
    <x v="0"/>
    <x v="2"/>
    <s v="Shirt"/>
    <n v="14"/>
    <n v="3381.77"/>
    <n v="47344.78"/>
  </r>
  <r>
    <s v="4/20/2023"/>
    <x v="9"/>
    <x v="2"/>
    <x v="2"/>
    <x v="1"/>
    <x v="1"/>
    <s v="Eraser"/>
    <n v="16"/>
    <n v="2580.42"/>
    <n v="41286.720000000001"/>
  </r>
  <r>
    <s v="6/29/2023"/>
    <x v="6"/>
    <x v="14"/>
    <x v="3"/>
    <x v="0"/>
    <x v="2"/>
    <s v="Shirt"/>
    <n v="3"/>
    <n v="3838.25"/>
    <n v="11514.75"/>
  </r>
  <r>
    <s v="5/31/2023"/>
    <x v="6"/>
    <x v="5"/>
    <x v="1"/>
    <x v="1"/>
    <x v="3"/>
    <s v="Rice"/>
    <n v="2"/>
    <n v="591.6"/>
    <n v="1183.2"/>
  </r>
  <r>
    <s v="6/23/2023"/>
    <x v="2"/>
    <x v="13"/>
    <x v="4"/>
    <x v="2"/>
    <x v="2"/>
    <s v="Shirt"/>
    <n v="1"/>
    <n v="2709.05"/>
    <n v="2709.05"/>
  </r>
  <r>
    <d v="2023-09-08T00:00:00"/>
    <x v="3"/>
    <x v="2"/>
    <x v="2"/>
    <x v="1"/>
    <x v="4"/>
    <s v="Smartphone"/>
    <n v="5"/>
    <n v="194.7"/>
    <n v="973.5"/>
  </r>
  <r>
    <s v="10/26/2023"/>
    <x v="2"/>
    <x v="10"/>
    <x v="3"/>
    <x v="0"/>
    <x v="1"/>
    <s v="Eraser"/>
    <n v="4"/>
    <n v="900.33"/>
    <n v="3601.32"/>
  </r>
  <r>
    <s v="5/15/2023"/>
    <x v="4"/>
    <x v="3"/>
    <x v="1"/>
    <x v="1"/>
    <x v="3"/>
    <s v="Lentils"/>
    <n v="13"/>
    <n v="3574.45"/>
    <n v="46467.85"/>
  </r>
  <r>
    <s v="3/13/2023"/>
    <x v="1"/>
    <x v="8"/>
    <x v="4"/>
    <x v="2"/>
    <x v="4"/>
    <s v="Headphones"/>
    <n v="20"/>
    <n v="1637.44"/>
    <n v="32748.799999999999"/>
  </r>
  <r>
    <s v="5/14/2023"/>
    <x v="2"/>
    <x v="12"/>
    <x v="2"/>
    <x v="1"/>
    <x v="0"/>
    <s v="Sofa"/>
    <n v="14"/>
    <n v="3177.8"/>
    <n v="44489.2"/>
  </r>
  <r>
    <s v="5/24/2023"/>
    <x v="5"/>
    <x v="6"/>
    <x v="2"/>
    <x v="1"/>
    <x v="4"/>
    <s v="Laptop"/>
    <n v="1"/>
    <n v="3382.37"/>
    <n v="3382.37"/>
  </r>
  <r>
    <s v="4/27/2023"/>
    <x v="0"/>
    <x v="8"/>
    <x v="4"/>
    <x v="2"/>
    <x v="1"/>
    <s v="Notebook"/>
    <n v="19"/>
    <n v="2816.52"/>
    <n v="53513.88"/>
  </r>
  <r>
    <s v="11/28/2023"/>
    <x v="0"/>
    <x v="13"/>
    <x v="4"/>
    <x v="2"/>
    <x v="3"/>
    <s v="Sugar"/>
    <n v="13"/>
    <n v="3417.94"/>
    <n v="44433.22"/>
  </r>
  <r>
    <s v="12/23/2023"/>
    <x v="0"/>
    <x v="6"/>
    <x v="2"/>
    <x v="1"/>
    <x v="2"/>
    <s v="Jacket"/>
    <n v="14"/>
    <n v="917.55"/>
    <n v="12845.7"/>
  </r>
  <r>
    <d v="2023-12-03T00:00:00"/>
    <x v="6"/>
    <x v="0"/>
    <x v="0"/>
    <x v="0"/>
    <x v="4"/>
    <s v="Headphones"/>
    <n v="1"/>
    <n v="1598.87"/>
    <n v="1598.87"/>
  </r>
  <r>
    <d v="2023-01-10T00:00:00"/>
    <x v="6"/>
    <x v="8"/>
    <x v="4"/>
    <x v="2"/>
    <x v="0"/>
    <s v="Table"/>
    <n v="7"/>
    <n v="405.27"/>
    <n v="2836.89"/>
  </r>
  <r>
    <d v="2023-12-10T00:00:00"/>
    <x v="6"/>
    <x v="4"/>
    <x v="0"/>
    <x v="0"/>
    <x v="3"/>
    <s v="Rice"/>
    <n v="5"/>
    <n v="2819.92"/>
    <n v="14099.6"/>
  </r>
  <r>
    <s v="12/21/2023"/>
    <x v="2"/>
    <x v="6"/>
    <x v="2"/>
    <x v="1"/>
    <x v="4"/>
    <s v="Headphones"/>
    <n v="7"/>
    <n v="4023.6"/>
    <n v="28165.200000000001"/>
  </r>
  <r>
    <s v="9/21/2023"/>
    <x v="3"/>
    <x v="5"/>
    <x v="1"/>
    <x v="1"/>
    <x v="3"/>
    <s v="Rice"/>
    <n v="6"/>
    <n v="4911.79"/>
    <n v="29470.74"/>
  </r>
  <r>
    <d v="2023-10-11T00:00:00"/>
    <x v="5"/>
    <x v="12"/>
    <x v="2"/>
    <x v="1"/>
    <x v="0"/>
    <s v="Bed"/>
    <n v="7"/>
    <n v="2186.75"/>
    <n v="15307.25"/>
  </r>
  <r>
    <s v="10/29/2023"/>
    <x v="9"/>
    <x v="8"/>
    <x v="4"/>
    <x v="2"/>
    <x v="1"/>
    <s v="Ruler"/>
    <n v="9"/>
    <n v="2304.23"/>
    <n v="20738.07"/>
  </r>
  <r>
    <d v="2023-04-05T00:00:00"/>
    <x v="5"/>
    <x v="4"/>
    <x v="0"/>
    <x v="0"/>
    <x v="4"/>
    <s v="Laptop"/>
    <n v="6"/>
    <n v="2282.5500000000002"/>
    <n v="13695.3"/>
  </r>
  <r>
    <s v="10/26/2023"/>
    <x v="3"/>
    <x v="7"/>
    <x v="3"/>
    <x v="0"/>
    <x v="4"/>
    <s v="Smartphone"/>
    <n v="4"/>
    <n v="4778.2299999999996"/>
    <n v="19112.919999999998"/>
  </r>
  <r>
    <d v="2023-01-05T00:00:00"/>
    <x v="6"/>
    <x v="1"/>
    <x v="1"/>
    <x v="1"/>
    <x v="2"/>
    <s v="Shirt"/>
    <n v="11"/>
    <n v="1286.08"/>
    <n v="14146.88"/>
  </r>
  <r>
    <s v="10/16/2023"/>
    <x v="7"/>
    <x v="9"/>
    <x v="0"/>
    <x v="0"/>
    <x v="4"/>
    <s v="Tablet"/>
    <n v="19"/>
    <n v="1844.31"/>
    <n v="35041.89"/>
  </r>
  <r>
    <d v="2023-02-12T00:00:00"/>
    <x v="7"/>
    <x v="7"/>
    <x v="3"/>
    <x v="0"/>
    <x v="2"/>
    <s v="Dress"/>
    <n v="14"/>
    <n v="148.43"/>
    <n v="2078.02"/>
  </r>
  <r>
    <d v="2023-08-02T00:00:00"/>
    <x v="7"/>
    <x v="14"/>
    <x v="3"/>
    <x v="0"/>
    <x v="1"/>
    <s v="Eraser"/>
    <n v="3"/>
    <n v="2502.81"/>
    <n v="7508.43"/>
  </r>
  <r>
    <d v="2023-06-05T00:00:00"/>
    <x v="9"/>
    <x v="7"/>
    <x v="3"/>
    <x v="0"/>
    <x v="0"/>
    <s v="Bed"/>
    <n v="7"/>
    <n v="3721.37"/>
    <n v="26049.59"/>
  </r>
  <r>
    <s v="6/28/2023"/>
    <x v="7"/>
    <x v="1"/>
    <x v="1"/>
    <x v="1"/>
    <x v="0"/>
    <s v="Sofa"/>
    <n v="2"/>
    <n v="3719.83"/>
    <n v="7439.66"/>
  </r>
  <r>
    <d v="2023-08-10T00:00:00"/>
    <x v="2"/>
    <x v="11"/>
    <x v="4"/>
    <x v="2"/>
    <x v="2"/>
    <s v="Dress"/>
    <n v="19"/>
    <n v="2862.47"/>
    <n v="54386.93"/>
  </r>
  <r>
    <s v="4/28/2023"/>
    <x v="4"/>
    <x v="3"/>
    <x v="1"/>
    <x v="1"/>
    <x v="1"/>
    <s v="Ruler"/>
    <n v="5"/>
    <n v="4715.05"/>
    <n v="23575.25"/>
  </r>
  <r>
    <s v="12/31/2023"/>
    <x v="2"/>
    <x v="13"/>
    <x v="4"/>
    <x v="2"/>
    <x v="3"/>
    <s v="Sugar"/>
    <n v="11"/>
    <n v="3314"/>
    <n v="36454"/>
  </r>
  <r>
    <d v="2023-09-05T00:00:00"/>
    <x v="5"/>
    <x v="6"/>
    <x v="2"/>
    <x v="1"/>
    <x v="0"/>
    <s v="Table"/>
    <n v="3"/>
    <n v="4146.75"/>
    <n v="12440.25"/>
  </r>
  <r>
    <d v="2023-05-08T00:00:00"/>
    <x v="7"/>
    <x v="5"/>
    <x v="1"/>
    <x v="1"/>
    <x v="4"/>
    <s v="Tablet"/>
    <n v="4"/>
    <n v="4062.52"/>
    <n v="16250.08"/>
  </r>
  <r>
    <d v="2023-08-03T00:00:00"/>
    <x v="7"/>
    <x v="12"/>
    <x v="2"/>
    <x v="1"/>
    <x v="4"/>
    <s v="Tablet"/>
    <n v="4"/>
    <n v="3022.21"/>
    <n v="12088.84"/>
  </r>
  <r>
    <d v="2023-04-03T00:00:00"/>
    <x v="2"/>
    <x v="11"/>
    <x v="4"/>
    <x v="2"/>
    <x v="3"/>
    <s v="Rice"/>
    <n v="7"/>
    <n v="217.04"/>
    <n v="1519.28"/>
  </r>
  <r>
    <d v="2023-07-08T00:00:00"/>
    <x v="7"/>
    <x v="12"/>
    <x v="2"/>
    <x v="1"/>
    <x v="3"/>
    <s v="Rice"/>
    <n v="2"/>
    <n v="4883.5600000000004"/>
    <n v="9767.1200000000008"/>
  </r>
  <r>
    <s v="1/23/2023"/>
    <x v="9"/>
    <x v="14"/>
    <x v="3"/>
    <x v="0"/>
    <x v="4"/>
    <s v="Smartphone"/>
    <n v="16"/>
    <n v="2015.76"/>
    <n v="32252.16"/>
  </r>
  <r>
    <d v="2023-11-06T00:00:00"/>
    <x v="8"/>
    <x v="2"/>
    <x v="2"/>
    <x v="1"/>
    <x v="3"/>
    <s v="Lentils"/>
    <n v="1"/>
    <n v="2777.22"/>
    <n v="2777.22"/>
  </r>
  <r>
    <s v="12/19/2023"/>
    <x v="1"/>
    <x v="2"/>
    <x v="2"/>
    <x v="1"/>
    <x v="0"/>
    <s v="Bed"/>
    <n v="13"/>
    <n v="4318.62"/>
    <n v="56142.06"/>
  </r>
  <r>
    <s v="10/24/2023"/>
    <x v="9"/>
    <x v="0"/>
    <x v="0"/>
    <x v="0"/>
    <x v="4"/>
    <s v="Smartphone"/>
    <n v="15"/>
    <n v="3225.2"/>
    <n v="48378"/>
  </r>
  <r>
    <s v="8/22/2023"/>
    <x v="5"/>
    <x v="0"/>
    <x v="0"/>
    <x v="0"/>
    <x v="4"/>
    <s v="Smartphone"/>
    <n v="9"/>
    <n v="631.99"/>
    <n v="5687.91"/>
  </r>
  <r>
    <d v="2023-05-05T00:00:00"/>
    <x v="3"/>
    <x v="11"/>
    <x v="4"/>
    <x v="2"/>
    <x v="1"/>
    <s v="Pen"/>
    <n v="16"/>
    <n v="981"/>
    <n v="15696"/>
  </r>
  <r>
    <d v="2023-12-06T00:00:00"/>
    <x v="8"/>
    <x v="7"/>
    <x v="3"/>
    <x v="0"/>
    <x v="4"/>
    <s v="Laptop"/>
    <n v="14"/>
    <n v="1049.21"/>
    <n v="14688.94"/>
  </r>
  <r>
    <s v="6/28/2023"/>
    <x v="9"/>
    <x v="1"/>
    <x v="1"/>
    <x v="1"/>
    <x v="0"/>
    <s v="Table"/>
    <n v="3"/>
    <n v="3276.84"/>
    <n v="9830.52"/>
  </r>
  <r>
    <d v="2023-10-08T00:00:00"/>
    <x v="3"/>
    <x v="4"/>
    <x v="0"/>
    <x v="0"/>
    <x v="4"/>
    <s v="Headphones"/>
    <n v="10"/>
    <n v="1693.46"/>
    <n v="16934.599999999999"/>
  </r>
  <r>
    <s v="11/26/2023"/>
    <x v="8"/>
    <x v="13"/>
    <x v="4"/>
    <x v="2"/>
    <x v="1"/>
    <s v="Pen"/>
    <n v="15"/>
    <n v="1790.58"/>
    <n v="26858.7"/>
  </r>
  <r>
    <s v="3/20/2023"/>
    <x v="4"/>
    <x v="7"/>
    <x v="3"/>
    <x v="0"/>
    <x v="0"/>
    <s v="Bed"/>
    <n v="16"/>
    <n v="1018.83"/>
    <n v="16301.28"/>
  </r>
  <r>
    <d v="2023-07-02T00:00:00"/>
    <x v="5"/>
    <x v="12"/>
    <x v="2"/>
    <x v="1"/>
    <x v="4"/>
    <s v="Tablet"/>
    <n v="6"/>
    <n v="1246.5899999999999"/>
    <n v="7479.54"/>
  </r>
  <r>
    <s v="1/13/2023"/>
    <x v="7"/>
    <x v="1"/>
    <x v="1"/>
    <x v="1"/>
    <x v="3"/>
    <s v="Sugar"/>
    <n v="14"/>
    <n v="859.79"/>
    <n v="12037.06"/>
  </r>
  <r>
    <d v="2023-09-11T00:00:00"/>
    <x v="0"/>
    <x v="13"/>
    <x v="4"/>
    <x v="2"/>
    <x v="2"/>
    <s v="Pants"/>
    <n v="12"/>
    <n v="149.16"/>
    <n v="1789.92"/>
  </r>
  <r>
    <s v="10/14/2023"/>
    <x v="4"/>
    <x v="0"/>
    <x v="0"/>
    <x v="0"/>
    <x v="0"/>
    <s v="Bed"/>
    <n v="20"/>
    <n v="1108.83"/>
    <n v="22176.6"/>
  </r>
  <r>
    <s v="3/17/2023"/>
    <x v="5"/>
    <x v="2"/>
    <x v="2"/>
    <x v="1"/>
    <x v="0"/>
    <s v="Chair"/>
    <n v="8"/>
    <n v="3628.65"/>
    <n v="29029.200000000001"/>
  </r>
  <r>
    <s v="12/23/2023"/>
    <x v="0"/>
    <x v="7"/>
    <x v="3"/>
    <x v="0"/>
    <x v="2"/>
    <s v="Pants"/>
    <n v="19"/>
    <n v="1317.72"/>
    <n v="25036.68"/>
  </r>
  <r>
    <s v="1/14/2023"/>
    <x v="4"/>
    <x v="11"/>
    <x v="4"/>
    <x v="2"/>
    <x v="2"/>
    <s v="Jacket"/>
    <n v="16"/>
    <n v="2995.01"/>
    <n v="47920.160000000003"/>
  </r>
  <r>
    <s v="5/25/2023"/>
    <x v="5"/>
    <x v="9"/>
    <x v="0"/>
    <x v="0"/>
    <x v="0"/>
    <s v="Chair"/>
    <n v="11"/>
    <n v="2318.96"/>
    <n v="25508.560000000001"/>
  </r>
  <r>
    <s v="11/30/2023"/>
    <x v="2"/>
    <x v="6"/>
    <x v="2"/>
    <x v="1"/>
    <x v="3"/>
    <s v="Sugar"/>
    <n v="14"/>
    <n v="4935.3"/>
    <n v="69094.2"/>
  </r>
  <r>
    <s v="9/20/2023"/>
    <x v="8"/>
    <x v="12"/>
    <x v="2"/>
    <x v="1"/>
    <x v="0"/>
    <s v="Bed"/>
    <n v="1"/>
    <n v="1083.26"/>
    <n v="1083.26"/>
  </r>
  <r>
    <d v="2023-05-10T00:00:00"/>
    <x v="7"/>
    <x v="3"/>
    <x v="1"/>
    <x v="1"/>
    <x v="0"/>
    <s v="Bed"/>
    <n v="11"/>
    <n v="1673.53"/>
    <n v="18408.830000000002"/>
  </r>
  <r>
    <s v="9/16/2023"/>
    <x v="3"/>
    <x v="7"/>
    <x v="3"/>
    <x v="0"/>
    <x v="4"/>
    <s v="Smartphone"/>
    <n v="10"/>
    <n v="3829.38"/>
    <n v="38293.800000000003"/>
  </r>
  <r>
    <s v="9/21/2023"/>
    <x v="7"/>
    <x v="2"/>
    <x v="2"/>
    <x v="1"/>
    <x v="2"/>
    <s v="Dress"/>
    <n v="6"/>
    <n v="470.36"/>
    <n v="2822.16"/>
  </r>
  <r>
    <s v="4/13/2023"/>
    <x v="9"/>
    <x v="9"/>
    <x v="0"/>
    <x v="0"/>
    <x v="4"/>
    <s v="Smartphone"/>
    <n v="12"/>
    <n v="2489.14"/>
    <n v="29869.68"/>
  </r>
  <r>
    <s v="8/19/2023"/>
    <x v="7"/>
    <x v="2"/>
    <x v="2"/>
    <x v="1"/>
    <x v="2"/>
    <s v="Jacket"/>
    <n v="14"/>
    <n v="1729.16"/>
    <n v="24208.240000000002"/>
  </r>
  <r>
    <s v="12/16/2023"/>
    <x v="0"/>
    <x v="5"/>
    <x v="1"/>
    <x v="1"/>
    <x v="1"/>
    <s v="Pen"/>
    <n v="2"/>
    <n v="2789.92"/>
    <n v="5579.84"/>
  </r>
  <r>
    <s v="5/26/2023"/>
    <x v="6"/>
    <x v="6"/>
    <x v="2"/>
    <x v="1"/>
    <x v="2"/>
    <s v="Dress"/>
    <n v="17"/>
    <n v="3244.79"/>
    <n v="55161.43"/>
  </r>
  <r>
    <s v="2/14/2023"/>
    <x v="2"/>
    <x v="12"/>
    <x v="2"/>
    <x v="1"/>
    <x v="1"/>
    <s v="Ruler"/>
    <n v="20"/>
    <n v="2155.17"/>
    <n v="43103.4"/>
  </r>
  <r>
    <d v="2023-08-07T00:00:00"/>
    <x v="8"/>
    <x v="1"/>
    <x v="1"/>
    <x v="1"/>
    <x v="3"/>
    <s v="Sugar"/>
    <n v="13"/>
    <n v="2526.1999999999998"/>
    <n v="32840.6"/>
  </r>
  <r>
    <s v="1/24/2023"/>
    <x v="6"/>
    <x v="3"/>
    <x v="1"/>
    <x v="1"/>
    <x v="4"/>
    <s v="Laptop"/>
    <n v="11"/>
    <n v="1995.21"/>
    <n v="21947.31"/>
  </r>
  <r>
    <d v="2023-11-02T00:00:00"/>
    <x v="8"/>
    <x v="7"/>
    <x v="3"/>
    <x v="0"/>
    <x v="1"/>
    <s v="Ruler"/>
    <n v="4"/>
    <n v="1139.74"/>
    <n v="4558.96"/>
  </r>
  <r>
    <s v="7/30/2023"/>
    <x v="9"/>
    <x v="11"/>
    <x v="4"/>
    <x v="2"/>
    <x v="0"/>
    <s v="Sofa"/>
    <n v="4"/>
    <n v="3015.93"/>
    <n v="12063.72"/>
  </r>
  <r>
    <d v="2023-10-04T00:00:00"/>
    <x v="8"/>
    <x v="5"/>
    <x v="1"/>
    <x v="1"/>
    <x v="2"/>
    <s v="Pants"/>
    <n v="4"/>
    <n v="3831.39"/>
    <n v="15325.56"/>
  </r>
  <r>
    <s v="5/31/2023"/>
    <x v="0"/>
    <x v="4"/>
    <x v="0"/>
    <x v="0"/>
    <x v="2"/>
    <s v="Dress"/>
    <n v="7"/>
    <n v="105.05"/>
    <n v="735.35"/>
  </r>
  <r>
    <d v="2023-03-07T00:00:00"/>
    <x v="1"/>
    <x v="7"/>
    <x v="3"/>
    <x v="0"/>
    <x v="1"/>
    <s v="Pen"/>
    <n v="11"/>
    <n v="2416.1799999999998"/>
    <n v="26577.98"/>
  </r>
  <r>
    <s v="1/15/2023"/>
    <x v="5"/>
    <x v="7"/>
    <x v="3"/>
    <x v="0"/>
    <x v="1"/>
    <s v="Pen"/>
    <n v="1"/>
    <n v="549.14"/>
    <n v="549.14"/>
  </r>
  <r>
    <s v="5/30/2023"/>
    <x v="5"/>
    <x v="3"/>
    <x v="1"/>
    <x v="1"/>
    <x v="3"/>
    <s v="Lentils"/>
    <n v="10"/>
    <n v="3771.5"/>
    <n v="37715"/>
  </r>
  <r>
    <s v="10/14/2023"/>
    <x v="1"/>
    <x v="7"/>
    <x v="3"/>
    <x v="0"/>
    <x v="0"/>
    <s v="Sofa"/>
    <n v="13"/>
    <n v="956.49"/>
    <n v="12434.37"/>
  </r>
  <r>
    <s v="1/30/2023"/>
    <x v="2"/>
    <x v="2"/>
    <x v="2"/>
    <x v="1"/>
    <x v="0"/>
    <s v="Bed"/>
    <n v="19"/>
    <n v="3575.92"/>
    <n v="67942.48"/>
  </r>
  <r>
    <s v="6/18/2023"/>
    <x v="8"/>
    <x v="10"/>
    <x v="3"/>
    <x v="0"/>
    <x v="4"/>
    <s v="Smartphone"/>
    <n v="8"/>
    <n v="3971.12"/>
    <n v="31768.959999999999"/>
  </r>
  <r>
    <s v="8/22/2023"/>
    <x v="4"/>
    <x v="3"/>
    <x v="1"/>
    <x v="1"/>
    <x v="2"/>
    <s v="Shirt"/>
    <n v="14"/>
    <n v="3631.62"/>
    <n v="50842.68"/>
  </r>
  <r>
    <d v="2023-01-05T00:00:00"/>
    <x v="7"/>
    <x v="0"/>
    <x v="0"/>
    <x v="0"/>
    <x v="0"/>
    <s v="Bed"/>
    <n v="18"/>
    <n v="2589.64"/>
    <n v="46613.52"/>
  </r>
  <r>
    <d v="2023-04-09T00:00:00"/>
    <x v="4"/>
    <x v="10"/>
    <x v="3"/>
    <x v="0"/>
    <x v="3"/>
    <s v="Sugar"/>
    <n v="2"/>
    <n v="2713.34"/>
    <n v="5426.68"/>
  </r>
  <r>
    <s v="11/29/2023"/>
    <x v="5"/>
    <x v="2"/>
    <x v="2"/>
    <x v="1"/>
    <x v="1"/>
    <s v="Ruler"/>
    <n v="17"/>
    <n v="1294.56"/>
    <n v="22007.52"/>
  </r>
  <r>
    <s v="10/30/2023"/>
    <x v="4"/>
    <x v="13"/>
    <x v="4"/>
    <x v="2"/>
    <x v="1"/>
    <s v="Ruler"/>
    <n v="8"/>
    <n v="1171.53"/>
    <n v="9372.24"/>
  </r>
  <r>
    <s v="1/17/2023"/>
    <x v="7"/>
    <x v="8"/>
    <x v="4"/>
    <x v="2"/>
    <x v="2"/>
    <s v="Jacket"/>
    <n v="15"/>
    <n v="4060.63"/>
    <n v="60909.45"/>
  </r>
  <r>
    <d v="2023-12-04T00:00:00"/>
    <x v="5"/>
    <x v="0"/>
    <x v="0"/>
    <x v="0"/>
    <x v="3"/>
    <s v="Lentils"/>
    <n v="4"/>
    <n v="442.23"/>
    <n v="1768.92"/>
  </r>
  <r>
    <s v="11/30/2023"/>
    <x v="7"/>
    <x v="0"/>
    <x v="0"/>
    <x v="0"/>
    <x v="1"/>
    <s v="Eraser"/>
    <n v="5"/>
    <n v="3725.36"/>
    <n v="18626.8"/>
  </r>
  <r>
    <s v="1/14/2023"/>
    <x v="7"/>
    <x v="7"/>
    <x v="3"/>
    <x v="0"/>
    <x v="2"/>
    <s v="Dress"/>
    <n v="20"/>
    <n v="2974.89"/>
    <n v="59497.8"/>
  </r>
  <r>
    <d v="2023-03-07T00:00:00"/>
    <x v="7"/>
    <x v="3"/>
    <x v="1"/>
    <x v="1"/>
    <x v="2"/>
    <s v="Jacket"/>
    <n v="1"/>
    <n v="1717.6"/>
    <n v="1717.6"/>
  </r>
  <r>
    <d v="2023-06-03T00:00:00"/>
    <x v="6"/>
    <x v="13"/>
    <x v="4"/>
    <x v="2"/>
    <x v="0"/>
    <s v="Chair"/>
    <n v="5"/>
    <n v="2849.56"/>
    <n v="14247.8"/>
  </r>
  <r>
    <s v="9/21/2023"/>
    <x v="0"/>
    <x v="10"/>
    <x v="3"/>
    <x v="0"/>
    <x v="1"/>
    <s v="Ruler"/>
    <n v="18"/>
    <n v="4150.7700000000004"/>
    <n v="74713.86"/>
  </r>
  <r>
    <s v="7/27/2023"/>
    <x v="6"/>
    <x v="9"/>
    <x v="0"/>
    <x v="0"/>
    <x v="1"/>
    <s v="Notebook"/>
    <n v="18"/>
    <n v="2490.14"/>
    <n v="44822.52"/>
  </r>
  <r>
    <s v="1/19/2023"/>
    <x v="6"/>
    <x v="11"/>
    <x v="4"/>
    <x v="2"/>
    <x v="1"/>
    <s v="Ruler"/>
    <n v="17"/>
    <n v="500.54"/>
    <n v="8509.18"/>
  </r>
  <r>
    <s v="6/14/2023"/>
    <x v="9"/>
    <x v="8"/>
    <x v="4"/>
    <x v="2"/>
    <x v="4"/>
    <s v="Smartphone"/>
    <n v="19"/>
    <n v="1067.94"/>
    <n v="20290.86"/>
  </r>
  <r>
    <s v="11/14/2023"/>
    <x v="9"/>
    <x v="12"/>
    <x v="2"/>
    <x v="1"/>
    <x v="3"/>
    <s v="Sugar"/>
    <n v="7"/>
    <n v="2264.87"/>
    <n v="15854.09"/>
  </r>
  <r>
    <d v="2023-12-02T00:00:00"/>
    <x v="1"/>
    <x v="11"/>
    <x v="4"/>
    <x v="2"/>
    <x v="3"/>
    <s v="Rice"/>
    <n v="18"/>
    <n v="2584.0700000000002"/>
    <n v="46513.26"/>
  </r>
  <r>
    <s v="6/14/2023"/>
    <x v="9"/>
    <x v="2"/>
    <x v="2"/>
    <x v="1"/>
    <x v="1"/>
    <s v="Pen"/>
    <n v="13"/>
    <n v="4621.13"/>
    <n v="60074.69"/>
  </r>
  <r>
    <d v="2023-12-09T00:00:00"/>
    <x v="1"/>
    <x v="11"/>
    <x v="4"/>
    <x v="2"/>
    <x v="3"/>
    <s v="Lentils"/>
    <n v="16"/>
    <n v="4826.2"/>
    <n v="77219.199999999997"/>
  </r>
  <r>
    <d v="2023-05-06T00:00:00"/>
    <x v="4"/>
    <x v="6"/>
    <x v="2"/>
    <x v="1"/>
    <x v="4"/>
    <s v="Laptop"/>
    <n v="5"/>
    <n v="4773.5600000000004"/>
    <n v="23867.8"/>
  </r>
  <r>
    <s v="5/29/2023"/>
    <x v="9"/>
    <x v="3"/>
    <x v="1"/>
    <x v="1"/>
    <x v="3"/>
    <s v="Sugar"/>
    <n v="9"/>
    <n v="3220.44"/>
    <n v="28983.96"/>
  </r>
  <r>
    <s v="1/27/2023"/>
    <x v="9"/>
    <x v="5"/>
    <x v="1"/>
    <x v="1"/>
    <x v="3"/>
    <s v="Rice"/>
    <n v="15"/>
    <n v="4945.79"/>
    <n v="74186.850000000006"/>
  </r>
  <r>
    <d v="2023-08-02T00:00:00"/>
    <x v="3"/>
    <x v="1"/>
    <x v="1"/>
    <x v="1"/>
    <x v="2"/>
    <s v="Jacket"/>
    <n v="14"/>
    <n v="2355.56"/>
    <n v="32977.839999999997"/>
  </r>
  <r>
    <s v="12/17/2023"/>
    <x v="1"/>
    <x v="7"/>
    <x v="3"/>
    <x v="0"/>
    <x v="2"/>
    <s v="Pants"/>
    <n v="4"/>
    <n v="4412.41"/>
    <n v="17649.64"/>
  </r>
  <r>
    <s v="3/26/2023"/>
    <x v="7"/>
    <x v="8"/>
    <x v="4"/>
    <x v="2"/>
    <x v="1"/>
    <s v="Pen"/>
    <n v="5"/>
    <n v="355.6"/>
    <n v="1778"/>
  </r>
  <r>
    <s v="8/30/2023"/>
    <x v="3"/>
    <x v="0"/>
    <x v="0"/>
    <x v="0"/>
    <x v="4"/>
    <s v="Headphones"/>
    <n v="12"/>
    <n v="4405.1899999999996"/>
    <n v="52862.28"/>
  </r>
  <r>
    <s v="7/16/2023"/>
    <x v="1"/>
    <x v="13"/>
    <x v="4"/>
    <x v="2"/>
    <x v="3"/>
    <s v="Rice"/>
    <n v="9"/>
    <n v="877.89"/>
    <n v="7901.01"/>
  </r>
  <r>
    <s v="9/26/2023"/>
    <x v="1"/>
    <x v="14"/>
    <x v="3"/>
    <x v="0"/>
    <x v="2"/>
    <s v="Pants"/>
    <n v="1"/>
    <n v="2970.66"/>
    <n v="2970.66"/>
  </r>
  <r>
    <s v="1/14/2023"/>
    <x v="6"/>
    <x v="0"/>
    <x v="0"/>
    <x v="0"/>
    <x v="0"/>
    <s v="Sofa"/>
    <n v="15"/>
    <n v="3579.98"/>
    <n v="53699.7"/>
  </r>
  <r>
    <d v="2023-05-10T00:00:00"/>
    <x v="9"/>
    <x v="14"/>
    <x v="3"/>
    <x v="0"/>
    <x v="4"/>
    <s v="Laptop"/>
    <n v="9"/>
    <n v="1605.02"/>
    <n v="14445.18"/>
  </r>
  <r>
    <s v="10/31/2023"/>
    <x v="0"/>
    <x v="5"/>
    <x v="1"/>
    <x v="1"/>
    <x v="4"/>
    <s v="Headphones"/>
    <n v="12"/>
    <n v="1982.64"/>
    <n v="23791.68"/>
  </r>
  <r>
    <s v="4/18/2023"/>
    <x v="8"/>
    <x v="14"/>
    <x v="3"/>
    <x v="0"/>
    <x v="1"/>
    <s v="Notebook"/>
    <n v="20"/>
    <n v="3195.53"/>
    <n v="63910.6"/>
  </r>
  <r>
    <d v="2023-09-07T00:00:00"/>
    <x v="9"/>
    <x v="7"/>
    <x v="3"/>
    <x v="0"/>
    <x v="3"/>
    <s v="Sugar"/>
    <n v="20"/>
    <n v="1580.59"/>
    <n v="31611.8"/>
  </r>
  <r>
    <s v="10/25/2023"/>
    <x v="3"/>
    <x v="12"/>
    <x v="2"/>
    <x v="1"/>
    <x v="4"/>
    <s v="Smartphone"/>
    <n v="6"/>
    <n v="809.57"/>
    <n v="4857.42"/>
  </r>
  <r>
    <s v="2/21/2023"/>
    <x v="6"/>
    <x v="9"/>
    <x v="0"/>
    <x v="0"/>
    <x v="1"/>
    <s v="Eraser"/>
    <n v="6"/>
    <n v="1221.52"/>
    <n v="7329.12"/>
  </r>
  <r>
    <d v="2023-05-08T00:00:00"/>
    <x v="2"/>
    <x v="6"/>
    <x v="2"/>
    <x v="1"/>
    <x v="0"/>
    <s v="Table"/>
    <n v="4"/>
    <n v="2457.5"/>
    <n v="9830"/>
  </r>
  <r>
    <d v="2023-07-08T00:00:00"/>
    <x v="2"/>
    <x v="12"/>
    <x v="2"/>
    <x v="1"/>
    <x v="1"/>
    <s v="Notebook"/>
    <n v="12"/>
    <n v="2820.88"/>
    <n v="33850.559999999998"/>
  </r>
  <r>
    <d v="2023-08-05T00:00:00"/>
    <x v="8"/>
    <x v="4"/>
    <x v="0"/>
    <x v="0"/>
    <x v="1"/>
    <s v="Ruler"/>
    <n v="10"/>
    <n v="1512.64"/>
    <n v="15126.4"/>
  </r>
  <r>
    <s v="4/18/2023"/>
    <x v="5"/>
    <x v="8"/>
    <x v="4"/>
    <x v="2"/>
    <x v="3"/>
    <s v="Lentils"/>
    <n v="5"/>
    <n v="3199.14"/>
    <n v="15995.7"/>
  </r>
  <r>
    <s v="11/21/2023"/>
    <x v="0"/>
    <x v="7"/>
    <x v="3"/>
    <x v="0"/>
    <x v="4"/>
    <s v="Tablet"/>
    <n v="11"/>
    <n v="4315"/>
    <n v="47465"/>
  </r>
  <r>
    <d v="2023-05-11T00:00:00"/>
    <x v="1"/>
    <x v="0"/>
    <x v="0"/>
    <x v="0"/>
    <x v="3"/>
    <s v="Sugar"/>
    <n v="9"/>
    <n v="2118.17"/>
    <n v="19063.53"/>
  </r>
  <r>
    <d v="2023-04-01T00:00:00"/>
    <x v="9"/>
    <x v="8"/>
    <x v="4"/>
    <x v="2"/>
    <x v="1"/>
    <s v="Eraser"/>
    <n v="18"/>
    <n v="1042.99"/>
    <n v="18773.82"/>
  </r>
  <r>
    <s v="11/17/2023"/>
    <x v="1"/>
    <x v="11"/>
    <x v="4"/>
    <x v="2"/>
    <x v="4"/>
    <s v="Tablet"/>
    <n v="6"/>
    <n v="4707.38"/>
    <n v="28244.28"/>
  </r>
  <r>
    <s v="11/16/2023"/>
    <x v="4"/>
    <x v="0"/>
    <x v="0"/>
    <x v="0"/>
    <x v="3"/>
    <s v="Sugar"/>
    <n v="8"/>
    <n v="360.87"/>
    <n v="2886.96"/>
  </r>
  <r>
    <d v="2023-08-02T00:00:00"/>
    <x v="3"/>
    <x v="5"/>
    <x v="1"/>
    <x v="1"/>
    <x v="1"/>
    <s v="Pen"/>
    <n v="12"/>
    <n v="2519.65"/>
    <n v="30235.8"/>
  </r>
  <r>
    <d v="2023-09-07T00:00:00"/>
    <x v="2"/>
    <x v="8"/>
    <x v="4"/>
    <x v="2"/>
    <x v="1"/>
    <s v="Eraser"/>
    <n v="7"/>
    <n v="2861.67"/>
    <n v="20031.689999999999"/>
  </r>
  <r>
    <s v="6/27/2023"/>
    <x v="2"/>
    <x v="13"/>
    <x v="4"/>
    <x v="2"/>
    <x v="3"/>
    <s v="Rice"/>
    <n v="11"/>
    <n v="4896.83"/>
    <n v="53865.13"/>
  </r>
  <r>
    <s v="6/14/2023"/>
    <x v="1"/>
    <x v="7"/>
    <x v="3"/>
    <x v="0"/>
    <x v="4"/>
    <s v="Laptop"/>
    <n v="15"/>
    <n v="4180.6099999999997"/>
    <n v="62709.15"/>
  </r>
  <r>
    <d v="2023-11-12T00:00:00"/>
    <x v="5"/>
    <x v="11"/>
    <x v="4"/>
    <x v="2"/>
    <x v="3"/>
    <s v="Lentils"/>
    <n v="2"/>
    <n v="3747.71"/>
    <n v="7495.42"/>
  </r>
  <r>
    <s v="8/15/2023"/>
    <x v="8"/>
    <x v="11"/>
    <x v="4"/>
    <x v="2"/>
    <x v="1"/>
    <s v="Pen"/>
    <n v="3"/>
    <n v="2792.38"/>
    <n v="8377.14"/>
  </r>
  <r>
    <d v="2023-04-12T00:00:00"/>
    <x v="4"/>
    <x v="4"/>
    <x v="0"/>
    <x v="0"/>
    <x v="4"/>
    <s v="Laptop"/>
    <n v="17"/>
    <n v="683.31"/>
    <n v="11616.27"/>
  </r>
  <r>
    <d v="2023-03-01T00:00:00"/>
    <x v="5"/>
    <x v="13"/>
    <x v="4"/>
    <x v="2"/>
    <x v="2"/>
    <s v="Shirt"/>
    <n v="20"/>
    <n v="3463.6"/>
    <n v="69272"/>
  </r>
  <r>
    <s v="9/14/2023"/>
    <x v="3"/>
    <x v="6"/>
    <x v="2"/>
    <x v="1"/>
    <x v="1"/>
    <s v="Notebook"/>
    <n v="9"/>
    <n v="1609.98"/>
    <n v="14489.82"/>
  </r>
  <r>
    <d v="2023-06-07T00:00:00"/>
    <x v="1"/>
    <x v="4"/>
    <x v="0"/>
    <x v="0"/>
    <x v="1"/>
    <s v="Pen"/>
    <n v="4"/>
    <n v="2836.34"/>
    <n v="11345.36"/>
  </r>
  <r>
    <s v="1/30/2023"/>
    <x v="7"/>
    <x v="7"/>
    <x v="3"/>
    <x v="0"/>
    <x v="4"/>
    <s v="Smartphone"/>
    <n v="18"/>
    <n v="3238.98"/>
    <n v="58301.64"/>
  </r>
  <r>
    <s v="8/14/2023"/>
    <x v="3"/>
    <x v="6"/>
    <x v="2"/>
    <x v="1"/>
    <x v="0"/>
    <s v="Sofa"/>
    <n v="20"/>
    <n v="2791.25"/>
    <n v="55825"/>
  </r>
  <r>
    <s v="12/16/2023"/>
    <x v="1"/>
    <x v="10"/>
    <x v="3"/>
    <x v="0"/>
    <x v="2"/>
    <s v="Dress"/>
    <n v="1"/>
    <n v="3165.04"/>
    <n v="3165.04"/>
  </r>
  <r>
    <d v="2023-07-10T00:00:00"/>
    <x v="1"/>
    <x v="0"/>
    <x v="0"/>
    <x v="0"/>
    <x v="1"/>
    <s v="Ruler"/>
    <n v="14"/>
    <n v="3414.59"/>
    <n v="47804.26"/>
  </r>
  <r>
    <d v="2023-11-10T00:00:00"/>
    <x v="6"/>
    <x v="9"/>
    <x v="0"/>
    <x v="0"/>
    <x v="4"/>
    <s v="Smartphone"/>
    <n v="4"/>
    <n v="3896.69"/>
    <n v="15586.76"/>
  </r>
  <r>
    <s v="8/27/2023"/>
    <x v="3"/>
    <x v="3"/>
    <x v="1"/>
    <x v="1"/>
    <x v="2"/>
    <s v="Jacket"/>
    <n v="5"/>
    <n v="2024.36"/>
    <n v="10121.799999999999"/>
  </r>
  <r>
    <d v="2023-10-08T00:00:00"/>
    <x v="4"/>
    <x v="8"/>
    <x v="4"/>
    <x v="2"/>
    <x v="2"/>
    <s v="Dress"/>
    <n v="17"/>
    <n v="102.62"/>
    <n v="1744.54"/>
  </r>
  <r>
    <s v="2/28/2023"/>
    <x v="3"/>
    <x v="10"/>
    <x v="3"/>
    <x v="0"/>
    <x v="1"/>
    <s v="Ruler"/>
    <n v="7"/>
    <n v="146.52000000000001"/>
    <n v="1025.6400000000001"/>
  </r>
  <r>
    <s v="12/13/2023"/>
    <x v="4"/>
    <x v="8"/>
    <x v="4"/>
    <x v="2"/>
    <x v="0"/>
    <s v="Sofa"/>
    <n v="2"/>
    <n v="4248"/>
    <n v="8496"/>
  </r>
  <r>
    <d v="2023-01-03T00:00:00"/>
    <x v="9"/>
    <x v="0"/>
    <x v="0"/>
    <x v="0"/>
    <x v="2"/>
    <s v="Dress"/>
    <n v="8"/>
    <n v="3075.58"/>
    <n v="24604.639999999999"/>
  </r>
  <r>
    <s v="2/28/2023"/>
    <x v="5"/>
    <x v="13"/>
    <x v="4"/>
    <x v="2"/>
    <x v="3"/>
    <s v="Lentils"/>
    <n v="13"/>
    <n v="1246.1400000000001"/>
    <n v="16199.82"/>
  </r>
  <r>
    <d v="2023-02-09T00:00:00"/>
    <x v="8"/>
    <x v="1"/>
    <x v="1"/>
    <x v="1"/>
    <x v="4"/>
    <s v="Headphones"/>
    <n v="16"/>
    <n v="3942.95"/>
    <n v="63087.199999999997"/>
  </r>
  <r>
    <d v="2023-11-03T00:00:00"/>
    <x v="9"/>
    <x v="13"/>
    <x v="4"/>
    <x v="2"/>
    <x v="1"/>
    <s v="Notebook"/>
    <n v="1"/>
    <n v="936.56"/>
    <n v="936.56"/>
  </r>
  <r>
    <s v="11/13/2023"/>
    <x v="6"/>
    <x v="8"/>
    <x v="4"/>
    <x v="2"/>
    <x v="2"/>
    <s v="Dress"/>
    <n v="7"/>
    <n v="1628.68"/>
    <n v="11400.76"/>
  </r>
  <r>
    <s v="7/31/2023"/>
    <x v="7"/>
    <x v="10"/>
    <x v="3"/>
    <x v="0"/>
    <x v="1"/>
    <s v="Eraser"/>
    <n v="10"/>
    <n v="3400.28"/>
    <n v="34002.800000000003"/>
  </r>
  <r>
    <d v="2023-06-04T00:00:00"/>
    <x v="4"/>
    <x v="12"/>
    <x v="2"/>
    <x v="1"/>
    <x v="1"/>
    <s v="Pen"/>
    <n v="18"/>
    <n v="2722.99"/>
    <n v="49013.82"/>
  </r>
  <r>
    <d v="2023-06-05T00:00:00"/>
    <x v="2"/>
    <x v="2"/>
    <x v="2"/>
    <x v="1"/>
    <x v="3"/>
    <s v="Sugar"/>
    <n v="8"/>
    <n v="4612.53"/>
    <n v="36900.239999999998"/>
  </r>
  <r>
    <s v="5/19/2023"/>
    <x v="4"/>
    <x v="0"/>
    <x v="0"/>
    <x v="0"/>
    <x v="3"/>
    <s v="Lentils"/>
    <n v="13"/>
    <n v="2040.1"/>
    <n v="26521.3"/>
  </r>
  <r>
    <s v="4/21/2023"/>
    <x v="5"/>
    <x v="12"/>
    <x v="2"/>
    <x v="1"/>
    <x v="4"/>
    <s v="Tablet"/>
    <n v="17"/>
    <n v="1122.98"/>
    <n v="19090.66"/>
  </r>
  <r>
    <d v="2023-04-11T00:00:00"/>
    <x v="3"/>
    <x v="0"/>
    <x v="0"/>
    <x v="0"/>
    <x v="3"/>
    <s v="Lentils"/>
    <n v="16"/>
    <n v="2458.6"/>
    <n v="39337.599999999999"/>
  </r>
  <r>
    <s v="9/28/2023"/>
    <x v="9"/>
    <x v="0"/>
    <x v="0"/>
    <x v="0"/>
    <x v="0"/>
    <s v="Bed"/>
    <n v="9"/>
    <n v="3195.18"/>
    <n v="28756.62"/>
  </r>
  <r>
    <d v="2023-04-10T00:00:00"/>
    <x v="3"/>
    <x v="1"/>
    <x v="1"/>
    <x v="1"/>
    <x v="0"/>
    <s v="Sofa"/>
    <n v="3"/>
    <n v="384.96"/>
    <n v="1154.8800000000001"/>
  </r>
  <r>
    <s v="2/23/2023"/>
    <x v="6"/>
    <x v="0"/>
    <x v="0"/>
    <x v="0"/>
    <x v="3"/>
    <s v="Rice"/>
    <n v="4"/>
    <n v="3714.59"/>
    <n v="14858.36"/>
  </r>
  <r>
    <s v="6/19/2023"/>
    <x v="9"/>
    <x v="2"/>
    <x v="2"/>
    <x v="1"/>
    <x v="3"/>
    <s v="Oil"/>
    <n v="9"/>
    <n v="1765.86"/>
    <n v="15892.74"/>
  </r>
  <r>
    <d v="2023-07-07T00:00:00"/>
    <x v="0"/>
    <x v="7"/>
    <x v="3"/>
    <x v="0"/>
    <x v="3"/>
    <s v="Rice"/>
    <n v="8"/>
    <n v="3069.86"/>
    <n v="24558.880000000001"/>
  </r>
  <r>
    <s v="8/19/2023"/>
    <x v="7"/>
    <x v="11"/>
    <x v="4"/>
    <x v="2"/>
    <x v="0"/>
    <s v="Table"/>
    <n v="9"/>
    <n v="1720.47"/>
    <n v="15484.23"/>
  </r>
  <r>
    <s v="7/18/2023"/>
    <x v="4"/>
    <x v="6"/>
    <x v="2"/>
    <x v="1"/>
    <x v="2"/>
    <s v="Pants"/>
    <n v="7"/>
    <n v="3416.74"/>
    <n v="23917.18"/>
  </r>
  <r>
    <s v="9/17/2023"/>
    <x v="7"/>
    <x v="6"/>
    <x v="2"/>
    <x v="1"/>
    <x v="0"/>
    <s v="Table"/>
    <n v="7"/>
    <n v="4741.12"/>
    <n v="33187.839999999997"/>
  </r>
  <r>
    <d v="2023-10-06T00:00:00"/>
    <x v="8"/>
    <x v="11"/>
    <x v="4"/>
    <x v="2"/>
    <x v="2"/>
    <s v="Shirt"/>
    <n v="20"/>
    <n v="2721.24"/>
    <n v="54424.800000000003"/>
  </r>
  <r>
    <s v="7/24/2023"/>
    <x v="6"/>
    <x v="7"/>
    <x v="3"/>
    <x v="0"/>
    <x v="4"/>
    <s v="Laptop"/>
    <n v="4"/>
    <n v="3751.49"/>
    <n v="15005.96"/>
  </r>
  <r>
    <s v="4/21/2023"/>
    <x v="9"/>
    <x v="12"/>
    <x v="2"/>
    <x v="1"/>
    <x v="2"/>
    <s v="Jacket"/>
    <n v="19"/>
    <n v="4513.6000000000004"/>
    <n v="85758.399999999994"/>
  </r>
  <r>
    <d v="2023-11-01T00:00:00"/>
    <x v="8"/>
    <x v="1"/>
    <x v="1"/>
    <x v="1"/>
    <x v="0"/>
    <s v="Chair"/>
    <n v="11"/>
    <n v="3514.12"/>
    <n v="38655.32"/>
  </r>
  <r>
    <s v="12/13/2023"/>
    <x v="7"/>
    <x v="6"/>
    <x v="2"/>
    <x v="1"/>
    <x v="0"/>
    <s v="Bed"/>
    <n v="13"/>
    <n v="2109.15"/>
    <n v="27418.95"/>
  </r>
  <r>
    <s v="2/28/2023"/>
    <x v="1"/>
    <x v="1"/>
    <x v="1"/>
    <x v="1"/>
    <x v="2"/>
    <s v="Pants"/>
    <n v="16"/>
    <n v="4090.26"/>
    <n v="65444.160000000003"/>
  </r>
  <r>
    <s v="7/25/2023"/>
    <x v="2"/>
    <x v="14"/>
    <x v="3"/>
    <x v="0"/>
    <x v="2"/>
    <s v="Shirt"/>
    <n v="12"/>
    <n v="219.32"/>
    <n v="2631.84"/>
  </r>
  <r>
    <s v="12/17/2023"/>
    <x v="0"/>
    <x v="11"/>
    <x v="4"/>
    <x v="2"/>
    <x v="1"/>
    <s v="Pen"/>
    <n v="14"/>
    <n v="264.77"/>
    <n v="3706.78"/>
  </r>
  <r>
    <d v="2023-01-05T00:00:00"/>
    <x v="8"/>
    <x v="3"/>
    <x v="1"/>
    <x v="1"/>
    <x v="2"/>
    <s v="Shirt"/>
    <n v="9"/>
    <n v="2624.88"/>
    <n v="23623.919999999998"/>
  </r>
  <r>
    <d v="2023-04-06T00:00:00"/>
    <x v="5"/>
    <x v="10"/>
    <x v="3"/>
    <x v="0"/>
    <x v="0"/>
    <s v="Sofa"/>
    <n v="15"/>
    <n v="1063.8800000000001"/>
    <n v="15958.2"/>
  </r>
  <r>
    <s v="2/23/2023"/>
    <x v="8"/>
    <x v="5"/>
    <x v="1"/>
    <x v="1"/>
    <x v="2"/>
    <s v="Shirt"/>
    <n v="2"/>
    <n v="4277.8999999999996"/>
    <n v="8555.7999999999993"/>
  </r>
  <r>
    <s v="11/19/2023"/>
    <x v="0"/>
    <x v="7"/>
    <x v="3"/>
    <x v="0"/>
    <x v="2"/>
    <s v="Jacket"/>
    <n v="13"/>
    <n v="1762.69"/>
    <n v="22914.97"/>
  </r>
  <r>
    <s v="4/27/2023"/>
    <x v="4"/>
    <x v="6"/>
    <x v="2"/>
    <x v="1"/>
    <x v="2"/>
    <s v="Jacket"/>
    <n v="6"/>
    <n v="2069.96"/>
    <n v="12419.76"/>
  </r>
  <r>
    <s v="8/15/2023"/>
    <x v="1"/>
    <x v="13"/>
    <x v="4"/>
    <x v="2"/>
    <x v="2"/>
    <s v="Shirt"/>
    <n v="19"/>
    <n v="3822.54"/>
    <n v="72628.259999999995"/>
  </r>
  <r>
    <d v="2023-06-10T00:00:00"/>
    <x v="1"/>
    <x v="13"/>
    <x v="4"/>
    <x v="2"/>
    <x v="3"/>
    <s v="Sugar"/>
    <n v="16"/>
    <n v="242.23"/>
    <n v="3875.68"/>
  </r>
  <r>
    <s v="6/29/2023"/>
    <x v="5"/>
    <x v="10"/>
    <x v="3"/>
    <x v="0"/>
    <x v="1"/>
    <s v="Eraser"/>
    <n v="12"/>
    <n v="2290.7600000000002"/>
    <n v="27489.119999999999"/>
  </r>
  <r>
    <s v="9/26/2023"/>
    <x v="9"/>
    <x v="4"/>
    <x v="0"/>
    <x v="0"/>
    <x v="2"/>
    <s v="Shirt"/>
    <n v="18"/>
    <n v="1957.78"/>
    <n v="35240.04"/>
  </r>
  <r>
    <d v="2023-06-11T00:00:00"/>
    <x v="7"/>
    <x v="4"/>
    <x v="0"/>
    <x v="0"/>
    <x v="1"/>
    <s v="Notebook"/>
    <n v="1"/>
    <n v="4370.57"/>
    <n v="4370.57"/>
  </r>
  <r>
    <s v="5/19/2023"/>
    <x v="4"/>
    <x v="13"/>
    <x v="4"/>
    <x v="2"/>
    <x v="3"/>
    <s v="Rice"/>
    <n v="3"/>
    <n v="1894.71"/>
    <n v="5684.13"/>
  </r>
  <r>
    <d v="2023-12-11T00:00:00"/>
    <x v="2"/>
    <x v="10"/>
    <x v="3"/>
    <x v="0"/>
    <x v="3"/>
    <s v="Oil"/>
    <n v="14"/>
    <n v="367.1"/>
    <n v="5139.3999999999996"/>
  </r>
  <r>
    <s v="7/24/2023"/>
    <x v="3"/>
    <x v="14"/>
    <x v="3"/>
    <x v="0"/>
    <x v="4"/>
    <s v="Headphones"/>
    <n v="10"/>
    <n v="4678.49"/>
    <n v="46784.9"/>
  </r>
  <r>
    <d v="2023-10-02T00:00:00"/>
    <x v="1"/>
    <x v="11"/>
    <x v="4"/>
    <x v="2"/>
    <x v="3"/>
    <s v="Sugar"/>
    <n v="12"/>
    <n v="1020.42"/>
    <n v="12245.04"/>
  </r>
  <r>
    <s v="5/19/2023"/>
    <x v="4"/>
    <x v="2"/>
    <x v="2"/>
    <x v="1"/>
    <x v="4"/>
    <s v="Laptop"/>
    <n v="15"/>
    <n v="1669.04"/>
    <n v="25035.599999999999"/>
  </r>
  <r>
    <s v="9/17/2023"/>
    <x v="8"/>
    <x v="9"/>
    <x v="0"/>
    <x v="0"/>
    <x v="1"/>
    <s v="Notebook"/>
    <n v="18"/>
    <n v="138.01"/>
    <n v="2484.1799999999998"/>
  </r>
  <r>
    <s v="7/31/2023"/>
    <x v="8"/>
    <x v="7"/>
    <x v="3"/>
    <x v="0"/>
    <x v="1"/>
    <s v="Ruler"/>
    <n v="6"/>
    <n v="3847.76"/>
    <n v="23086.560000000001"/>
  </r>
  <r>
    <d v="2023-09-08T00:00:00"/>
    <x v="7"/>
    <x v="4"/>
    <x v="0"/>
    <x v="0"/>
    <x v="3"/>
    <s v="Lentils"/>
    <n v="4"/>
    <n v="3246.52"/>
    <n v="12986.08"/>
  </r>
  <r>
    <s v="1/30/2023"/>
    <x v="9"/>
    <x v="13"/>
    <x v="4"/>
    <x v="2"/>
    <x v="1"/>
    <s v="Pen"/>
    <n v="14"/>
    <n v="569.91"/>
    <n v="7978.74"/>
  </r>
  <r>
    <d v="2023-12-01T00:00:00"/>
    <x v="6"/>
    <x v="5"/>
    <x v="1"/>
    <x v="1"/>
    <x v="4"/>
    <s v="Laptop"/>
    <n v="15"/>
    <n v="4316.17"/>
    <n v="64742.55"/>
  </r>
  <r>
    <s v="10/20/2023"/>
    <x v="1"/>
    <x v="5"/>
    <x v="1"/>
    <x v="1"/>
    <x v="2"/>
    <s v="Dress"/>
    <n v="17"/>
    <n v="2209.62"/>
    <n v="37563.54"/>
  </r>
  <r>
    <d v="2023-07-10T00:00:00"/>
    <x v="6"/>
    <x v="8"/>
    <x v="4"/>
    <x v="2"/>
    <x v="0"/>
    <s v="Sofa"/>
    <n v="16"/>
    <n v="3296.61"/>
    <n v="52745.760000000002"/>
  </r>
  <r>
    <d v="2023-01-06T00:00:00"/>
    <x v="0"/>
    <x v="13"/>
    <x v="4"/>
    <x v="2"/>
    <x v="0"/>
    <s v="Table"/>
    <n v="13"/>
    <n v="523.83000000000004"/>
    <n v="6809.79"/>
  </r>
  <r>
    <s v="9/13/2023"/>
    <x v="4"/>
    <x v="2"/>
    <x v="2"/>
    <x v="1"/>
    <x v="4"/>
    <s v="Laptop"/>
    <n v="3"/>
    <n v="916.53"/>
    <n v="2749.59"/>
  </r>
  <r>
    <d v="2023-12-06T00:00:00"/>
    <x v="0"/>
    <x v="9"/>
    <x v="0"/>
    <x v="0"/>
    <x v="2"/>
    <s v="Shirt"/>
    <n v="13"/>
    <n v="1836.55"/>
    <n v="23875.15"/>
  </r>
  <r>
    <s v="4/17/2023"/>
    <x v="3"/>
    <x v="11"/>
    <x v="4"/>
    <x v="2"/>
    <x v="2"/>
    <s v="Dress"/>
    <n v="19"/>
    <n v="2253.92"/>
    <n v="42824.480000000003"/>
  </r>
  <r>
    <s v="5/20/2023"/>
    <x v="3"/>
    <x v="9"/>
    <x v="0"/>
    <x v="0"/>
    <x v="0"/>
    <s v="Table"/>
    <n v="13"/>
    <n v="3617.07"/>
    <n v="47021.91"/>
  </r>
  <r>
    <s v="1/31/2023"/>
    <x v="7"/>
    <x v="6"/>
    <x v="2"/>
    <x v="1"/>
    <x v="3"/>
    <s v="Oil"/>
    <n v="5"/>
    <n v="417.76"/>
    <n v="2088.8000000000002"/>
  </r>
  <r>
    <d v="2023-08-06T00:00:00"/>
    <x v="1"/>
    <x v="0"/>
    <x v="0"/>
    <x v="0"/>
    <x v="4"/>
    <s v="Headphones"/>
    <n v="11"/>
    <n v="864.29"/>
    <n v="9507.19"/>
  </r>
  <r>
    <s v="3/19/2023"/>
    <x v="4"/>
    <x v="8"/>
    <x v="4"/>
    <x v="2"/>
    <x v="4"/>
    <s v="Headphones"/>
    <n v="19"/>
    <n v="2006.79"/>
    <n v="38129.01"/>
  </r>
  <r>
    <s v="5/14/2023"/>
    <x v="1"/>
    <x v="7"/>
    <x v="3"/>
    <x v="0"/>
    <x v="3"/>
    <s v="Sugar"/>
    <n v="1"/>
    <n v="403.2"/>
    <n v="403.2"/>
  </r>
  <r>
    <s v="11/17/2023"/>
    <x v="8"/>
    <x v="9"/>
    <x v="0"/>
    <x v="0"/>
    <x v="0"/>
    <s v="Chair"/>
    <n v="7"/>
    <n v="2846.83"/>
    <n v="19927.810000000001"/>
  </r>
  <r>
    <s v="2/14/2023"/>
    <x v="0"/>
    <x v="5"/>
    <x v="1"/>
    <x v="1"/>
    <x v="2"/>
    <s v="Dress"/>
    <n v="5"/>
    <n v="850.9"/>
    <n v="4254.5"/>
  </r>
  <r>
    <s v="10/24/2023"/>
    <x v="5"/>
    <x v="8"/>
    <x v="4"/>
    <x v="2"/>
    <x v="4"/>
    <s v="Smartphone"/>
    <n v="16"/>
    <n v="3337.15"/>
    <n v="53394.400000000001"/>
  </r>
  <r>
    <s v="9/19/2023"/>
    <x v="5"/>
    <x v="2"/>
    <x v="2"/>
    <x v="1"/>
    <x v="2"/>
    <s v="Pants"/>
    <n v="15"/>
    <n v="1299.55"/>
    <n v="19493.25"/>
  </r>
  <r>
    <s v="4/27/2023"/>
    <x v="5"/>
    <x v="2"/>
    <x v="2"/>
    <x v="1"/>
    <x v="3"/>
    <s v="Sugar"/>
    <n v="7"/>
    <n v="4898.57"/>
    <n v="34289.99"/>
  </r>
  <r>
    <d v="2023-07-02T00:00:00"/>
    <x v="0"/>
    <x v="1"/>
    <x v="1"/>
    <x v="1"/>
    <x v="2"/>
    <s v="Jacket"/>
    <n v="11"/>
    <n v="2471.65"/>
    <n v="27188.15"/>
  </r>
  <r>
    <s v="1/16/2023"/>
    <x v="5"/>
    <x v="3"/>
    <x v="1"/>
    <x v="1"/>
    <x v="1"/>
    <s v="Eraser"/>
    <n v="2"/>
    <n v="1125.53"/>
    <n v="2251.06"/>
  </r>
  <r>
    <d v="2023-02-09T00:00:00"/>
    <x v="2"/>
    <x v="7"/>
    <x v="3"/>
    <x v="0"/>
    <x v="0"/>
    <s v="Table"/>
    <n v="13"/>
    <n v="2835.8"/>
    <n v="36865.4"/>
  </r>
  <r>
    <d v="2023-11-04T00:00:00"/>
    <x v="6"/>
    <x v="2"/>
    <x v="2"/>
    <x v="1"/>
    <x v="3"/>
    <s v="Sugar"/>
    <n v="17"/>
    <n v="3973.87"/>
    <n v="67555.789999999994"/>
  </r>
  <r>
    <d v="2023-12-01T00:00:00"/>
    <x v="2"/>
    <x v="9"/>
    <x v="0"/>
    <x v="0"/>
    <x v="4"/>
    <s v="Tablet"/>
    <n v="4"/>
    <n v="1998.26"/>
    <n v="7993.04"/>
  </r>
  <r>
    <d v="2023-08-10T00:00:00"/>
    <x v="4"/>
    <x v="6"/>
    <x v="2"/>
    <x v="1"/>
    <x v="1"/>
    <s v="Eraser"/>
    <n v="7"/>
    <n v="3820.3"/>
    <n v="26742.1"/>
  </r>
  <r>
    <s v="2/22/2023"/>
    <x v="0"/>
    <x v="10"/>
    <x v="3"/>
    <x v="0"/>
    <x v="1"/>
    <s v="Notebook"/>
    <n v="19"/>
    <n v="2199.3200000000002"/>
    <n v="41787.08"/>
  </r>
  <r>
    <s v="6/14/2023"/>
    <x v="3"/>
    <x v="1"/>
    <x v="1"/>
    <x v="1"/>
    <x v="3"/>
    <s v="Lentils"/>
    <n v="6"/>
    <n v="578.64"/>
    <n v="3471.84"/>
  </r>
  <r>
    <d v="2023-07-11T00:00:00"/>
    <x v="4"/>
    <x v="5"/>
    <x v="1"/>
    <x v="1"/>
    <x v="4"/>
    <s v="Laptop"/>
    <n v="5"/>
    <n v="1488.21"/>
    <n v="7441.05"/>
  </r>
  <r>
    <s v="12/22/2023"/>
    <x v="7"/>
    <x v="1"/>
    <x v="1"/>
    <x v="1"/>
    <x v="0"/>
    <s v="Chair"/>
    <n v="19"/>
    <n v="3196.27"/>
    <n v="60729.13"/>
  </r>
  <r>
    <d v="2023-10-06T00:00:00"/>
    <x v="2"/>
    <x v="14"/>
    <x v="3"/>
    <x v="0"/>
    <x v="3"/>
    <s v="Lentils"/>
    <n v="5"/>
    <n v="1018.53"/>
    <n v="5092.6499999999996"/>
  </r>
  <r>
    <s v="6/28/2023"/>
    <x v="6"/>
    <x v="8"/>
    <x v="4"/>
    <x v="2"/>
    <x v="1"/>
    <s v="Pen"/>
    <n v="13"/>
    <n v="1367.15"/>
    <n v="17772.95"/>
  </r>
  <r>
    <d v="2023-07-10T00:00:00"/>
    <x v="2"/>
    <x v="5"/>
    <x v="1"/>
    <x v="1"/>
    <x v="4"/>
    <s v="Tablet"/>
    <n v="19"/>
    <n v="4996.28"/>
    <n v="94929.32"/>
  </r>
  <r>
    <s v="10/31/2023"/>
    <x v="9"/>
    <x v="4"/>
    <x v="0"/>
    <x v="0"/>
    <x v="2"/>
    <s v="Shirt"/>
    <n v="3"/>
    <n v="4447.8999999999996"/>
    <n v="13343.7"/>
  </r>
  <r>
    <s v="5/21/2023"/>
    <x v="6"/>
    <x v="9"/>
    <x v="0"/>
    <x v="0"/>
    <x v="1"/>
    <s v="Ruler"/>
    <n v="10"/>
    <n v="1318.51"/>
    <n v="13185.1"/>
  </r>
  <r>
    <s v="2/19/2023"/>
    <x v="0"/>
    <x v="1"/>
    <x v="1"/>
    <x v="1"/>
    <x v="3"/>
    <s v="Oil"/>
    <n v="20"/>
    <n v="1731.99"/>
    <n v="34639.800000000003"/>
  </r>
  <r>
    <d v="2023-01-12T00:00:00"/>
    <x v="6"/>
    <x v="0"/>
    <x v="0"/>
    <x v="0"/>
    <x v="2"/>
    <s v="Dress"/>
    <n v="12"/>
    <n v="4514.3900000000003"/>
    <n v="54172.68"/>
  </r>
  <r>
    <d v="2023-06-10T00:00:00"/>
    <x v="9"/>
    <x v="2"/>
    <x v="2"/>
    <x v="1"/>
    <x v="0"/>
    <s v="Sofa"/>
    <n v="20"/>
    <n v="1710.93"/>
    <n v="34218.6"/>
  </r>
  <r>
    <d v="2023-10-05T00:00:00"/>
    <x v="1"/>
    <x v="12"/>
    <x v="2"/>
    <x v="1"/>
    <x v="1"/>
    <s v="Eraser"/>
    <n v="19"/>
    <n v="491.53"/>
    <n v="9339.07"/>
  </r>
  <r>
    <d v="2023-12-08T00:00:00"/>
    <x v="9"/>
    <x v="2"/>
    <x v="2"/>
    <x v="1"/>
    <x v="3"/>
    <s v="Lentils"/>
    <n v="6"/>
    <n v="203.88"/>
    <n v="1223.28"/>
  </r>
  <r>
    <s v="3/26/2023"/>
    <x v="1"/>
    <x v="4"/>
    <x v="0"/>
    <x v="0"/>
    <x v="1"/>
    <s v="Ruler"/>
    <n v="19"/>
    <n v="4786.8900000000003"/>
    <n v="90950.91"/>
  </r>
  <r>
    <d v="2023-10-11T00:00:00"/>
    <x v="9"/>
    <x v="6"/>
    <x v="2"/>
    <x v="1"/>
    <x v="2"/>
    <s v="Shirt"/>
    <n v="11"/>
    <n v="2666.77"/>
    <n v="29334.47"/>
  </r>
  <r>
    <d v="2023-10-02T00:00:00"/>
    <x v="3"/>
    <x v="0"/>
    <x v="0"/>
    <x v="0"/>
    <x v="4"/>
    <s v="Headphones"/>
    <n v="19"/>
    <n v="2174.7600000000002"/>
    <n v="41320.44"/>
  </r>
  <r>
    <s v="8/25/2023"/>
    <x v="3"/>
    <x v="14"/>
    <x v="3"/>
    <x v="0"/>
    <x v="1"/>
    <s v="Notebook"/>
    <n v="1"/>
    <n v="1678.18"/>
    <n v="1678.18"/>
  </r>
  <r>
    <s v="4/26/2023"/>
    <x v="5"/>
    <x v="0"/>
    <x v="0"/>
    <x v="0"/>
    <x v="4"/>
    <s v="Smartphone"/>
    <n v="20"/>
    <n v="2163.9499999999998"/>
    <n v="43279"/>
  </r>
  <r>
    <d v="2023-05-12T00:00:00"/>
    <x v="3"/>
    <x v="0"/>
    <x v="0"/>
    <x v="0"/>
    <x v="0"/>
    <s v="Table"/>
    <n v="18"/>
    <n v="3511.28"/>
    <n v="63203.040000000001"/>
  </r>
  <r>
    <d v="2023-05-01T00:00:00"/>
    <x v="1"/>
    <x v="6"/>
    <x v="2"/>
    <x v="1"/>
    <x v="1"/>
    <s v="Pen"/>
    <n v="13"/>
    <n v="2979.65"/>
    <n v="38735.449999999997"/>
  </r>
  <r>
    <s v="3/18/2023"/>
    <x v="8"/>
    <x v="0"/>
    <x v="0"/>
    <x v="0"/>
    <x v="2"/>
    <s v="Pants"/>
    <n v="4"/>
    <n v="2985.48"/>
    <n v="11941.92"/>
  </r>
  <r>
    <s v="4/20/2023"/>
    <x v="4"/>
    <x v="6"/>
    <x v="2"/>
    <x v="1"/>
    <x v="1"/>
    <s v="Eraser"/>
    <n v="18"/>
    <n v="3989.44"/>
    <n v="71809.919999999998"/>
  </r>
  <r>
    <s v="9/26/2023"/>
    <x v="4"/>
    <x v="7"/>
    <x v="3"/>
    <x v="0"/>
    <x v="4"/>
    <s v="Tablet"/>
    <n v="14"/>
    <n v="2251.87"/>
    <n v="31526.18"/>
  </r>
  <r>
    <d v="2023-09-04T00:00:00"/>
    <x v="9"/>
    <x v="10"/>
    <x v="3"/>
    <x v="0"/>
    <x v="3"/>
    <s v="Oil"/>
    <n v="8"/>
    <n v="2519.3000000000002"/>
    <n v="20154.400000000001"/>
  </r>
  <r>
    <s v="7/16/2023"/>
    <x v="2"/>
    <x v="6"/>
    <x v="2"/>
    <x v="1"/>
    <x v="2"/>
    <s v="Dress"/>
    <n v="3"/>
    <n v="1129.8800000000001"/>
    <n v="3389.64"/>
  </r>
  <r>
    <d v="2023-06-10T00:00:00"/>
    <x v="0"/>
    <x v="7"/>
    <x v="3"/>
    <x v="0"/>
    <x v="0"/>
    <s v="Sofa"/>
    <n v="15"/>
    <n v="4146.03"/>
    <n v="62190.45"/>
  </r>
  <r>
    <d v="2023-07-06T00:00:00"/>
    <x v="8"/>
    <x v="0"/>
    <x v="0"/>
    <x v="0"/>
    <x v="0"/>
    <s v="Bed"/>
    <n v="4"/>
    <n v="3564.22"/>
    <n v="14256.88"/>
  </r>
  <r>
    <s v="11/16/2023"/>
    <x v="8"/>
    <x v="1"/>
    <x v="1"/>
    <x v="1"/>
    <x v="0"/>
    <s v="Sofa"/>
    <n v="14"/>
    <n v="414.51"/>
    <n v="5803.14"/>
  </r>
  <r>
    <s v="1/25/2023"/>
    <x v="9"/>
    <x v="7"/>
    <x v="3"/>
    <x v="0"/>
    <x v="0"/>
    <s v="Bed"/>
    <n v="11"/>
    <n v="1788.39"/>
    <n v="19672.29"/>
  </r>
  <r>
    <s v="11/28/2023"/>
    <x v="5"/>
    <x v="12"/>
    <x v="2"/>
    <x v="1"/>
    <x v="2"/>
    <s v="Jacket"/>
    <n v="6"/>
    <n v="2867.98"/>
    <n v="17207.88"/>
  </r>
  <r>
    <s v="7/16/2023"/>
    <x v="3"/>
    <x v="0"/>
    <x v="0"/>
    <x v="0"/>
    <x v="2"/>
    <s v="Dress"/>
    <n v="6"/>
    <n v="3566.53"/>
    <n v="21399.18"/>
  </r>
  <r>
    <d v="2023-04-09T00:00:00"/>
    <x v="7"/>
    <x v="10"/>
    <x v="3"/>
    <x v="0"/>
    <x v="1"/>
    <s v="Eraser"/>
    <n v="13"/>
    <n v="2669.5"/>
    <n v="34703.5"/>
  </r>
  <r>
    <d v="2023-06-08T00:00:00"/>
    <x v="6"/>
    <x v="5"/>
    <x v="1"/>
    <x v="1"/>
    <x v="3"/>
    <s v="Oil"/>
    <n v="6"/>
    <n v="3842.46"/>
    <n v="23054.76"/>
  </r>
  <r>
    <s v="5/29/2023"/>
    <x v="4"/>
    <x v="9"/>
    <x v="0"/>
    <x v="0"/>
    <x v="0"/>
    <s v="Table"/>
    <n v="13"/>
    <n v="1419.3"/>
    <n v="18450.900000000001"/>
  </r>
  <r>
    <d v="2023-02-04T00:00:00"/>
    <x v="3"/>
    <x v="8"/>
    <x v="4"/>
    <x v="2"/>
    <x v="4"/>
    <s v="Headphones"/>
    <n v="1"/>
    <n v="3187.31"/>
    <n v="3187.31"/>
  </r>
  <r>
    <d v="2023-02-11T00:00:00"/>
    <x v="0"/>
    <x v="2"/>
    <x v="2"/>
    <x v="1"/>
    <x v="3"/>
    <s v="Oil"/>
    <n v="12"/>
    <n v="1837.2"/>
    <n v="22046.400000000001"/>
  </r>
  <r>
    <s v="12/25/2023"/>
    <x v="3"/>
    <x v="7"/>
    <x v="3"/>
    <x v="0"/>
    <x v="4"/>
    <s v="Tablet"/>
    <n v="2"/>
    <n v="4081.92"/>
    <n v="8163.84"/>
  </r>
  <r>
    <s v="8/28/2023"/>
    <x v="1"/>
    <x v="7"/>
    <x v="3"/>
    <x v="0"/>
    <x v="3"/>
    <s v="Lentils"/>
    <n v="20"/>
    <n v="3184.86"/>
    <n v="63697.2"/>
  </r>
  <r>
    <s v="1/31/2023"/>
    <x v="4"/>
    <x v="1"/>
    <x v="1"/>
    <x v="1"/>
    <x v="0"/>
    <s v="Sofa"/>
    <n v="8"/>
    <n v="3402.24"/>
    <n v="27217.919999999998"/>
  </r>
  <r>
    <d v="2023-02-09T00:00:00"/>
    <x v="4"/>
    <x v="4"/>
    <x v="0"/>
    <x v="0"/>
    <x v="0"/>
    <s v="Sofa"/>
    <n v="10"/>
    <n v="2750.69"/>
    <n v="27506.9"/>
  </r>
  <r>
    <d v="2023-11-03T00:00:00"/>
    <x v="9"/>
    <x v="9"/>
    <x v="0"/>
    <x v="0"/>
    <x v="4"/>
    <s v="Headphones"/>
    <n v="13"/>
    <n v="4090.9"/>
    <n v="53181.7"/>
  </r>
  <r>
    <d v="2023-11-07T00:00:00"/>
    <x v="8"/>
    <x v="2"/>
    <x v="2"/>
    <x v="1"/>
    <x v="3"/>
    <s v="Sugar"/>
    <n v="3"/>
    <n v="4234"/>
    <n v="12702"/>
  </r>
  <r>
    <d v="2023-06-06T00:00:00"/>
    <x v="9"/>
    <x v="3"/>
    <x v="1"/>
    <x v="1"/>
    <x v="4"/>
    <s v="Smartphone"/>
    <n v="12"/>
    <n v="1701.3"/>
    <n v="20415.599999999999"/>
  </r>
  <r>
    <d v="2023-05-07T00:00:00"/>
    <x v="7"/>
    <x v="5"/>
    <x v="1"/>
    <x v="1"/>
    <x v="4"/>
    <s v="Tablet"/>
    <n v="18"/>
    <n v="1599.01"/>
    <n v="28782.18"/>
  </r>
  <r>
    <s v="5/30/2023"/>
    <x v="7"/>
    <x v="12"/>
    <x v="2"/>
    <x v="1"/>
    <x v="4"/>
    <s v="Headphones"/>
    <n v="11"/>
    <n v="4564.7299999999996"/>
    <n v="50212.03"/>
  </r>
  <r>
    <d v="2023-03-07T00:00:00"/>
    <x v="0"/>
    <x v="7"/>
    <x v="3"/>
    <x v="0"/>
    <x v="0"/>
    <s v="Bed"/>
    <n v="14"/>
    <n v="3507.75"/>
    <n v="49108.5"/>
  </r>
  <r>
    <s v="3/26/2023"/>
    <x v="6"/>
    <x v="13"/>
    <x v="4"/>
    <x v="2"/>
    <x v="1"/>
    <s v="Eraser"/>
    <n v="4"/>
    <n v="810.38"/>
    <n v="3241.52"/>
  </r>
  <r>
    <s v="6/20/2023"/>
    <x v="0"/>
    <x v="9"/>
    <x v="0"/>
    <x v="0"/>
    <x v="4"/>
    <s v="Smartphone"/>
    <n v="7"/>
    <n v="698.8"/>
    <n v="4891.6000000000004"/>
  </r>
  <r>
    <d v="2023-10-09T00:00:00"/>
    <x v="8"/>
    <x v="1"/>
    <x v="1"/>
    <x v="1"/>
    <x v="4"/>
    <s v="Tablet"/>
    <n v="14"/>
    <n v="2833.44"/>
    <n v="39668.160000000003"/>
  </r>
  <r>
    <s v="3/15/2023"/>
    <x v="3"/>
    <x v="2"/>
    <x v="2"/>
    <x v="1"/>
    <x v="3"/>
    <s v="Sugar"/>
    <n v="20"/>
    <n v="2409.6799999999998"/>
    <n v="48193.599999999999"/>
  </r>
  <r>
    <d v="2023-06-09T00:00:00"/>
    <x v="8"/>
    <x v="5"/>
    <x v="1"/>
    <x v="1"/>
    <x v="3"/>
    <s v="Oil"/>
    <n v="17"/>
    <n v="2448.5100000000002"/>
    <n v="41624.67"/>
  </r>
  <r>
    <d v="2023-10-08T00:00:00"/>
    <x v="9"/>
    <x v="5"/>
    <x v="1"/>
    <x v="1"/>
    <x v="2"/>
    <s v="Pants"/>
    <n v="7"/>
    <n v="4029.58"/>
    <n v="28207.06"/>
  </r>
  <r>
    <s v="9/14/2023"/>
    <x v="3"/>
    <x v="3"/>
    <x v="1"/>
    <x v="1"/>
    <x v="3"/>
    <s v="Rice"/>
    <n v="15"/>
    <n v="3999.29"/>
    <n v="59989.35"/>
  </r>
  <r>
    <s v="8/30/2023"/>
    <x v="5"/>
    <x v="6"/>
    <x v="2"/>
    <x v="1"/>
    <x v="1"/>
    <s v="Pen"/>
    <n v="17"/>
    <n v="583.88"/>
    <n v="9925.9599999999991"/>
  </r>
  <r>
    <d v="2023-02-08T00:00:00"/>
    <x v="9"/>
    <x v="10"/>
    <x v="3"/>
    <x v="0"/>
    <x v="2"/>
    <s v="Shirt"/>
    <n v="7"/>
    <n v="1319.32"/>
    <n v="9235.24"/>
  </r>
  <r>
    <s v="5/22/2023"/>
    <x v="4"/>
    <x v="0"/>
    <x v="0"/>
    <x v="0"/>
    <x v="0"/>
    <s v="Chair"/>
    <n v="15"/>
    <n v="2698.6"/>
    <n v="40479"/>
  </r>
  <r>
    <s v="6/30/2023"/>
    <x v="2"/>
    <x v="2"/>
    <x v="2"/>
    <x v="1"/>
    <x v="1"/>
    <s v="Pen"/>
    <n v="19"/>
    <n v="4364.6400000000003"/>
    <n v="82928.160000000003"/>
  </r>
  <r>
    <s v="4/17/2023"/>
    <x v="7"/>
    <x v="3"/>
    <x v="1"/>
    <x v="1"/>
    <x v="0"/>
    <s v="Bed"/>
    <n v="8"/>
    <n v="4740.97"/>
    <n v="37927.760000000002"/>
  </r>
  <r>
    <s v="5/14/2023"/>
    <x v="4"/>
    <x v="6"/>
    <x v="2"/>
    <x v="1"/>
    <x v="1"/>
    <s v="Pen"/>
    <n v="4"/>
    <n v="917.97"/>
    <n v="3671.88"/>
  </r>
  <r>
    <d v="2023-09-05T00:00:00"/>
    <x v="4"/>
    <x v="10"/>
    <x v="3"/>
    <x v="0"/>
    <x v="2"/>
    <s v="Pants"/>
    <n v="10"/>
    <n v="224.53"/>
    <n v="2245.3000000000002"/>
  </r>
  <r>
    <s v="2/16/2023"/>
    <x v="1"/>
    <x v="13"/>
    <x v="4"/>
    <x v="2"/>
    <x v="1"/>
    <s v="Pen"/>
    <n v="1"/>
    <n v="3246.08"/>
    <n v="3246.08"/>
  </r>
  <r>
    <s v="11/18/2023"/>
    <x v="2"/>
    <x v="0"/>
    <x v="0"/>
    <x v="0"/>
    <x v="0"/>
    <s v="Chair"/>
    <n v="16"/>
    <n v="1411.33"/>
    <n v="22581.279999999999"/>
  </r>
  <r>
    <d v="2023-05-05T00:00:00"/>
    <x v="0"/>
    <x v="5"/>
    <x v="1"/>
    <x v="1"/>
    <x v="2"/>
    <s v="Jacket"/>
    <n v="19"/>
    <n v="2174.06"/>
    <n v="41307.14"/>
  </r>
  <r>
    <d v="2023-10-04T00:00:00"/>
    <x v="0"/>
    <x v="3"/>
    <x v="1"/>
    <x v="1"/>
    <x v="3"/>
    <s v="Rice"/>
    <n v="2"/>
    <n v="1194.4000000000001"/>
    <n v="2388.8000000000002"/>
  </r>
  <r>
    <s v="9/19/2023"/>
    <x v="8"/>
    <x v="10"/>
    <x v="3"/>
    <x v="0"/>
    <x v="2"/>
    <s v="Pants"/>
    <n v="2"/>
    <n v="3726.58"/>
    <n v="7453.16"/>
  </r>
  <r>
    <d v="2023-08-06T00:00:00"/>
    <x v="5"/>
    <x v="5"/>
    <x v="1"/>
    <x v="1"/>
    <x v="0"/>
    <s v="Sofa"/>
    <n v="5"/>
    <n v="1599.65"/>
    <n v="7998.25"/>
  </r>
  <r>
    <s v="11/28/2023"/>
    <x v="7"/>
    <x v="11"/>
    <x v="4"/>
    <x v="2"/>
    <x v="0"/>
    <s v="Table"/>
    <n v="16"/>
    <n v="1628.19"/>
    <n v="26051.040000000001"/>
  </r>
  <r>
    <s v="5/24/2023"/>
    <x v="7"/>
    <x v="2"/>
    <x v="2"/>
    <x v="1"/>
    <x v="2"/>
    <s v="Shirt"/>
    <n v="17"/>
    <n v="3381.75"/>
    <n v="57489.75"/>
  </r>
  <r>
    <s v="10/30/2023"/>
    <x v="1"/>
    <x v="6"/>
    <x v="2"/>
    <x v="1"/>
    <x v="1"/>
    <s v="Ruler"/>
    <n v="18"/>
    <n v="3627.09"/>
    <n v="65287.62"/>
  </r>
  <r>
    <s v="5/31/2023"/>
    <x v="0"/>
    <x v="10"/>
    <x v="3"/>
    <x v="0"/>
    <x v="3"/>
    <s v="Lentils"/>
    <n v="2"/>
    <n v="3106.64"/>
    <n v="6213.28"/>
  </r>
  <r>
    <d v="2023-10-03T00:00:00"/>
    <x v="0"/>
    <x v="9"/>
    <x v="0"/>
    <x v="0"/>
    <x v="4"/>
    <s v="Laptop"/>
    <n v="15"/>
    <n v="4310.01"/>
    <n v="64650.15"/>
  </r>
  <r>
    <d v="2023-03-03T00:00:00"/>
    <x v="6"/>
    <x v="14"/>
    <x v="3"/>
    <x v="0"/>
    <x v="0"/>
    <s v="Table"/>
    <n v="14"/>
    <n v="3352.19"/>
    <n v="46930.66"/>
  </r>
  <r>
    <s v="5/15/2023"/>
    <x v="3"/>
    <x v="11"/>
    <x v="4"/>
    <x v="2"/>
    <x v="4"/>
    <s v="Smartphone"/>
    <n v="18"/>
    <n v="214.47"/>
    <n v="3860.46"/>
  </r>
  <r>
    <s v="3/15/2023"/>
    <x v="0"/>
    <x v="12"/>
    <x v="2"/>
    <x v="1"/>
    <x v="3"/>
    <s v="Lentils"/>
    <n v="3"/>
    <n v="1810.87"/>
    <n v="5432.61"/>
  </r>
  <r>
    <s v="1/30/2023"/>
    <x v="8"/>
    <x v="8"/>
    <x v="4"/>
    <x v="2"/>
    <x v="0"/>
    <s v="Sofa"/>
    <n v="3"/>
    <n v="1105.46"/>
    <n v="3316.38"/>
  </r>
  <r>
    <s v="8/28/2023"/>
    <x v="9"/>
    <x v="4"/>
    <x v="0"/>
    <x v="0"/>
    <x v="3"/>
    <s v="Rice"/>
    <n v="10"/>
    <n v="3707.43"/>
    <n v="37074.300000000003"/>
  </r>
  <r>
    <d v="2023-10-10T00:00:00"/>
    <x v="7"/>
    <x v="3"/>
    <x v="1"/>
    <x v="1"/>
    <x v="4"/>
    <s v="Smartphone"/>
    <n v="18"/>
    <n v="584.4"/>
    <n v="10519.2"/>
  </r>
  <r>
    <s v="2/28/2023"/>
    <x v="1"/>
    <x v="12"/>
    <x v="2"/>
    <x v="1"/>
    <x v="0"/>
    <s v="Sofa"/>
    <n v="1"/>
    <n v="2498.7399999999998"/>
    <n v="2498.7399999999998"/>
  </r>
  <r>
    <d v="2023-07-03T00:00:00"/>
    <x v="4"/>
    <x v="2"/>
    <x v="2"/>
    <x v="1"/>
    <x v="4"/>
    <s v="Smartphone"/>
    <n v="17"/>
    <n v="2460.73"/>
    <n v="41832.410000000003"/>
  </r>
  <r>
    <d v="2023-12-01T00:00:00"/>
    <x v="8"/>
    <x v="0"/>
    <x v="0"/>
    <x v="0"/>
    <x v="0"/>
    <s v="Table"/>
    <n v="13"/>
    <n v="4630.9799999999996"/>
    <n v="60202.74"/>
  </r>
  <r>
    <d v="2023-11-11T00:00:00"/>
    <x v="3"/>
    <x v="2"/>
    <x v="2"/>
    <x v="1"/>
    <x v="4"/>
    <s v="Tablet"/>
    <n v="3"/>
    <n v="4324.88"/>
    <n v="12974.64"/>
  </r>
  <r>
    <d v="2023-12-10T00:00:00"/>
    <x v="0"/>
    <x v="8"/>
    <x v="4"/>
    <x v="2"/>
    <x v="4"/>
    <s v="Tablet"/>
    <n v="20"/>
    <n v="4049.4"/>
    <n v="80988"/>
  </r>
  <r>
    <d v="2023-08-10T00:00:00"/>
    <x v="1"/>
    <x v="14"/>
    <x v="3"/>
    <x v="0"/>
    <x v="3"/>
    <s v="Oil"/>
    <n v="16"/>
    <n v="2347.21"/>
    <n v="37555.360000000001"/>
  </r>
  <r>
    <s v="11/24/2023"/>
    <x v="1"/>
    <x v="9"/>
    <x v="0"/>
    <x v="0"/>
    <x v="2"/>
    <s v="Jacket"/>
    <n v="2"/>
    <n v="3743.52"/>
    <n v="7487.04"/>
  </r>
  <r>
    <s v="10/22/2023"/>
    <x v="2"/>
    <x v="6"/>
    <x v="2"/>
    <x v="1"/>
    <x v="3"/>
    <s v="Sugar"/>
    <n v="8"/>
    <n v="303.48"/>
    <n v="2427.84"/>
  </r>
  <r>
    <s v="9/14/2023"/>
    <x v="7"/>
    <x v="1"/>
    <x v="1"/>
    <x v="1"/>
    <x v="0"/>
    <s v="Bed"/>
    <n v="7"/>
    <n v="1373.41"/>
    <n v="9613.8700000000008"/>
  </r>
  <r>
    <s v="3/21/2023"/>
    <x v="7"/>
    <x v="11"/>
    <x v="4"/>
    <x v="2"/>
    <x v="4"/>
    <s v="Smartphone"/>
    <n v="10"/>
    <n v="3048.2"/>
    <n v="30482"/>
  </r>
  <r>
    <s v="12/30/2023"/>
    <x v="8"/>
    <x v="7"/>
    <x v="3"/>
    <x v="0"/>
    <x v="0"/>
    <s v="Bed"/>
    <n v="20"/>
    <n v="2818.78"/>
    <n v="56375.6"/>
  </r>
  <r>
    <d v="2023-04-11T00:00:00"/>
    <x v="1"/>
    <x v="9"/>
    <x v="0"/>
    <x v="0"/>
    <x v="2"/>
    <s v="Jacket"/>
    <n v="1"/>
    <n v="4647.3"/>
    <n v="4647.3"/>
  </r>
  <r>
    <d v="2023-07-02T00:00:00"/>
    <x v="2"/>
    <x v="10"/>
    <x v="3"/>
    <x v="0"/>
    <x v="2"/>
    <s v="Dress"/>
    <n v="20"/>
    <n v="2302.4699999999998"/>
    <n v="46049.4"/>
  </r>
  <r>
    <s v="3/26/2023"/>
    <x v="9"/>
    <x v="11"/>
    <x v="4"/>
    <x v="2"/>
    <x v="0"/>
    <s v="Bed"/>
    <n v="17"/>
    <n v="2805.45"/>
    <n v="47692.65"/>
  </r>
  <r>
    <s v="4/14/2023"/>
    <x v="9"/>
    <x v="1"/>
    <x v="1"/>
    <x v="1"/>
    <x v="4"/>
    <s v="Laptop"/>
    <n v="3"/>
    <n v="413.26"/>
    <n v="1239.78"/>
  </r>
  <r>
    <s v="3/19/2023"/>
    <x v="4"/>
    <x v="10"/>
    <x v="3"/>
    <x v="0"/>
    <x v="2"/>
    <s v="Pants"/>
    <n v="17"/>
    <n v="3203.04"/>
    <n v="54451.68"/>
  </r>
  <r>
    <s v="4/14/2023"/>
    <x v="5"/>
    <x v="7"/>
    <x v="3"/>
    <x v="0"/>
    <x v="2"/>
    <s v="Dress"/>
    <n v="4"/>
    <n v="1906.89"/>
    <n v="7627.56"/>
  </r>
  <r>
    <s v="6/26/2023"/>
    <x v="8"/>
    <x v="8"/>
    <x v="4"/>
    <x v="2"/>
    <x v="3"/>
    <s v="Oil"/>
    <n v="14"/>
    <n v="3829.68"/>
    <n v="53615.519999999997"/>
  </r>
  <r>
    <s v="4/24/2023"/>
    <x v="1"/>
    <x v="5"/>
    <x v="1"/>
    <x v="1"/>
    <x v="1"/>
    <s v="Ruler"/>
    <n v="19"/>
    <n v="2636.08"/>
    <n v="50085.52"/>
  </r>
  <r>
    <d v="2023-11-08T00:00:00"/>
    <x v="0"/>
    <x v="1"/>
    <x v="1"/>
    <x v="1"/>
    <x v="4"/>
    <s v="Headphones"/>
    <n v="13"/>
    <n v="3994.86"/>
    <n v="51933.18"/>
  </r>
  <r>
    <s v="6/25/2023"/>
    <x v="4"/>
    <x v="7"/>
    <x v="3"/>
    <x v="0"/>
    <x v="1"/>
    <s v="Eraser"/>
    <n v="12"/>
    <n v="1554.75"/>
    <n v="18657"/>
  </r>
  <r>
    <d v="2023-07-01T00:00:00"/>
    <x v="5"/>
    <x v="6"/>
    <x v="2"/>
    <x v="1"/>
    <x v="1"/>
    <s v="Notebook"/>
    <n v="9"/>
    <n v="4674.04"/>
    <n v="42066.36"/>
  </r>
  <r>
    <d v="2023-04-02T00:00:00"/>
    <x v="5"/>
    <x v="14"/>
    <x v="3"/>
    <x v="0"/>
    <x v="0"/>
    <s v="Table"/>
    <n v="2"/>
    <n v="1252.3"/>
    <n v="2504.6"/>
  </r>
  <r>
    <s v="9/30/2023"/>
    <x v="3"/>
    <x v="12"/>
    <x v="2"/>
    <x v="1"/>
    <x v="1"/>
    <s v="Eraser"/>
    <n v="15"/>
    <n v="1738.86"/>
    <n v="26082.9"/>
  </r>
  <r>
    <s v="10/30/2023"/>
    <x v="1"/>
    <x v="10"/>
    <x v="3"/>
    <x v="0"/>
    <x v="2"/>
    <s v="Pants"/>
    <n v="4"/>
    <n v="2527.15"/>
    <n v="10108.6"/>
  </r>
  <r>
    <d v="2023-01-02T00:00:00"/>
    <x v="3"/>
    <x v="7"/>
    <x v="3"/>
    <x v="0"/>
    <x v="2"/>
    <s v="Dress"/>
    <n v="17"/>
    <n v="4247.5600000000004"/>
    <n v="72208.52"/>
  </r>
  <r>
    <s v="12/19/2023"/>
    <x v="8"/>
    <x v="5"/>
    <x v="1"/>
    <x v="1"/>
    <x v="3"/>
    <s v="Lentils"/>
    <n v="8"/>
    <n v="978.4"/>
    <n v="7827.2"/>
  </r>
  <r>
    <d v="2023-03-08T00:00:00"/>
    <x v="8"/>
    <x v="14"/>
    <x v="3"/>
    <x v="0"/>
    <x v="0"/>
    <s v="Sofa"/>
    <n v="5"/>
    <n v="1530.16"/>
    <n v="7650.8"/>
  </r>
  <r>
    <d v="2023-05-02T00:00:00"/>
    <x v="9"/>
    <x v="1"/>
    <x v="1"/>
    <x v="1"/>
    <x v="0"/>
    <s v="Sofa"/>
    <n v="15"/>
    <n v="4748.62"/>
    <n v="71229.3"/>
  </r>
  <r>
    <s v="11/19/2023"/>
    <x v="8"/>
    <x v="2"/>
    <x v="2"/>
    <x v="1"/>
    <x v="0"/>
    <s v="Table"/>
    <n v="5"/>
    <n v="4402.72"/>
    <n v="22013.599999999999"/>
  </r>
  <r>
    <d v="2023-10-07T00:00:00"/>
    <x v="0"/>
    <x v="4"/>
    <x v="0"/>
    <x v="0"/>
    <x v="2"/>
    <s v="Dress"/>
    <n v="16"/>
    <n v="3858.12"/>
    <n v="61729.919999999998"/>
  </r>
  <r>
    <s v="1/30/2023"/>
    <x v="2"/>
    <x v="14"/>
    <x v="3"/>
    <x v="0"/>
    <x v="3"/>
    <s v="Rice"/>
    <n v="10"/>
    <n v="4939.99"/>
    <n v="49399.9"/>
  </r>
  <r>
    <s v="7/21/2023"/>
    <x v="0"/>
    <x v="1"/>
    <x v="1"/>
    <x v="1"/>
    <x v="0"/>
    <s v="Chair"/>
    <n v="8"/>
    <n v="2394.87"/>
    <n v="19158.96"/>
  </r>
  <r>
    <s v="11/27/2023"/>
    <x v="1"/>
    <x v="14"/>
    <x v="3"/>
    <x v="0"/>
    <x v="2"/>
    <s v="Jacket"/>
    <n v="11"/>
    <n v="3277.74"/>
    <n v="36055.14"/>
  </r>
  <r>
    <s v="3/24/2023"/>
    <x v="4"/>
    <x v="2"/>
    <x v="2"/>
    <x v="1"/>
    <x v="0"/>
    <s v="Chair"/>
    <n v="5"/>
    <n v="2411.33"/>
    <n v="12056.65"/>
  </r>
  <r>
    <s v="3/31/2023"/>
    <x v="2"/>
    <x v="7"/>
    <x v="3"/>
    <x v="0"/>
    <x v="1"/>
    <s v="Pen"/>
    <n v="17"/>
    <n v="3844.7"/>
    <n v="65359.9"/>
  </r>
  <r>
    <s v="7/29/2023"/>
    <x v="8"/>
    <x v="1"/>
    <x v="1"/>
    <x v="1"/>
    <x v="2"/>
    <s v="Shirt"/>
    <n v="14"/>
    <n v="816.99"/>
    <n v="11437.86"/>
  </r>
  <r>
    <s v="12/13/2023"/>
    <x v="6"/>
    <x v="5"/>
    <x v="1"/>
    <x v="1"/>
    <x v="4"/>
    <s v="Tablet"/>
    <n v="3"/>
    <n v="3102.92"/>
    <n v="9308.76"/>
  </r>
  <r>
    <s v="2/13/2023"/>
    <x v="3"/>
    <x v="7"/>
    <x v="3"/>
    <x v="0"/>
    <x v="4"/>
    <s v="Laptop"/>
    <n v="11"/>
    <n v="490.34"/>
    <n v="5393.74"/>
  </r>
  <r>
    <s v="9/17/2023"/>
    <x v="5"/>
    <x v="9"/>
    <x v="0"/>
    <x v="0"/>
    <x v="2"/>
    <s v="Shirt"/>
    <n v="6"/>
    <n v="4079.26"/>
    <n v="24475.56"/>
  </r>
  <r>
    <d v="2023-03-03T00:00:00"/>
    <x v="0"/>
    <x v="13"/>
    <x v="4"/>
    <x v="2"/>
    <x v="0"/>
    <s v="Chair"/>
    <n v="12"/>
    <n v="3229.61"/>
    <n v="38755.32"/>
  </r>
  <r>
    <d v="2023-09-10T00:00:00"/>
    <x v="4"/>
    <x v="3"/>
    <x v="1"/>
    <x v="1"/>
    <x v="1"/>
    <s v="Pen"/>
    <n v="16"/>
    <n v="1873.12"/>
    <n v="29969.919999999998"/>
  </r>
  <r>
    <d v="2023-11-03T00:00:00"/>
    <x v="3"/>
    <x v="4"/>
    <x v="0"/>
    <x v="0"/>
    <x v="3"/>
    <s v="Sugar"/>
    <n v="7"/>
    <n v="1640.58"/>
    <n v="11484.06"/>
  </r>
  <r>
    <s v="3/30/2023"/>
    <x v="0"/>
    <x v="0"/>
    <x v="0"/>
    <x v="0"/>
    <x v="4"/>
    <s v="Laptop"/>
    <n v="13"/>
    <n v="4843.21"/>
    <n v="62961.73"/>
  </r>
  <r>
    <s v="10/30/2023"/>
    <x v="9"/>
    <x v="8"/>
    <x v="4"/>
    <x v="2"/>
    <x v="1"/>
    <s v="Ruler"/>
    <n v="13"/>
    <n v="1782.01"/>
    <n v="23166.13"/>
  </r>
  <r>
    <s v="7/29/2023"/>
    <x v="9"/>
    <x v="6"/>
    <x v="2"/>
    <x v="1"/>
    <x v="3"/>
    <s v="Sugar"/>
    <n v="19"/>
    <n v="1120.5999999999999"/>
    <n v="21291.4"/>
  </r>
  <r>
    <s v="2/24/2023"/>
    <x v="6"/>
    <x v="2"/>
    <x v="2"/>
    <x v="1"/>
    <x v="0"/>
    <s v="Bed"/>
    <n v="2"/>
    <n v="1927.02"/>
    <n v="3854.04"/>
  </r>
  <r>
    <s v="2/20/2023"/>
    <x v="3"/>
    <x v="4"/>
    <x v="0"/>
    <x v="0"/>
    <x v="0"/>
    <s v="Sofa"/>
    <n v="15"/>
    <n v="4642.6899999999996"/>
    <n v="69640.350000000006"/>
  </r>
  <r>
    <s v="8/31/2023"/>
    <x v="3"/>
    <x v="4"/>
    <x v="0"/>
    <x v="0"/>
    <x v="1"/>
    <s v="Ruler"/>
    <n v="19"/>
    <n v="3316.87"/>
    <n v="63020.53"/>
  </r>
  <r>
    <d v="2023-04-08T00:00:00"/>
    <x v="1"/>
    <x v="10"/>
    <x v="3"/>
    <x v="0"/>
    <x v="1"/>
    <s v="Notebook"/>
    <n v="19"/>
    <n v="1372.28"/>
    <n v="26073.32"/>
  </r>
  <r>
    <d v="2023-06-01T00:00:00"/>
    <x v="3"/>
    <x v="2"/>
    <x v="2"/>
    <x v="1"/>
    <x v="1"/>
    <s v="Notebook"/>
    <n v="8"/>
    <n v="4786.4799999999996"/>
    <n v="38291.839999999997"/>
  </r>
  <r>
    <s v="1/30/2023"/>
    <x v="2"/>
    <x v="5"/>
    <x v="1"/>
    <x v="1"/>
    <x v="0"/>
    <s v="Sofa"/>
    <n v="18"/>
    <n v="620.92999999999995"/>
    <n v="11176.74"/>
  </r>
  <r>
    <s v="10/15/2023"/>
    <x v="9"/>
    <x v="5"/>
    <x v="1"/>
    <x v="1"/>
    <x v="4"/>
    <s v="Tablet"/>
    <n v="4"/>
    <n v="1241.21"/>
    <n v="4964.84"/>
  </r>
  <r>
    <s v="7/13/2023"/>
    <x v="0"/>
    <x v="9"/>
    <x v="0"/>
    <x v="0"/>
    <x v="4"/>
    <s v="Tablet"/>
    <n v="10"/>
    <n v="1823.34"/>
    <n v="18233.400000000001"/>
  </r>
  <r>
    <d v="2023-08-08T00:00:00"/>
    <x v="8"/>
    <x v="9"/>
    <x v="0"/>
    <x v="0"/>
    <x v="2"/>
    <s v="Pants"/>
    <n v="10"/>
    <n v="4304.71"/>
    <n v="43047.1"/>
  </r>
  <r>
    <s v="9/24/2023"/>
    <x v="9"/>
    <x v="1"/>
    <x v="1"/>
    <x v="1"/>
    <x v="3"/>
    <s v="Sugar"/>
    <n v="11"/>
    <n v="4446.37"/>
    <n v="48910.07"/>
  </r>
  <r>
    <s v="10/28/2023"/>
    <x v="2"/>
    <x v="4"/>
    <x v="0"/>
    <x v="0"/>
    <x v="3"/>
    <s v="Lentils"/>
    <n v="8"/>
    <n v="465.32"/>
    <n v="3722.56"/>
  </r>
  <r>
    <s v="10/22/2023"/>
    <x v="5"/>
    <x v="3"/>
    <x v="1"/>
    <x v="1"/>
    <x v="1"/>
    <s v="Pen"/>
    <n v="1"/>
    <n v="3431.7"/>
    <n v="3431.7"/>
  </r>
  <r>
    <s v="9/29/2023"/>
    <x v="3"/>
    <x v="4"/>
    <x v="0"/>
    <x v="0"/>
    <x v="0"/>
    <s v="Sofa"/>
    <n v="20"/>
    <n v="1365.33"/>
    <n v="27306.6"/>
  </r>
  <r>
    <s v="12/16/2023"/>
    <x v="2"/>
    <x v="1"/>
    <x v="1"/>
    <x v="1"/>
    <x v="4"/>
    <s v="Headphones"/>
    <n v="14"/>
    <n v="2343.4"/>
    <n v="32807.599999999999"/>
  </r>
  <r>
    <d v="2023-06-01T00:00:00"/>
    <x v="7"/>
    <x v="7"/>
    <x v="3"/>
    <x v="0"/>
    <x v="4"/>
    <s v="Laptop"/>
    <n v="15"/>
    <n v="447.71"/>
    <n v="6715.65"/>
  </r>
  <r>
    <d v="2023-05-01T00:00:00"/>
    <x v="7"/>
    <x v="14"/>
    <x v="3"/>
    <x v="0"/>
    <x v="3"/>
    <s v="Oil"/>
    <n v="3"/>
    <n v="2393.7199999999998"/>
    <n v="7181.16"/>
  </r>
  <r>
    <s v="11/27/2023"/>
    <x v="9"/>
    <x v="8"/>
    <x v="4"/>
    <x v="2"/>
    <x v="2"/>
    <s v="Pants"/>
    <n v="20"/>
    <n v="138.6"/>
    <n v="2772"/>
  </r>
  <r>
    <s v="12/31/2023"/>
    <x v="6"/>
    <x v="4"/>
    <x v="0"/>
    <x v="0"/>
    <x v="3"/>
    <s v="Lentils"/>
    <n v="6"/>
    <n v="3119.62"/>
    <n v="18717.72"/>
  </r>
  <r>
    <s v="9/20/2023"/>
    <x v="4"/>
    <x v="5"/>
    <x v="1"/>
    <x v="1"/>
    <x v="4"/>
    <s v="Tablet"/>
    <n v="1"/>
    <n v="4175.7"/>
    <n v="4175.7"/>
  </r>
  <r>
    <s v="12/23/2023"/>
    <x v="8"/>
    <x v="11"/>
    <x v="4"/>
    <x v="2"/>
    <x v="1"/>
    <s v="Pen"/>
    <n v="17"/>
    <n v="2655.23"/>
    <n v="45138.91"/>
  </r>
  <r>
    <d v="2023-02-10T00:00:00"/>
    <x v="7"/>
    <x v="13"/>
    <x v="4"/>
    <x v="2"/>
    <x v="3"/>
    <s v="Oil"/>
    <n v="14"/>
    <n v="4235.22"/>
    <n v="59293.08"/>
  </r>
  <r>
    <s v="5/25/2023"/>
    <x v="0"/>
    <x v="8"/>
    <x v="4"/>
    <x v="2"/>
    <x v="1"/>
    <s v="Pen"/>
    <n v="20"/>
    <n v="3393.01"/>
    <n v="67860.2"/>
  </r>
  <r>
    <d v="2023-02-04T00:00:00"/>
    <x v="7"/>
    <x v="6"/>
    <x v="2"/>
    <x v="1"/>
    <x v="4"/>
    <s v="Headphones"/>
    <n v="14"/>
    <n v="1247.48"/>
    <n v="17464.72"/>
  </r>
  <r>
    <d v="2023-05-08T00:00:00"/>
    <x v="8"/>
    <x v="7"/>
    <x v="3"/>
    <x v="0"/>
    <x v="2"/>
    <s v="Dress"/>
    <n v="20"/>
    <n v="4428.59"/>
    <n v="88571.8"/>
  </r>
  <r>
    <d v="2023-05-12T00:00:00"/>
    <x v="4"/>
    <x v="5"/>
    <x v="1"/>
    <x v="1"/>
    <x v="1"/>
    <s v="Ruler"/>
    <n v="9"/>
    <n v="2251.19"/>
    <n v="20260.71"/>
  </r>
  <r>
    <s v="3/16/2023"/>
    <x v="2"/>
    <x v="1"/>
    <x v="1"/>
    <x v="1"/>
    <x v="4"/>
    <s v="Smartphone"/>
    <n v="19"/>
    <n v="2240.89"/>
    <n v="42576.91"/>
  </r>
  <r>
    <d v="2023-07-10T00:00:00"/>
    <x v="5"/>
    <x v="8"/>
    <x v="4"/>
    <x v="2"/>
    <x v="0"/>
    <s v="Sofa"/>
    <n v="19"/>
    <n v="4089.21"/>
    <n v="77694.990000000005"/>
  </r>
  <r>
    <s v="11/25/2023"/>
    <x v="7"/>
    <x v="1"/>
    <x v="1"/>
    <x v="1"/>
    <x v="3"/>
    <s v="Rice"/>
    <n v="6"/>
    <n v="4286.28"/>
    <n v="25717.68"/>
  </r>
  <r>
    <s v="5/30/2023"/>
    <x v="3"/>
    <x v="3"/>
    <x v="1"/>
    <x v="1"/>
    <x v="4"/>
    <s v="Laptop"/>
    <n v="20"/>
    <n v="1316.67"/>
    <n v="26333.4"/>
  </r>
  <r>
    <s v="1/15/2023"/>
    <x v="7"/>
    <x v="10"/>
    <x v="3"/>
    <x v="0"/>
    <x v="2"/>
    <s v="Jacket"/>
    <n v="17"/>
    <n v="3145.73"/>
    <n v="53477.41"/>
  </r>
  <r>
    <s v="9/18/2023"/>
    <x v="7"/>
    <x v="9"/>
    <x v="0"/>
    <x v="0"/>
    <x v="2"/>
    <s v="Pants"/>
    <n v="10"/>
    <n v="2523.59"/>
    <n v="25235.9"/>
  </r>
  <r>
    <s v="9/26/2023"/>
    <x v="2"/>
    <x v="11"/>
    <x v="4"/>
    <x v="2"/>
    <x v="1"/>
    <s v="Ruler"/>
    <n v="2"/>
    <n v="2851.64"/>
    <n v="5703.28"/>
  </r>
  <r>
    <s v="9/27/2023"/>
    <x v="7"/>
    <x v="9"/>
    <x v="0"/>
    <x v="0"/>
    <x v="1"/>
    <s v="Ruler"/>
    <n v="20"/>
    <n v="3193.18"/>
    <n v="63863.6"/>
  </r>
  <r>
    <s v="3/22/2023"/>
    <x v="2"/>
    <x v="13"/>
    <x v="4"/>
    <x v="2"/>
    <x v="2"/>
    <s v="Pants"/>
    <n v="8"/>
    <n v="4663.82"/>
    <n v="37310.559999999998"/>
  </r>
  <r>
    <d v="2023-01-12T00:00:00"/>
    <x v="5"/>
    <x v="4"/>
    <x v="0"/>
    <x v="0"/>
    <x v="1"/>
    <s v="Notebook"/>
    <n v="13"/>
    <n v="4263.79"/>
    <n v="55429.27"/>
  </r>
  <r>
    <s v="6/16/2023"/>
    <x v="9"/>
    <x v="3"/>
    <x v="1"/>
    <x v="1"/>
    <x v="0"/>
    <s v="Chair"/>
    <n v="11"/>
    <n v="819.85"/>
    <n v="9018.35"/>
  </r>
  <r>
    <s v="2/27/2023"/>
    <x v="8"/>
    <x v="3"/>
    <x v="1"/>
    <x v="1"/>
    <x v="4"/>
    <s v="Tablet"/>
    <n v="8"/>
    <n v="2784.08"/>
    <n v="22272.639999999999"/>
  </r>
  <r>
    <s v="3/17/2023"/>
    <x v="7"/>
    <x v="5"/>
    <x v="1"/>
    <x v="1"/>
    <x v="2"/>
    <s v="Shirt"/>
    <n v="8"/>
    <n v="2240.2199999999998"/>
    <n v="17921.759999999998"/>
  </r>
  <r>
    <d v="2023-06-12T00:00:00"/>
    <x v="1"/>
    <x v="5"/>
    <x v="1"/>
    <x v="1"/>
    <x v="4"/>
    <s v="Headphones"/>
    <n v="18"/>
    <n v="1039.3800000000001"/>
    <n v="18708.84"/>
  </r>
  <r>
    <d v="2023-07-11T00:00:00"/>
    <x v="3"/>
    <x v="10"/>
    <x v="3"/>
    <x v="0"/>
    <x v="3"/>
    <s v="Rice"/>
    <n v="18"/>
    <n v="1297.93"/>
    <n v="23362.74"/>
  </r>
  <r>
    <d v="2023-05-01T00:00:00"/>
    <x v="9"/>
    <x v="4"/>
    <x v="0"/>
    <x v="0"/>
    <x v="0"/>
    <s v="Sofa"/>
    <n v="4"/>
    <n v="4293.74"/>
    <n v="17174.96"/>
  </r>
  <r>
    <s v="8/13/2023"/>
    <x v="4"/>
    <x v="13"/>
    <x v="4"/>
    <x v="2"/>
    <x v="4"/>
    <s v="Headphones"/>
    <n v="11"/>
    <n v="2133.36"/>
    <n v="23466.959999999999"/>
  </r>
  <r>
    <s v="10/22/2023"/>
    <x v="0"/>
    <x v="2"/>
    <x v="2"/>
    <x v="1"/>
    <x v="3"/>
    <s v="Sugar"/>
    <n v="11"/>
    <n v="735.74"/>
    <n v="8093.14"/>
  </r>
  <r>
    <d v="2023-08-03T00:00:00"/>
    <x v="2"/>
    <x v="8"/>
    <x v="4"/>
    <x v="2"/>
    <x v="2"/>
    <s v="Dress"/>
    <n v="14"/>
    <n v="271.27"/>
    <n v="3797.78"/>
  </r>
  <r>
    <d v="2023-10-11T00:00:00"/>
    <x v="2"/>
    <x v="2"/>
    <x v="2"/>
    <x v="1"/>
    <x v="0"/>
    <s v="Table"/>
    <n v="5"/>
    <n v="4759.1899999999996"/>
    <n v="23795.95"/>
  </r>
  <r>
    <d v="2023-10-12T00:00:00"/>
    <x v="1"/>
    <x v="7"/>
    <x v="3"/>
    <x v="0"/>
    <x v="4"/>
    <s v="Laptop"/>
    <n v="11"/>
    <n v="941.97"/>
    <n v="10361.67"/>
  </r>
  <r>
    <d v="2023-11-08T00:00:00"/>
    <x v="1"/>
    <x v="3"/>
    <x v="1"/>
    <x v="1"/>
    <x v="3"/>
    <s v="Oil"/>
    <n v="11"/>
    <n v="2182.46"/>
    <n v="24007.06"/>
  </r>
  <r>
    <s v="12/22/2023"/>
    <x v="1"/>
    <x v="4"/>
    <x v="0"/>
    <x v="0"/>
    <x v="3"/>
    <s v="Sugar"/>
    <n v="10"/>
    <n v="2112.91"/>
    <n v="21129.1"/>
  </r>
  <r>
    <d v="2023-11-02T00:00:00"/>
    <x v="3"/>
    <x v="10"/>
    <x v="3"/>
    <x v="0"/>
    <x v="2"/>
    <s v="Dress"/>
    <n v="13"/>
    <n v="3495.08"/>
    <n v="45436.04"/>
  </r>
  <r>
    <d v="2023-01-06T00:00:00"/>
    <x v="0"/>
    <x v="11"/>
    <x v="4"/>
    <x v="2"/>
    <x v="3"/>
    <s v="Lentils"/>
    <n v="2"/>
    <n v="3439.47"/>
    <n v="6878.94"/>
  </r>
  <r>
    <d v="2023-11-01T00:00:00"/>
    <x v="2"/>
    <x v="14"/>
    <x v="3"/>
    <x v="0"/>
    <x v="0"/>
    <s v="Table"/>
    <n v="20"/>
    <n v="3279.25"/>
    <n v="65585"/>
  </r>
  <r>
    <d v="2023-01-02T00:00:00"/>
    <x v="2"/>
    <x v="13"/>
    <x v="4"/>
    <x v="2"/>
    <x v="0"/>
    <s v="Bed"/>
    <n v="16"/>
    <n v="3320.8"/>
    <n v="53132.800000000003"/>
  </r>
  <r>
    <s v="12/31/2023"/>
    <x v="2"/>
    <x v="9"/>
    <x v="0"/>
    <x v="0"/>
    <x v="2"/>
    <s v="Jacket"/>
    <n v="6"/>
    <n v="4105.1899999999996"/>
    <n v="24631.14"/>
  </r>
  <r>
    <s v="8/31/2023"/>
    <x v="6"/>
    <x v="11"/>
    <x v="4"/>
    <x v="2"/>
    <x v="3"/>
    <s v="Rice"/>
    <n v="7"/>
    <n v="1830.46"/>
    <n v="12813.22"/>
  </r>
  <r>
    <s v="1/28/2023"/>
    <x v="1"/>
    <x v="11"/>
    <x v="4"/>
    <x v="2"/>
    <x v="1"/>
    <s v="Notebook"/>
    <n v="19"/>
    <n v="3901.75"/>
    <n v="74133.25"/>
  </r>
  <r>
    <s v="12/29/2023"/>
    <x v="1"/>
    <x v="1"/>
    <x v="1"/>
    <x v="1"/>
    <x v="3"/>
    <s v="Lentils"/>
    <n v="10"/>
    <n v="3031.91"/>
    <n v="30319.1"/>
  </r>
  <r>
    <d v="2023-07-09T00:00:00"/>
    <x v="5"/>
    <x v="0"/>
    <x v="0"/>
    <x v="0"/>
    <x v="1"/>
    <s v="Ruler"/>
    <n v="18"/>
    <n v="3575.04"/>
    <n v="64350.720000000001"/>
  </r>
  <r>
    <d v="2023-01-09T00:00:00"/>
    <x v="6"/>
    <x v="2"/>
    <x v="2"/>
    <x v="1"/>
    <x v="3"/>
    <s v="Sugar"/>
    <n v="17"/>
    <n v="2920.06"/>
    <n v="49641.02"/>
  </r>
  <r>
    <s v="4/14/2023"/>
    <x v="7"/>
    <x v="4"/>
    <x v="0"/>
    <x v="0"/>
    <x v="4"/>
    <s v="Tablet"/>
    <n v="15"/>
    <n v="2796.48"/>
    <n v="41947.199999999997"/>
  </r>
  <r>
    <s v="3/28/2023"/>
    <x v="4"/>
    <x v="5"/>
    <x v="1"/>
    <x v="1"/>
    <x v="4"/>
    <s v="Laptop"/>
    <n v="1"/>
    <n v="2918.29"/>
    <n v="2918.29"/>
  </r>
  <r>
    <s v="8/21/2023"/>
    <x v="6"/>
    <x v="7"/>
    <x v="3"/>
    <x v="0"/>
    <x v="0"/>
    <s v="Bed"/>
    <n v="10"/>
    <n v="1097.83"/>
    <n v="10978.3"/>
  </r>
  <r>
    <d v="2023-12-02T00:00:00"/>
    <x v="0"/>
    <x v="4"/>
    <x v="0"/>
    <x v="0"/>
    <x v="2"/>
    <s v="Shirt"/>
    <n v="10"/>
    <n v="3391.5"/>
    <n v="33915"/>
  </r>
  <r>
    <d v="2023-09-07T00:00:00"/>
    <x v="8"/>
    <x v="13"/>
    <x v="4"/>
    <x v="2"/>
    <x v="3"/>
    <s v="Sugar"/>
    <n v="13"/>
    <n v="2225.88"/>
    <n v="28936.44"/>
  </r>
  <r>
    <d v="2023-05-12T00:00:00"/>
    <x v="5"/>
    <x v="9"/>
    <x v="0"/>
    <x v="0"/>
    <x v="2"/>
    <s v="Shirt"/>
    <n v="2"/>
    <n v="1559.76"/>
    <n v="3119.52"/>
  </r>
  <r>
    <s v="1/19/2023"/>
    <x v="2"/>
    <x v="14"/>
    <x v="3"/>
    <x v="0"/>
    <x v="3"/>
    <s v="Rice"/>
    <n v="13"/>
    <n v="4719.96"/>
    <n v="61359.48"/>
  </r>
  <r>
    <s v="11/20/2023"/>
    <x v="9"/>
    <x v="2"/>
    <x v="2"/>
    <x v="1"/>
    <x v="1"/>
    <s v="Eraser"/>
    <n v="5"/>
    <n v="1593.02"/>
    <n v="7965.1"/>
  </r>
  <r>
    <s v="4/15/2023"/>
    <x v="4"/>
    <x v="5"/>
    <x v="1"/>
    <x v="1"/>
    <x v="2"/>
    <s v="Dress"/>
    <n v="7"/>
    <n v="1233.6300000000001"/>
    <n v="8635.41"/>
  </r>
  <r>
    <s v="5/14/2023"/>
    <x v="3"/>
    <x v="3"/>
    <x v="1"/>
    <x v="1"/>
    <x v="4"/>
    <s v="Smartphone"/>
    <n v="2"/>
    <n v="2261.69"/>
    <n v="4523.38"/>
  </r>
  <r>
    <d v="2023-11-05T00:00:00"/>
    <x v="6"/>
    <x v="1"/>
    <x v="1"/>
    <x v="1"/>
    <x v="3"/>
    <s v="Sugar"/>
    <n v="15"/>
    <n v="1197.31"/>
    <n v="17959.650000000001"/>
  </r>
  <r>
    <d v="2023-09-04T00:00:00"/>
    <x v="1"/>
    <x v="6"/>
    <x v="2"/>
    <x v="1"/>
    <x v="1"/>
    <s v="Eraser"/>
    <n v="9"/>
    <n v="3441.09"/>
    <n v="30969.81"/>
  </r>
  <r>
    <s v="6/23/2023"/>
    <x v="1"/>
    <x v="13"/>
    <x v="4"/>
    <x v="2"/>
    <x v="0"/>
    <s v="Sofa"/>
    <n v="2"/>
    <n v="3325.99"/>
    <n v="6651.98"/>
  </r>
  <r>
    <s v="8/27/2023"/>
    <x v="9"/>
    <x v="4"/>
    <x v="0"/>
    <x v="0"/>
    <x v="2"/>
    <s v="Dress"/>
    <n v="2"/>
    <n v="991.8"/>
    <n v="1983.6"/>
  </r>
  <r>
    <s v="4/24/2023"/>
    <x v="8"/>
    <x v="13"/>
    <x v="4"/>
    <x v="2"/>
    <x v="3"/>
    <s v="Lentils"/>
    <n v="9"/>
    <n v="4763.01"/>
    <n v="42867.09"/>
  </r>
  <r>
    <s v="4/13/2023"/>
    <x v="7"/>
    <x v="14"/>
    <x v="3"/>
    <x v="0"/>
    <x v="2"/>
    <s v="Jacket"/>
    <n v="8"/>
    <n v="826.71"/>
    <n v="6613.68"/>
  </r>
  <r>
    <s v="10/23/2023"/>
    <x v="0"/>
    <x v="2"/>
    <x v="2"/>
    <x v="1"/>
    <x v="3"/>
    <s v="Oil"/>
    <n v="9"/>
    <n v="209.57"/>
    <n v="1886.13"/>
  </r>
  <r>
    <s v="6/15/2023"/>
    <x v="4"/>
    <x v="2"/>
    <x v="2"/>
    <x v="1"/>
    <x v="4"/>
    <s v="Headphones"/>
    <n v="7"/>
    <n v="2538.4299999999998"/>
    <n v="17769.009999999998"/>
  </r>
  <r>
    <s v="7/27/2023"/>
    <x v="3"/>
    <x v="10"/>
    <x v="3"/>
    <x v="0"/>
    <x v="3"/>
    <s v="Sugar"/>
    <n v="7"/>
    <n v="4116.9799999999996"/>
    <n v="28818.86"/>
  </r>
  <r>
    <d v="2023-01-07T00:00:00"/>
    <x v="1"/>
    <x v="9"/>
    <x v="0"/>
    <x v="0"/>
    <x v="4"/>
    <s v="Laptop"/>
    <n v="20"/>
    <n v="3638.01"/>
    <n v="72760.2"/>
  </r>
  <r>
    <s v="1/28/2023"/>
    <x v="9"/>
    <x v="8"/>
    <x v="4"/>
    <x v="2"/>
    <x v="0"/>
    <s v="Sofa"/>
    <n v="8"/>
    <n v="4523.4399999999996"/>
    <n v="36187.519999999997"/>
  </r>
  <r>
    <s v="9/29/2023"/>
    <x v="3"/>
    <x v="13"/>
    <x v="4"/>
    <x v="2"/>
    <x v="0"/>
    <s v="Bed"/>
    <n v="17"/>
    <n v="2042"/>
    <n v="34714"/>
  </r>
  <r>
    <s v="2/26/2023"/>
    <x v="9"/>
    <x v="3"/>
    <x v="1"/>
    <x v="1"/>
    <x v="1"/>
    <s v="Ruler"/>
    <n v="19"/>
    <n v="2357.62"/>
    <n v="44794.78"/>
  </r>
  <r>
    <d v="2023-06-02T00:00:00"/>
    <x v="2"/>
    <x v="6"/>
    <x v="2"/>
    <x v="1"/>
    <x v="2"/>
    <s v="Dress"/>
    <n v="18"/>
    <n v="941.19"/>
    <n v="16941.419999999998"/>
  </r>
  <r>
    <d v="2023-04-05T00:00:00"/>
    <x v="8"/>
    <x v="1"/>
    <x v="1"/>
    <x v="1"/>
    <x v="2"/>
    <s v="Shirt"/>
    <n v="9"/>
    <n v="3927.83"/>
    <n v="35350.47"/>
  </r>
  <r>
    <s v="11/26/2023"/>
    <x v="1"/>
    <x v="2"/>
    <x v="2"/>
    <x v="1"/>
    <x v="3"/>
    <s v="Sugar"/>
    <n v="1"/>
    <n v="4555.42"/>
    <n v="4555.42"/>
  </r>
  <r>
    <s v="4/30/2023"/>
    <x v="4"/>
    <x v="0"/>
    <x v="0"/>
    <x v="0"/>
    <x v="2"/>
    <s v="Shirt"/>
    <n v="18"/>
    <n v="3271.29"/>
    <n v="58883.22"/>
  </r>
  <r>
    <s v="8/25/2023"/>
    <x v="0"/>
    <x v="14"/>
    <x v="3"/>
    <x v="0"/>
    <x v="4"/>
    <s v="Smartphone"/>
    <n v="15"/>
    <n v="4406.3100000000004"/>
    <n v="66094.649999999994"/>
  </r>
  <r>
    <d v="2023-03-12T00:00:00"/>
    <x v="7"/>
    <x v="10"/>
    <x v="3"/>
    <x v="0"/>
    <x v="1"/>
    <s v="Notebook"/>
    <n v="19"/>
    <n v="2016.56"/>
    <n v="38314.639999999999"/>
  </r>
  <r>
    <s v="9/19/2023"/>
    <x v="7"/>
    <x v="14"/>
    <x v="3"/>
    <x v="0"/>
    <x v="0"/>
    <s v="Chair"/>
    <n v="13"/>
    <n v="3531.03"/>
    <n v="45903.39"/>
  </r>
  <r>
    <s v="11/15/2023"/>
    <x v="5"/>
    <x v="1"/>
    <x v="1"/>
    <x v="1"/>
    <x v="0"/>
    <s v="Table"/>
    <n v="7"/>
    <n v="4077.95"/>
    <n v="28545.65"/>
  </r>
  <r>
    <s v="4/16/2023"/>
    <x v="4"/>
    <x v="6"/>
    <x v="2"/>
    <x v="1"/>
    <x v="3"/>
    <s v="Oil"/>
    <n v="1"/>
    <n v="1628.88"/>
    <n v="1628.88"/>
  </r>
  <r>
    <s v="2/19/2023"/>
    <x v="1"/>
    <x v="2"/>
    <x v="2"/>
    <x v="1"/>
    <x v="2"/>
    <s v="Dress"/>
    <n v="15"/>
    <n v="2093.0300000000002"/>
    <n v="31395.45"/>
  </r>
  <r>
    <d v="2023-03-07T00:00:00"/>
    <x v="8"/>
    <x v="11"/>
    <x v="4"/>
    <x v="2"/>
    <x v="2"/>
    <s v="Shirt"/>
    <n v="14"/>
    <n v="2441.0700000000002"/>
    <n v="34174.980000000003"/>
  </r>
  <r>
    <d v="2023-12-06T00:00:00"/>
    <x v="9"/>
    <x v="9"/>
    <x v="0"/>
    <x v="0"/>
    <x v="0"/>
    <s v="Sofa"/>
    <n v="18"/>
    <n v="134.66999999999999"/>
    <n v="2424.06"/>
  </r>
  <r>
    <d v="2023-10-08T00:00:00"/>
    <x v="1"/>
    <x v="6"/>
    <x v="2"/>
    <x v="1"/>
    <x v="4"/>
    <s v="Headphones"/>
    <n v="8"/>
    <n v="2518.13"/>
    <n v="20145.04"/>
  </r>
  <r>
    <d v="2023-05-08T00:00:00"/>
    <x v="2"/>
    <x v="11"/>
    <x v="4"/>
    <x v="2"/>
    <x v="1"/>
    <s v="Pen"/>
    <n v="1"/>
    <n v="2366.64"/>
    <n v="2366.64"/>
  </r>
  <r>
    <d v="2023-04-12T00:00:00"/>
    <x v="1"/>
    <x v="4"/>
    <x v="0"/>
    <x v="0"/>
    <x v="1"/>
    <s v="Ruler"/>
    <n v="14"/>
    <n v="3167.49"/>
    <n v="44344.86"/>
  </r>
  <r>
    <d v="2023-12-05T00:00:00"/>
    <x v="4"/>
    <x v="4"/>
    <x v="0"/>
    <x v="0"/>
    <x v="4"/>
    <s v="Laptop"/>
    <n v="9"/>
    <n v="109.56"/>
    <n v="986.04"/>
  </r>
  <r>
    <d v="2023-02-06T00:00:00"/>
    <x v="5"/>
    <x v="11"/>
    <x v="4"/>
    <x v="2"/>
    <x v="4"/>
    <s v="Tablet"/>
    <n v="20"/>
    <n v="652.87"/>
    <n v="13057.4"/>
  </r>
  <r>
    <s v="3/15/2023"/>
    <x v="4"/>
    <x v="2"/>
    <x v="2"/>
    <x v="1"/>
    <x v="2"/>
    <s v="Shirt"/>
    <n v="4"/>
    <n v="2563.65"/>
    <n v="10254.6"/>
  </r>
  <r>
    <s v="1/18/2023"/>
    <x v="3"/>
    <x v="5"/>
    <x v="1"/>
    <x v="1"/>
    <x v="3"/>
    <s v="Rice"/>
    <n v="2"/>
    <n v="771.23"/>
    <n v="1542.46"/>
  </r>
  <r>
    <s v="7/30/2023"/>
    <x v="6"/>
    <x v="3"/>
    <x v="1"/>
    <x v="1"/>
    <x v="2"/>
    <s v="Shirt"/>
    <n v="19"/>
    <n v="2290.6799999999998"/>
    <n v="43522.92"/>
  </r>
  <r>
    <s v="1/24/2023"/>
    <x v="4"/>
    <x v="12"/>
    <x v="2"/>
    <x v="1"/>
    <x v="1"/>
    <s v="Eraser"/>
    <n v="9"/>
    <n v="4965.3"/>
    <n v="44687.7"/>
  </r>
  <r>
    <s v="9/26/2023"/>
    <x v="3"/>
    <x v="0"/>
    <x v="0"/>
    <x v="0"/>
    <x v="4"/>
    <s v="Laptop"/>
    <n v="4"/>
    <n v="3684.5"/>
    <n v="14738"/>
  </r>
  <r>
    <d v="2023-11-07T00:00:00"/>
    <x v="2"/>
    <x v="7"/>
    <x v="3"/>
    <x v="0"/>
    <x v="3"/>
    <s v="Oil"/>
    <n v="14"/>
    <n v="4566.12"/>
    <n v="63925.68"/>
  </r>
  <r>
    <s v="11/24/2023"/>
    <x v="5"/>
    <x v="5"/>
    <x v="1"/>
    <x v="1"/>
    <x v="0"/>
    <s v="Chair"/>
    <n v="17"/>
    <n v="2246.8200000000002"/>
    <n v="38195.94"/>
  </r>
  <r>
    <d v="2023-12-06T00:00:00"/>
    <x v="2"/>
    <x v="13"/>
    <x v="4"/>
    <x v="2"/>
    <x v="1"/>
    <s v="Ruler"/>
    <n v="3"/>
    <n v="215.21"/>
    <n v="645.63"/>
  </r>
  <r>
    <s v="12/29/2023"/>
    <x v="9"/>
    <x v="2"/>
    <x v="2"/>
    <x v="1"/>
    <x v="4"/>
    <s v="Headphones"/>
    <n v="7"/>
    <n v="1294.31"/>
    <n v="9060.17"/>
  </r>
  <r>
    <s v="8/20/2023"/>
    <x v="4"/>
    <x v="14"/>
    <x v="3"/>
    <x v="0"/>
    <x v="3"/>
    <s v="Oil"/>
    <n v="9"/>
    <n v="1558.74"/>
    <n v="14028.66"/>
  </r>
  <r>
    <s v="3/24/2023"/>
    <x v="7"/>
    <x v="1"/>
    <x v="1"/>
    <x v="1"/>
    <x v="1"/>
    <s v="Notebook"/>
    <n v="11"/>
    <n v="4382.91"/>
    <n v="48212.01"/>
  </r>
  <r>
    <s v="7/31/2023"/>
    <x v="4"/>
    <x v="13"/>
    <x v="4"/>
    <x v="2"/>
    <x v="4"/>
    <s v="Smartphone"/>
    <n v="6"/>
    <n v="4197.59"/>
    <n v="25185.54"/>
  </r>
  <r>
    <d v="2023-04-02T00:00:00"/>
    <x v="0"/>
    <x v="5"/>
    <x v="1"/>
    <x v="1"/>
    <x v="1"/>
    <s v="Notebook"/>
    <n v="2"/>
    <n v="4137.49"/>
    <n v="8274.98"/>
  </r>
  <r>
    <d v="2023-12-11T00:00:00"/>
    <x v="6"/>
    <x v="11"/>
    <x v="4"/>
    <x v="2"/>
    <x v="4"/>
    <s v="Smartphone"/>
    <n v="16"/>
    <n v="1598.06"/>
    <n v="25568.959999999999"/>
  </r>
  <r>
    <s v="11/20/2023"/>
    <x v="1"/>
    <x v="13"/>
    <x v="4"/>
    <x v="2"/>
    <x v="0"/>
    <s v="Chair"/>
    <n v="3"/>
    <n v="3044.02"/>
    <n v="9132.06"/>
  </r>
  <r>
    <d v="2023-09-01T00:00:00"/>
    <x v="0"/>
    <x v="9"/>
    <x v="0"/>
    <x v="0"/>
    <x v="2"/>
    <s v="Jacket"/>
    <n v="6"/>
    <n v="4270.03"/>
    <n v="25620.18"/>
  </r>
  <r>
    <d v="2023-10-09T00:00:00"/>
    <x v="1"/>
    <x v="9"/>
    <x v="0"/>
    <x v="0"/>
    <x v="0"/>
    <s v="Chair"/>
    <n v="13"/>
    <n v="298.08999999999997"/>
    <n v="3875.17"/>
  </r>
  <r>
    <s v="6/13/2023"/>
    <x v="6"/>
    <x v="14"/>
    <x v="3"/>
    <x v="0"/>
    <x v="4"/>
    <s v="Laptop"/>
    <n v="3"/>
    <n v="1453.68"/>
    <n v="4361.04"/>
  </r>
  <r>
    <s v="7/22/2023"/>
    <x v="8"/>
    <x v="11"/>
    <x v="4"/>
    <x v="2"/>
    <x v="1"/>
    <s v="Pen"/>
    <n v="4"/>
    <n v="1009.78"/>
    <n v="4039.12"/>
  </r>
  <r>
    <d v="2023-04-10T00:00:00"/>
    <x v="0"/>
    <x v="3"/>
    <x v="1"/>
    <x v="1"/>
    <x v="4"/>
    <s v="Headphones"/>
    <n v="12"/>
    <n v="231.07"/>
    <n v="2772.84"/>
  </r>
  <r>
    <d v="2023-06-02T00:00:00"/>
    <x v="0"/>
    <x v="0"/>
    <x v="0"/>
    <x v="0"/>
    <x v="4"/>
    <s v="Laptop"/>
    <n v="12"/>
    <n v="1410.03"/>
    <n v="16920.36"/>
  </r>
  <r>
    <d v="2023-09-02T00:00:00"/>
    <x v="6"/>
    <x v="9"/>
    <x v="0"/>
    <x v="0"/>
    <x v="1"/>
    <s v="Eraser"/>
    <n v="6"/>
    <n v="1610.91"/>
    <n v="9665.4599999999991"/>
  </r>
  <r>
    <d v="2023-07-02T00:00:00"/>
    <x v="7"/>
    <x v="12"/>
    <x v="2"/>
    <x v="1"/>
    <x v="1"/>
    <s v="Eraser"/>
    <n v="7"/>
    <n v="3396.62"/>
    <n v="23776.34"/>
  </r>
  <r>
    <d v="2023-08-07T00:00:00"/>
    <x v="9"/>
    <x v="12"/>
    <x v="2"/>
    <x v="1"/>
    <x v="1"/>
    <s v="Pen"/>
    <n v="14"/>
    <n v="4164.33"/>
    <n v="58300.62"/>
  </r>
  <r>
    <s v="1/13/2023"/>
    <x v="9"/>
    <x v="0"/>
    <x v="0"/>
    <x v="0"/>
    <x v="0"/>
    <s v="Bed"/>
    <n v="12"/>
    <n v="4414.2700000000004"/>
    <n v="52971.24"/>
  </r>
  <r>
    <s v="7/18/2023"/>
    <x v="7"/>
    <x v="5"/>
    <x v="1"/>
    <x v="1"/>
    <x v="2"/>
    <s v="Jacket"/>
    <n v="13"/>
    <n v="3101.42"/>
    <n v="40318.46"/>
  </r>
  <r>
    <s v="8/20/2023"/>
    <x v="8"/>
    <x v="3"/>
    <x v="1"/>
    <x v="1"/>
    <x v="1"/>
    <s v="Notebook"/>
    <n v="18"/>
    <n v="3002.55"/>
    <n v="54045.9"/>
  </r>
  <r>
    <d v="2023-05-02T00:00:00"/>
    <x v="0"/>
    <x v="8"/>
    <x v="4"/>
    <x v="2"/>
    <x v="0"/>
    <s v="Table"/>
    <n v="13"/>
    <n v="2098.65"/>
    <n v="27282.45"/>
  </r>
  <r>
    <d v="2023-06-10T00:00:00"/>
    <x v="7"/>
    <x v="10"/>
    <x v="3"/>
    <x v="0"/>
    <x v="4"/>
    <s v="Smartphone"/>
    <n v="5"/>
    <n v="4106.79"/>
    <n v="20533.95"/>
  </r>
  <r>
    <s v="5/31/2023"/>
    <x v="3"/>
    <x v="11"/>
    <x v="4"/>
    <x v="2"/>
    <x v="2"/>
    <s v="Dress"/>
    <n v="1"/>
    <n v="3041.26"/>
    <n v="3041.26"/>
  </r>
  <r>
    <s v="11/18/2023"/>
    <x v="3"/>
    <x v="4"/>
    <x v="0"/>
    <x v="0"/>
    <x v="1"/>
    <s v="Eraser"/>
    <n v="7"/>
    <n v="4514.21"/>
    <n v="31599.47"/>
  </r>
  <r>
    <s v="3/21/2023"/>
    <x v="9"/>
    <x v="5"/>
    <x v="1"/>
    <x v="1"/>
    <x v="2"/>
    <s v="Dress"/>
    <n v="18"/>
    <n v="2971.68"/>
    <n v="53490.239999999998"/>
  </r>
  <r>
    <s v="8/23/2023"/>
    <x v="6"/>
    <x v="6"/>
    <x v="2"/>
    <x v="1"/>
    <x v="3"/>
    <s v="Lentils"/>
    <n v="6"/>
    <n v="2263.36"/>
    <n v="13580.16"/>
  </r>
  <r>
    <s v="5/13/2023"/>
    <x v="0"/>
    <x v="1"/>
    <x v="1"/>
    <x v="1"/>
    <x v="0"/>
    <s v="Sofa"/>
    <n v="8"/>
    <n v="3859.28"/>
    <n v="30874.240000000002"/>
  </r>
  <r>
    <s v="5/15/2023"/>
    <x v="7"/>
    <x v="0"/>
    <x v="0"/>
    <x v="0"/>
    <x v="0"/>
    <s v="Chair"/>
    <n v="14"/>
    <n v="3044.71"/>
    <n v="42625.94"/>
  </r>
  <r>
    <s v="6/28/2023"/>
    <x v="3"/>
    <x v="12"/>
    <x v="2"/>
    <x v="1"/>
    <x v="1"/>
    <s v="Pen"/>
    <n v="11"/>
    <n v="4653.38"/>
    <n v="51187.18"/>
  </r>
  <r>
    <d v="2023-07-02T00:00:00"/>
    <x v="6"/>
    <x v="6"/>
    <x v="2"/>
    <x v="1"/>
    <x v="0"/>
    <s v="Chair"/>
    <n v="9"/>
    <n v="3425.59"/>
    <n v="30830.31"/>
  </r>
  <r>
    <s v="7/27/2023"/>
    <x v="0"/>
    <x v="4"/>
    <x v="0"/>
    <x v="0"/>
    <x v="2"/>
    <s v="Dress"/>
    <n v="15"/>
    <n v="4671.6899999999996"/>
    <n v="70075.350000000006"/>
  </r>
  <r>
    <s v="9/17/2023"/>
    <x v="1"/>
    <x v="9"/>
    <x v="0"/>
    <x v="0"/>
    <x v="1"/>
    <s v="Notebook"/>
    <n v="5"/>
    <n v="4600.38"/>
    <n v="23001.9"/>
  </r>
  <r>
    <d v="2023-11-06T00:00:00"/>
    <x v="8"/>
    <x v="5"/>
    <x v="1"/>
    <x v="1"/>
    <x v="3"/>
    <s v="Oil"/>
    <n v="19"/>
    <n v="2183.09"/>
    <n v="41478.71"/>
  </r>
  <r>
    <s v="12/20/2023"/>
    <x v="6"/>
    <x v="3"/>
    <x v="1"/>
    <x v="1"/>
    <x v="4"/>
    <s v="Laptop"/>
    <n v="8"/>
    <n v="1850.8"/>
    <n v="14806.4"/>
  </r>
  <r>
    <d v="2023-12-12T00:00:00"/>
    <x v="1"/>
    <x v="11"/>
    <x v="4"/>
    <x v="2"/>
    <x v="4"/>
    <s v="Smartphone"/>
    <n v="12"/>
    <n v="3695.68"/>
    <n v="44348.160000000003"/>
  </r>
  <r>
    <d v="2023-12-07T00:00:00"/>
    <x v="0"/>
    <x v="7"/>
    <x v="3"/>
    <x v="0"/>
    <x v="0"/>
    <s v="Chair"/>
    <n v="14"/>
    <n v="3099.57"/>
    <n v="43393.98"/>
  </r>
  <r>
    <s v="10/23/2023"/>
    <x v="5"/>
    <x v="0"/>
    <x v="0"/>
    <x v="0"/>
    <x v="2"/>
    <s v="Pants"/>
    <n v="1"/>
    <n v="3758.07"/>
    <n v="3758.07"/>
  </r>
  <r>
    <s v="8/25/2023"/>
    <x v="4"/>
    <x v="8"/>
    <x v="4"/>
    <x v="2"/>
    <x v="0"/>
    <s v="Bed"/>
    <n v="5"/>
    <n v="2536.65"/>
    <n v="12683.25"/>
  </r>
  <r>
    <s v="8/22/2023"/>
    <x v="5"/>
    <x v="4"/>
    <x v="0"/>
    <x v="0"/>
    <x v="3"/>
    <s v="Sugar"/>
    <n v="9"/>
    <n v="564.08000000000004"/>
    <n v="5076.72"/>
  </r>
  <r>
    <s v="11/27/2023"/>
    <x v="0"/>
    <x v="2"/>
    <x v="2"/>
    <x v="1"/>
    <x v="3"/>
    <s v="Rice"/>
    <n v="4"/>
    <n v="3762.47"/>
    <n v="15049.88"/>
  </r>
  <r>
    <s v="10/30/2023"/>
    <x v="2"/>
    <x v="14"/>
    <x v="3"/>
    <x v="0"/>
    <x v="3"/>
    <s v="Oil"/>
    <n v="5"/>
    <n v="4180.57"/>
    <n v="20902.849999999999"/>
  </r>
  <r>
    <s v="1/19/2023"/>
    <x v="6"/>
    <x v="12"/>
    <x v="2"/>
    <x v="1"/>
    <x v="0"/>
    <s v="Bed"/>
    <n v="5"/>
    <n v="1947.01"/>
    <n v="9735.0499999999993"/>
  </r>
  <r>
    <s v="7/22/2023"/>
    <x v="0"/>
    <x v="0"/>
    <x v="0"/>
    <x v="0"/>
    <x v="2"/>
    <s v="Shirt"/>
    <n v="13"/>
    <n v="4686.21"/>
    <n v="60920.73"/>
  </r>
  <r>
    <s v="1/18/2023"/>
    <x v="2"/>
    <x v="0"/>
    <x v="0"/>
    <x v="0"/>
    <x v="0"/>
    <s v="Table"/>
    <n v="7"/>
    <n v="4418.17"/>
    <n v="30927.19"/>
  </r>
  <r>
    <d v="2023-09-10T00:00:00"/>
    <x v="6"/>
    <x v="9"/>
    <x v="0"/>
    <x v="0"/>
    <x v="2"/>
    <s v="Jacket"/>
    <n v="19"/>
    <n v="4186.6400000000003"/>
    <n v="79546.16"/>
  </r>
  <r>
    <d v="2023-06-07T00:00:00"/>
    <x v="1"/>
    <x v="10"/>
    <x v="3"/>
    <x v="0"/>
    <x v="0"/>
    <s v="Table"/>
    <n v="6"/>
    <n v="1003.96"/>
    <n v="6023.76"/>
  </r>
  <r>
    <s v="7/20/2023"/>
    <x v="7"/>
    <x v="3"/>
    <x v="1"/>
    <x v="1"/>
    <x v="4"/>
    <s v="Laptop"/>
    <n v="13"/>
    <n v="1028.74"/>
    <n v="13373.62"/>
  </r>
  <r>
    <s v="8/30/2023"/>
    <x v="4"/>
    <x v="1"/>
    <x v="1"/>
    <x v="1"/>
    <x v="2"/>
    <s v="Jacket"/>
    <n v="20"/>
    <n v="4751.1400000000003"/>
    <n v="95022.8"/>
  </r>
  <r>
    <s v="6/14/2023"/>
    <x v="0"/>
    <x v="6"/>
    <x v="2"/>
    <x v="1"/>
    <x v="2"/>
    <s v="Shirt"/>
    <n v="8"/>
    <n v="565.82000000000005"/>
    <n v="4526.5600000000004"/>
  </r>
  <r>
    <s v="8/26/2023"/>
    <x v="2"/>
    <x v="9"/>
    <x v="0"/>
    <x v="0"/>
    <x v="4"/>
    <s v="Smartphone"/>
    <n v="1"/>
    <n v="1903.53"/>
    <n v="1903.53"/>
  </r>
  <r>
    <d v="2023-08-11T00:00:00"/>
    <x v="4"/>
    <x v="14"/>
    <x v="3"/>
    <x v="0"/>
    <x v="1"/>
    <s v="Ruler"/>
    <n v="20"/>
    <n v="3286.69"/>
    <n v="65733.8"/>
  </r>
  <r>
    <s v="5/13/2023"/>
    <x v="0"/>
    <x v="13"/>
    <x v="4"/>
    <x v="2"/>
    <x v="1"/>
    <s v="Pen"/>
    <n v="20"/>
    <n v="1176.4000000000001"/>
    <n v="23528"/>
  </r>
  <r>
    <s v="12/19/2023"/>
    <x v="0"/>
    <x v="10"/>
    <x v="3"/>
    <x v="0"/>
    <x v="1"/>
    <s v="Ruler"/>
    <n v="11"/>
    <n v="2038.9"/>
    <n v="22427.9"/>
  </r>
  <r>
    <d v="2023-01-03T00:00:00"/>
    <x v="2"/>
    <x v="1"/>
    <x v="1"/>
    <x v="1"/>
    <x v="1"/>
    <s v="Notebook"/>
    <n v="19"/>
    <n v="3990.16"/>
    <n v="75813.039999999994"/>
  </r>
  <r>
    <s v="1/21/2023"/>
    <x v="9"/>
    <x v="8"/>
    <x v="4"/>
    <x v="2"/>
    <x v="2"/>
    <s v="Pants"/>
    <n v="15"/>
    <n v="3765.36"/>
    <n v="56480.4"/>
  </r>
  <r>
    <s v="11/22/2023"/>
    <x v="3"/>
    <x v="5"/>
    <x v="1"/>
    <x v="1"/>
    <x v="2"/>
    <s v="Shirt"/>
    <n v="12"/>
    <n v="1794.88"/>
    <n v="21538.560000000001"/>
  </r>
  <r>
    <s v="6/17/2023"/>
    <x v="5"/>
    <x v="2"/>
    <x v="2"/>
    <x v="1"/>
    <x v="4"/>
    <s v="Smartphone"/>
    <n v="19"/>
    <n v="2750.97"/>
    <n v="52268.43"/>
  </r>
  <r>
    <s v="8/23/2023"/>
    <x v="9"/>
    <x v="0"/>
    <x v="0"/>
    <x v="0"/>
    <x v="1"/>
    <s v="Ruler"/>
    <n v="17"/>
    <n v="3677.4"/>
    <n v="62515.8"/>
  </r>
  <r>
    <s v="3/27/2023"/>
    <x v="9"/>
    <x v="9"/>
    <x v="0"/>
    <x v="0"/>
    <x v="1"/>
    <s v="Ruler"/>
    <n v="7"/>
    <n v="2253.94"/>
    <n v="15777.58"/>
  </r>
  <r>
    <s v="5/18/2023"/>
    <x v="2"/>
    <x v="2"/>
    <x v="2"/>
    <x v="1"/>
    <x v="3"/>
    <s v="Sugar"/>
    <n v="8"/>
    <n v="1762.43"/>
    <n v="14099.44"/>
  </r>
  <r>
    <s v="4/28/2023"/>
    <x v="2"/>
    <x v="1"/>
    <x v="1"/>
    <x v="1"/>
    <x v="0"/>
    <s v="Bed"/>
    <n v="20"/>
    <n v="278.55"/>
    <n v="5571"/>
  </r>
  <r>
    <s v="9/21/2023"/>
    <x v="0"/>
    <x v="0"/>
    <x v="0"/>
    <x v="0"/>
    <x v="0"/>
    <s v="Bed"/>
    <n v="7"/>
    <n v="1940.86"/>
    <n v="13586.02"/>
  </r>
  <r>
    <d v="2023-02-10T00:00:00"/>
    <x v="0"/>
    <x v="1"/>
    <x v="1"/>
    <x v="1"/>
    <x v="3"/>
    <s v="Rice"/>
    <n v="1"/>
    <n v="414.64"/>
    <n v="414.64"/>
  </r>
  <r>
    <d v="2023-04-10T00:00:00"/>
    <x v="2"/>
    <x v="12"/>
    <x v="2"/>
    <x v="1"/>
    <x v="1"/>
    <s v="Eraser"/>
    <n v="7"/>
    <n v="1073.54"/>
    <n v="7514.78"/>
  </r>
  <r>
    <d v="2023-08-08T00:00:00"/>
    <x v="5"/>
    <x v="1"/>
    <x v="1"/>
    <x v="1"/>
    <x v="4"/>
    <s v="Tablet"/>
    <n v="2"/>
    <n v="2078.33"/>
    <n v="4156.66"/>
  </r>
  <r>
    <s v="1/13/2023"/>
    <x v="3"/>
    <x v="13"/>
    <x v="4"/>
    <x v="2"/>
    <x v="0"/>
    <s v="Sofa"/>
    <n v="15"/>
    <n v="4188.84"/>
    <n v="62832.6"/>
  </r>
  <r>
    <d v="2023-09-06T00:00:00"/>
    <x v="7"/>
    <x v="1"/>
    <x v="1"/>
    <x v="1"/>
    <x v="2"/>
    <s v="Jacket"/>
    <n v="16"/>
    <n v="3046.66"/>
    <n v="48746.559999999998"/>
  </r>
  <r>
    <d v="2023-06-08T00:00:00"/>
    <x v="5"/>
    <x v="1"/>
    <x v="1"/>
    <x v="1"/>
    <x v="2"/>
    <s v="Jacket"/>
    <n v="13"/>
    <n v="566.55999999999995"/>
    <n v="7365.28"/>
  </r>
  <r>
    <d v="2023-10-08T00:00:00"/>
    <x v="5"/>
    <x v="11"/>
    <x v="4"/>
    <x v="2"/>
    <x v="4"/>
    <s v="Tablet"/>
    <n v="9"/>
    <n v="4726.68"/>
    <n v="42540.12"/>
  </r>
  <r>
    <s v="4/13/2023"/>
    <x v="9"/>
    <x v="12"/>
    <x v="2"/>
    <x v="1"/>
    <x v="2"/>
    <s v="Jacket"/>
    <n v="15"/>
    <n v="2503.4699999999998"/>
    <n v="37552.050000000003"/>
  </r>
  <r>
    <d v="2023-11-07T00:00:00"/>
    <x v="2"/>
    <x v="12"/>
    <x v="2"/>
    <x v="1"/>
    <x v="3"/>
    <s v="Rice"/>
    <n v="13"/>
    <n v="2244.77"/>
    <n v="29182.01"/>
  </r>
  <r>
    <d v="2023-11-12T00:00:00"/>
    <x v="6"/>
    <x v="9"/>
    <x v="0"/>
    <x v="0"/>
    <x v="1"/>
    <s v="Ruler"/>
    <n v="18"/>
    <n v="3559.2"/>
    <n v="64065.599999999999"/>
  </r>
  <r>
    <s v="12/20/2023"/>
    <x v="3"/>
    <x v="6"/>
    <x v="2"/>
    <x v="1"/>
    <x v="2"/>
    <s v="Jacket"/>
    <n v="16"/>
    <n v="4238.6400000000003"/>
    <n v="67818.240000000005"/>
  </r>
  <r>
    <s v="11/14/2023"/>
    <x v="4"/>
    <x v="4"/>
    <x v="0"/>
    <x v="0"/>
    <x v="2"/>
    <s v="Jacket"/>
    <n v="13"/>
    <n v="151.65"/>
    <n v="1971.45"/>
  </r>
  <r>
    <d v="2023-09-06T00:00:00"/>
    <x v="0"/>
    <x v="4"/>
    <x v="0"/>
    <x v="0"/>
    <x v="0"/>
    <s v="Chair"/>
    <n v="11"/>
    <n v="4242.8999999999996"/>
    <n v="46671.9"/>
  </r>
  <r>
    <s v="9/23/2023"/>
    <x v="1"/>
    <x v="10"/>
    <x v="3"/>
    <x v="0"/>
    <x v="3"/>
    <s v="Lentils"/>
    <n v="9"/>
    <n v="4639.93"/>
    <n v="41759.370000000003"/>
  </r>
  <r>
    <s v="7/25/2023"/>
    <x v="6"/>
    <x v="3"/>
    <x v="1"/>
    <x v="1"/>
    <x v="2"/>
    <s v="Pants"/>
    <n v="4"/>
    <n v="4336.92"/>
    <n v="17347.68"/>
  </r>
  <r>
    <s v="4/20/2023"/>
    <x v="0"/>
    <x v="8"/>
    <x v="4"/>
    <x v="2"/>
    <x v="0"/>
    <s v="Table"/>
    <n v="17"/>
    <n v="1005.44"/>
    <n v="17092.48"/>
  </r>
  <r>
    <d v="2023-11-03T00:00:00"/>
    <x v="1"/>
    <x v="6"/>
    <x v="2"/>
    <x v="1"/>
    <x v="0"/>
    <s v="Sofa"/>
    <n v="18"/>
    <n v="2231.56"/>
    <n v="40168.080000000002"/>
  </r>
  <r>
    <d v="2023-11-07T00:00:00"/>
    <x v="0"/>
    <x v="9"/>
    <x v="0"/>
    <x v="0"/>
    <x v="0"/>
    <s v="Bed"/>
    <n v="14"/>
    <n v="3677.67"/>
    <n v="51487.38"/>
  </r>
  <r>
    <s v="3/18/2023"/>
    <x v="2"/>
    <x v="3"/>
    <x v="1"/>
    <x v="1"/>
    <x v="4"/>
    <s v="Tablet"/>
    <n v="6"/>
    <n v="1047.72"/>
    <n v="6286.32"/>
  </r>
  <r>
    <s v="3/15/2023"/>
    <x v="1"/>
    <x v="3"/>
    <x v="1"/>
    <x v="1"/>
    <x v="1"/>
    <s v="Notebook"/>
    <n v="20"/>
    <n v="827.08"/>
    <n v="16541.599999999999"/>
  </r>
  <r>
    <s v="12/30/2023"/>
    <x v="1"/>
    <x v="12"/>
    <x v="2"/>
    <x v="1"/>
    <x v="1"/>
    <s v="Eraser"/>
    <n v="19"/>
    <n v="1726.65"/>
    <n v="32806.35"/>
  </r>
  <r>
    <d v="2023-08-05T00:00:00"/>
    <x v="4"/>
    <x v="2"/>
    <x v="2"/>
    <x v="1"/>
    <x v="1"/>
    <s v="Pen"/>
    <n v="17"/>
    <n v="2339.5700000000002"/>
    <n v="39772.69"/>
  </r>
  <r>
    <d v="2023-02-05T00:00:00"/>
    <x v="4"/>
    <x v="3"/>
    <x v="1"/>
    <x v="1"/>
    <x v="2"/>
    <s v="Pants"/>
    <n v="8"/>
    <n v="4984.96"/>
    <n v="39879.68"/>
  </r>
  <r>
    <d v="2023-04-05T00:00:00"/>
    <x v="9"/>
    <x v="11"/>
    <x v="4"/>
    <x v="2"/>
    <x v="4"/>
    <s v="Smartphone"/>
    <n v="17"/>
    <n v="3259.21"/>
    <n v="55406.57"/>
  </r>
  <r>
    <s v="8/30/2023"/>
    <x v="1"/>
    <x v="1"/>
    <x v="1"/>
    <x v="1"/>
    <x v="0"/>
    <s v="Table"/>
    <n v="7"/>
    <n v="4847.62"/>
    <n v="33933.339999999997"/>
  </r>
  <r>
    <s v="7/23/2023"/>
    <x v="2"/>
    <x v="5"/>
    <x v="1"/>
    <x v="1"/>
    <x v="3"/>
    <s v="Rice"/>
    <n v="6"/>
    <n v="2260.16"/>
    <n v="13560.96"/>
  </r>
  <r>
    <d v="2023-12-09T00:00:00"/>
    <x v="5"/>
    <x v="13"/>
    <x v="4"/>
    <x v="2"/>
    <x v="0"/>
    <s v="Bed"/>
    <n v="16"/>
    <n v="1795.37"/>
    <n v="28725.919999999998"/>
  </r>
  <r>
    <d v="2023-03-05T00:00:00"/>
    <x v="5"/>
    <x v="14"/>
    <x v="3"/>
    <x v="0"/>
    <x v="4"/>
    <s v="Tablet"/>
    <n v="19"/>
    <n v="2040.79"/>
    <n v="38775.01"/>
  </r>
  <r>
    <s v="7/28/2023"/>
    <x v="8"/>
    <x v="12"/>
    <x v="2"/>
    <x v="1"/>
    <x v="0"/>
    <s v="Chair"/>
    <n v="13"/>
    <n v="1764.64"/>
    <n v="22940.32"/>
  </r>
  <r>
    <s v="8/21/2023"/>
    <x v="0"/>
    <x v="1"/>
    <x v="1"/>
    <x v="1"/>
    <x v="3"/>
    <s v="Rice"/>
    <n v="6"/>
    <n v="746.23"/>
    <n v="4477.38"/>
  </r>
  <r>
    <d v="2023-10-11T00:00:00"/>
    <x v="2"/>
    <x v="13"/>
    <x v="4"/>
    <x v="2"/>
    <x v="0"/>
    <s v="Sofa"/>
    <n v="14"/>
    <n v="2385.9899999999998"/>
    <n v="33403.86"/>
  </r>
  <r>
    <d v="2023-12-04T00:00:00"/>
    <x v="0"/>
    <x v="14"/>
    <x v="3"/>
    <x v="0"/>
    <x v="4"/>
    <s v="Headphones"/>
    <n v="1"/>
    <n v="2362.15"/>
    <n v="2362.15"/>
  </r>
  <r>
    <s v="12/26/2023"/>
    <x v="5"/>
    <x v="13"/>
    <x v="4"/>
    <x v="2"/>
    <x v="2"/>
    <s v="Pants"/>
    <n v="16"/>
    <n v="1236.8"/>
    <n v="19788.8"/>
  </r>
  <r>
    <d v="2023-08-02T00:00:00"/>
    <x v="3"/>
    <x v="13"/>
    <x v="4"/>
    <x v="2"/>
    <x v="4"/>
    <s v="Laptop"/>
    <n v="17"/>
    <n v="1248.03"/>
    <n v="21216.51"/>
  </r>
  <r>
    <d v="2023-03-06T00:00:00"/>
    <x v="8"/>
    <x v="11"/>
    <x v="4"/>
    <x v="2"/>
    <x v="1"/>
    <s v="Eraser"/>
    <n v="16"/>
    <n v="665.83"/>
    <n v="10653.28"/>
  </r>
  <r>
    <d v="2023-06-05T00:00:00"/>
    <x v="0"/>
    <x v="9"/>
    <x v="0"/>
    <x v="0"/>
    <x v="4"/>
    <s v="Smartphone"/>
    <n v="16"/>
    <n v="615.70000000000005"/>
    <n v="9851.2000000000007"/>
  </r>
  <r>
    <s v="6/26/2023"/>
    <x v="6"/>
    <x v="12"/>
    <x v="2"/>
    <x v="1"/>
    <x v="1"/>
    <s v="Notebook"/>
    <n v="13"/>
    <n v="3616.99"/>
    <n v="47020.87"/>
  </r>
  <r>
    <d v="2023-08-06T00:00:00"/>
    <x v="9"/>
    <x v="3"/>
    <x v="1"/>
    <x v="1"/>
    <x v="2"/>
    <s v="Pants"/>
    <n v="9"/>
    <n v="1940.11"/>
    <n v="17460.990000000002"/>
  </r>
  <r>
    <s v="4/20/2023"/>
    <x v="7"/>
    <x v="3"/>
    <x v="1"/>
    <x v="1"/>
    <x v="4"/>
    <s v="Laptop"/>
    <n v="16"/>
    <n v="1064.93"/>
    <n v="17038.88"/>
  </r>
  <r>
    <d v="2023-11-02T00:00:00"/>
    <x v="7"/>
    <x v="4"/>
    <x v="0"/>
    <x v="0"/>
    <x v="2"/>
    <s v="Jacket"/>
    <n v="2"/>
    <n v="4845.74"/>
    <n v="9691.48"/>
  </r>
  <r>
    <s v="8/30/2023"/>
    <x v="3"/>
    <x v="6"/>
    <x v="2"/>
    <x v="1"/>
    <x v="3"/>
    <s v="Oil"/>
    <n v="3"/>
    <n v="4766.28"/>
    <n v="14298.84"/>
  </r>
  <r>
    <d v="2023-11-03T00:00:00"/>
    <x v="1"/>
    <x v="13"/>
    <x v="4"/>
    <x v="2"/>
    <x v="2"/>
    <s v="Jacket"/>
    <n v="15"/>
    <n v="3946.23"/>
    <n v="59193.45"/>
  </r>
  <r>
    <d v="2023-08-07T00:00:00"/>
    <x v="6"/>
    <x v="7"/>
    <x v="3"/>
    <x v="0"/>
    <x v="2"/>
    <s v="Pants"/>
    <n v="12"/>
    <n v="1804.27"/>
    <n v="21651.24"/>
  </r>
  <r>
    <s v="11/23/2023"/>
    <x v="4"/>
    <x v="0"/>
    <x v="0"/>
    <x v="0"/>
    <x v="4"/>
    <s v="Headphones"/>
    <n v="3"/>
    <n v="2055.4499999999998"/>
    <n v="6166.35"/>
  </r>
  <r>
    <d v="2023-05-10T00:00:00"/>
    <x v="4"/>
    <x v="13"/>
    <x v="4"/>
    <x v="2"/>
    <x v="0"/>
    <s v="Bed"/>
    <n v="5"/>
    <n v="1568.68"/>
    <n v="7843.4"/>
  </r>
  <r>
    <s v="2/18/2023"/>
    <x v="5"/>
    <x v="6"/>
    <x v="2"/>
    <x v="1"/>
    <x v="0"/>
    <s v="Sofa"/>
    <n v="16"/>
    <n v="2288.6799999999998"/>
    <n v="36618.879999999997"/>
  </r>
  <r>
    <d v="2023-07-06T00:00:00"/>
    <x v="8"/>
    <x v="3"/>
    <x v="1"/>
    <x v="1"/>
    <x v="0"/>
    <s v="Chair"/>
    <n v="12"/>
    <n v="2133.0500000000002"/>
    <n v="25596.6"/>
  </r>
  <r>
    <d v="2023-05-04T00:00:00"/>
    <x v="8"/>
    <x v="9"/>
    <x v="0"/>
    <x v="0"/>
    <x v="3"/>
    <s v="Sugar"/>
    <n v="4"/>
    <n v="1208.42"/>
    <n v="4833.68"/>
  </r>
  <r>
    <d v="2023-09-06T00:00:00"/>
    <x v="8"/>
    <x v="8"/>
    <x v="4"/>
    <x v="2"/>
    <x v="1"/>
    <s v="Ruler"/>
    <n v="14"/>
    <n v="630.45000000000005"/>
    <n v="8826.2999999999993"/>
  </r>
  <r>
    <s v="1/22/2023"/>
    <x v="4"/>
    <x v="0"/>
    <x v="0"/>
    <x v="0"/>
    <x v="2"/>
    <s v="Dress"/>
    <n v="14"/>
    <n v="2713.47"/>
    <n v="37988.58"/>
  </r>
  <r>
    <d v="2023-09-04T00:00:00"/>
    <x v="0"/>
    <x v="8"/>
    <x v="4"/>
    <x v="2"/>
    <x v="0"/>
    <s v="Chair"/>
    <n v="7"/>
    <n v="3273.61"/>
    <n v="22915.27"/>
  </r>
  <r>
    <s v="9/20/2023"/>
    <x v="4"/>
    <x v="9"/>
    <x v="0"/>
    <x v="0"/>
    <x v="2"/>
    <s v="Shirt"/>
    <n v="9"/>
    <n v="566.91999999999996"/>
    <n v="5102.28"/>
  </r>
  <r>
    <s v="3/19/2023"/>
    <x v="7"/>
    <x v="6"/>
    <x v="2"/>
    <x v="1"/>
    <x v="4"/>
    <s v="Laptop"/>
    <n v="2"/>
    <n v="3830.39"/>
    <n v="7660.78"/>
  </r>
  <r>
    <s v="11/20/2023"/>
    <x v="3"/>
    <x v="9"/>
    <x v="0"/>
    <x v="0"/>
    <x v="4"/>
    <s v="Smartphone"/>
    <n v="7"/>
    <n v="4456.5"/>
    <n v="31195.5"/>
  </r>
  <r>
    <s v="8/18/2023"/>
    <x v="0"/>
    <x v="5"/>
    <x v="1"/>
    <x v="1"/>
    <x v="1"/>
    <s v="Pen"/>
    <n v="15"/>
    <n v="202.66"/>
    <n v="3039.9"/>
  </r>
  <r>
    <s v="4/20/2023"/>
    <x v="7"/>
    <x v="0"/>
    <x v="0"/>
    <x v="0"/>
    <x v="2"/>
    <s v="Pants"/>
    <n v="10"/>
    <n v="1018.19"/>
    <n v="10181.9"/>
  </r>
  <r>
    <d v="2023-05-04T00:00:00"/>
    <x v="0"/>
    <x v="7"/>
    <x v="3"/>
    <x v="0"/>
    <x v="2"/>
    <s v="Pants"/>
    <n v="4"/>
    <n v="3300.36"/>
    <n v="13201.44"/>
  </r>
  <r>
    <s v="3/23/2023"/>
    <x v="1"/>
    <x v="13"/>
    <x v="4"/>
    <x v="2"/>
    <x v="2"/>
    <s v="Pants"/>
    <n v="12"/>
    <n v="957.01"/>
    <n v="11484.12"/>
  </r>
  <r>
    <s v="11/14/2023"/>
    <x v="1"/>
    <x v="5"/>
    <x v="1"/>
    <x v="1"/>
    <x v="3"/>
    <s v="Rice"/>
    <n v="19"/>
    <n v="1933.19"/>
    <n v="36730.61"/>
  </r>
  <r>
    <s v="7/18/2023"/>
    <x v="2"/>
    <x v="8"/>
    <x v="4"/>
    <x v="2"/>
    <x v="0"/>
    <s v="Chair"/>
    <n v="15"/>
    <n v="834.13"/>
    <n v="12511.95"/>
  </r>
  <r>
    <s v="6/18/2023"/>
    <x v="5"/>
    <x v="6"/>
    <x v="2"/>
    <x v="1"/>
    <x v="1"/>
    <s v="Pen"/>
    <n v="18"/>
    <n v="2535.8200000000002"/>
    <n v="45644.76"/>
  </r>
  <r>
    <d v="2023-10-03T00:00:00"/>
    <x v="1"/>
    <x v="5"/>
    <x v="1"/>
    <x v="1"/>
    <x v="3"/>
    <s v="Oil"/>
    <n v="18"/>
    <n v="2299.9299999999998"/>
    <n v="41398.74"/>
  </r>
  <r>
    <s v="10/15/2023"/>
    <x v="5"/>
    <x v="7"/>
    <x v="3"/>
    <x v="0"/>
    <x v="0"/>
    <s v="Bed"/>
    <n v="5"/>
    <n v="606.49"/>
    <n v="3032.45"/>
  </r>
  <r>
    <s v="3/17/2023"/>
    <x v="4"/>
    <x v="12"/>
    <x v="2"/>
    <x v="1"/>
    <x v="1"/>
    <s v="Eraser"/>
    <n v="6"/>
    <n v="1919.03"/>
    <n v="11514.18"/>
  </r>
  <r>
    <d v="2023-02-06T00:00:00"/>
    <x v="0"/>
    <x v="12"/>
    <x v="2"/>
    <x v="1"/>
    <x v="1"/>
    <s v="Pen"/>
    <n v="9"/>
    <n v="662.41"/>
    <n v="5961.69"/>
  </r>
  <r>
    <d v="2023-09-01T00:00:00"/>
    <x v="9"/>
    <x v="3"/>
    <x v="1"/>
    <x v="1"/>
    <x v="1"/>
    <s v="Notebook"/>
    <n v="18"/>
    <n v="970.52"/>
    <n v="17469.36"/>
  </r>
  <r>
    <d v="2023-05-10T00:00:00"/>
    <x v="8"/>
    <x v="13"/>
    <x v="4"/>
    <x v="2"/>
    <x v="4"/>
    <s v="Smartphone"/>
    <n v="2"/>
    <n v="4112.53"/>
    <n v="8225.06"/>
  </r>
  <r>
    <d v="2023-04-05T00:00:00"/>
    <x v="5"/>
    <x v="6"/>
    <x v="2"/>
    <x v="1"/>
    <x v="4"/>
    <s v="Smartphone"/>
    <n v="4"/>
    <n v="4968.93"/>
    <n v="19875.72"/>
  </r>
  <r>
    <s v="12/21/2023"/>
    <x v="6"/>
    <x v="2"/>
    <x v="2"/>
    <x v="1"/>
    <x v="2"/>
    <s v="Shirt"/>
    <n v="2"/>
    <n v="339.56"/>
    <n v="679.12"/>
  </r>
  <r>
    <s v="7/24/2023"/>
    <x v="1"/>
    <x v="6"/>
    <x v="2"/>
    <x v="1"/>
    <x v="1"/>
    <s v="Ruler"/>
    <n v="3"/>
    <n v="3853.05"/>
    <n v="11559.15"/>
  </r>
  <r>
    <s v="5/16/2023"/>
    <x v="2"/>
    <x v="8"/>
    <x v="4"/>
    <x v="2"/>
    <x v="2"/>
    <s v="Dress"/>
    <n v="11"/>
    <n v="2212.9"/>
    <n v="24341.9"/>
  </r>
  <r>
    <d v="2023-07-06T00:00:00"/>
    <x v="7"/>
    <x v="5"/>
    <x v="1"/>
    <x v="1"/>
    <x v="1"/>
    <s v="Notebook"/>
    <n v="18"/>
    <n v="509.79"/>
    <n v="9176.2199999999993"/>
  </r>
  <r>
    <d v="2023-05-06T00:00:00"/>
    <x v="9"/>
    <x v="2"/>
    <x v="2"/>
    <x v="1"/>
    <x v="0"/>
    <s v="Bed"/>
    <n v="16"/>
    <n v="2724.77"/>
    <n v="43596.32"/>
  </r>
  <r>
    <s v="6/17/2023"/>
    <x v="8"/>
    <x v="0"/>
    <x v="0"/>
    <x v="0"/>
    <x v="2"/>
    <s v="Pants"/>
    <n v="18"/>
    <n v="4718.22"/>
    <n v="84927.96"/>
  </r>
  <r>
    <s v="2/14/2023"/>
    <x v="8"/>
    <x v="3"/>
    <x v="1"/>
    <x v="1"/>
    <x v="4"/>
    <s v="Tablet"/>
    <n v="9"/>
    <n v="4811.76"/>
    <n v="43305.84"/>
  </r>
  <r>
    <d v="2023-07-01T00:00:00"/>
    <x v="0"/>
    <x v="5"/>
    <x v="1"/>
    <x v="1"/>
    <x v="0"/>
    <s v="Chair"/>
    <n v="8"/>
    <n v="4021.86"/>
    <n v="32174.880000000001"/>
  </r>
  <r>
    <s v="1/27/2023"/>
    <x v="9"/>
    <x v="6"/>
    <x v="2"/>
    <x v="1"/>
    <x v="0"/>
    <s v="Bed"/>
    <n v="16"/>
    <n v="4008.72"/>
    <n v="64139.519999999997"/>
  </r>
  <r>
    <s v="8/19/2023"/>
    <x v="0"/>
    <x v="10"/>
    <x v="3"/>
    <x v="0"/>
    <x v="0"/>
    <s v="Chair"/>
    <n v="14"/>
    <n v="4793.38"/>
    <n v="67107.320000000007"/>
  </r>
  <r>
    <s v="1/28/2023"/>
    <x v="5"/>
    <x v="11"/>
    <x v="4"/>
    <x v="2"/>
    <x v="0"/>
    <s v="Sofa"/>
    <n v="14"/>
    <n v="4816.3900000000003"/>
    <n v="67429.460000000006"/>
  </r>
  <r>
    <s v="5/17/2023"/>
    <x v="4"/>
    <x v="14"/>
    <x v="3"/>
    <x v="0"/>
    <x v="0"/>
    <s v="Table"/>
    <n v="6"/>
    <n v="4072.51"/>
    <n v="24435.06"/>
  </r>
  <r>
    <d v="2023-12-03T00:00:00"/>
    <x v="6"/>
    <x v="4"/>
    <x v="0"/>
    <x v="0"/>
    <x v="3"/>
    <s v="Oil"/>
    <n v="2"/>
    <n v="1269.81"/>
    <n v="2539.62"/>
  </r>
  <r>
    <s v="1/22/2023"/>
    <x v="7"/>
    <x v="14"/>
    <x v="3"/>
    <x v="0"/>
    <x v="3"/>
    <s v="Sugar"/>
    <n v="13"/>
    <n v="3071.93"/>
    <n v="39935.089999999997"/>
  </r>
  <r>
    <s v="3/14/2023"/>
    <x v="3"/>
    <x v="7"/>
    <x v="3"/>
    <x v="0"/>
    <x v="2"/>
    <s v="Dress"/>
    <n v="5"/>
    <n v="4686.67"/>
    <n v="23433.35"/>
  </r>
  <r>
    <s v="10/29/2023"/>
    <x v="9"/>
    <x v="0"/>
    <x v="0"/>
    <x v="0"/>
    <x v="0"/>
    <s v="Sofa"/>
    <n v="5"/>
    <n v="4504.17"/>
    <n v="22520.85"/>
  </r>
  <r>
    <s v="7/19/2023"/>
    <x v="0"/>
    <x v="2"/>
    <x v="2"/>
    <x v="1"/>
    <x v="0"/>
    <s v="Table"/>
    <n v="3"/>
    <n v="559.70000000000005"/>
    <n v="1679.1"/>
  </r>
  <r>
    <s v="10/13/2023"/>
    <x v="2"/>
    <x v="6"/>
    <x v="2"/>
    <x v="1"/>
    <x v="3"/>
    <s v="Rice"/>
    <n v="17"/>
    <n v="1975.71"/>
    <n v="33587.07"/>
  </r>
  <r>
    <d v="2023-09-11T00:00:00"/>
    <x v="3"/>
    <x v="11"/>
    <x v="4"/>
    <x v="2"/>
    <x v="0"/>
    <s v="Table"/>
    <n v="8"/>
    <n v="4175.5600000000004"/>
    <n v="33404.480000000003"/>
  </r>
  <r>
    <s v="1/30/2023"/>
    <x v="0"/>
    <x v="6"/>
    <x v="2"/>
    <x v="1"/>
    <x v="4"/>
    <s v="Smartphone"/>
    <n v="14"/>
    <n v="2535.08"/>
    <n v="35491.120000000003"/>
  </r>
  <r>
    <d v="2023-04-07T00:00:00"/>
    <x v="4"/>
    <x v="5"/>
    <x v="1"/>
    <x v="1"/>
    <x v="4"/>
    <s v="Headphones"/>
    <n v="14"/>
    <n v="2161.65"/>
    <n v="30263.1"/>
  </r>
  <r>
    <d v="2023-06-10T00:00:00"/>
    <x v="4"/>
    <x v="11"/>
    <x v="4"/>
    <x v="2"/>
    <x v="4"/>
    <s v="Tablet"/>
    <n v="11"/>
    <n v="3424.45"/>
    <n v="37668.949999999997"/>
  </r>
  <r>
    <s v="8/24/2023"/>
    <x v="6"/>
    <x v="14"/>
    <x v="3"/>
    <x v="0"/>
    <x v="3"/>
    <s v="Lentils"/>
    <n v="10"/>
    <n v="1167.21"/>
    <n v="11672.1"/>
  </r>
  <r>
    <s v="2/26/2023"/>
    <x v="7"/>
    <x v="14"/>
    <x v="3"/>
    <x v="0"/>
    <x v="1"/>
    <s v="Ruler"/>
    <n v="7"/>
    <n v="500.63"/>
    <n v="3504.41"/>
  </r>
  <r>
    <d v="2023-04-11T00:00:00"/>
    <x v="5"/>
    <x v="8"/>
    <x v="4"/>
    <x v="2"/>
    <x v="0"/>
    <s v="Chair"/>
    <n v="10"/>
    <n v="1050.8399999999999"/>
    <n v="10508.4"/>
  </r>
  <r>
    <s v="8/30/2023"/>
    <x v="9"/>
    <x v="12"/>
    <x v="2"/>
    <x v="1"/>
    <x v="0"/>
    <s v="Sofa"/>
    <n v="14"/>
    <n v="3726.3"/>
    <n v="52168.2"/>
  </r>
  <r>
    <s v="10/15/2023"/>
    <x v="3"/>
    <x v="5"/>
    <x v="1"/>
    <x v="1"/>
    <x v="2"/>
    <s v="Pants"/>
    <n v="10"/>
    <n v="651.83000000000004"/>
    <n v="6518.3"/>
  </r>
  <r>
    <s v="6/28/2023"/>
    <x v="6"/>
    <x v="9"/>
    <x v="0"/>
    <x v="0"/>
    <x v="0"/>
    <s v="Chair"/>
    <n v="4"/>
    <n v="1077.23"/>
    <n v="4308.92"/>
  </r>
  <r>
    <s v="6/13/2023"/>
    <x v="9"/>
    <x v="8"/>
    <x v="4"/>
    <x v="2"/>
    <x v="4"/>
    <s v="Laptop"/>
    <n v="15"/>
    <n v="4554.78"/>
    <n v="68321.7"/>
  </r>
  <r>
    <s v="5/26/2023"/>
    <x v="4"/>
    <x v="10"/>
    <x v="3"/>
    <x v="0"/>
    <x v="1"/>
    <s v="Pen"/>
    <n v="19"/>
    <n v="1003.13"/>
    <n v="19059.47"/>
  </r>
  <r>
    <s v="7/26/2023"/>
    <x v="0"/>
    <x v="12"/>
    <x v="2"/>
    <x v="1"/>
    <x v="3"/>
    <s v="Rice"/>
    <n v="7"/>
    <n v="3168.77"/>
    <n v="22181.39"/>
  </r>
  <r>
    <s v="2/20/2023"/>
    <x v="4"/>
    <x v="8"/>
    <x v="4"/>
    <x v="2"/>
    <x v="1"/>
    <s v="Eraser"/>
    <n v="19"/>
    <n v="4528.95"/>
    <n v="86050.05"/>
  </r>
  <r>
    <s v="8/26/2023"/>
    <x v="2"/>
    <x v="12"/>
    <x v="2"/>
    <x v="1"/>
    <x v="4"/>
    <s v="Laptop"/>
    <n v="5"/>
    <n v="2480.84"/>
    <n v="12404.2"/>
  </r>
  <r>
    <d v="2023-05-05T00:00:00"/>
    <x v="7"/>
    <x v="13"/>
    <x v="4"/>
    <x v="2"/>
    <x v="2"/>
    <s v="Jacket"/>
    <n v="11"/>
    <n v="4740.79"/>
    <n v="52148.69"/>
  </r>
  <r>
    <s v="9/15/2023"/>
    <x v="5"/>
    <x v="13"/>
    <x v="4"/>
    <x v="2"/>
    <x v="3"/>
    <s v="Lentils"/>
    <n v="16"/>
    <n v="2687.77"/>
    <n v="43004.32"/>
  </r>
  <r>
    <d v="2023-04-08T00:00:00"/>
    <x v="4"/>
    <x v="3"/>
    <x v="1"/>
    <x v="1"/>
    <x v="3"/>
    <s v="Rice"/>
    <n v="15"/>
    <n v="2472.8000000000002"/>
    <n v="37092"/>
  </r>
  <r>
    <s v="2/15/2023"/>
    <x v="9"/>
    <x v="13"/>
    <x v="4"/>
    <x v="2"/>
    <x v="0"/>
    <s v="Table"/>
    <n v="3"/>
    <n v="3814.12"/>
    <n v="11442.36"/>
  </r>
  <r>
    <s v="2/21/2023"/>
    <x v="9"/>
    <x v="7"/>
    <x v="3"/>
    <x v="0"/>
    <x v="0"/>
    <s v="Bed"/>
    <n v="1"/>
    <n v="2333.7800000000002"/>
    <n v="2333.7800000000002"/>
  </r>
  <r>
    <s v="1/27/2023"/>
    <x v="3"/>
    <x v="0"/>
    <x v="0"/>
    <x v="0"/>
    <x v="3"/>
    <s v="Lentils"/>
    <n v="10"/>
    <n v="2628.56"/>
    <n v="26285.599999999999"/>
  </r>
  <r>
    <s v="9/30/2023"/>
    <x v="2"/>
    <x v="3"/>
    <x v="1"/>
    <x v="1"/>
    <x v="4"/>
    <s v="Headphones"/>
    <n v="16"/>
    <n v="284.02"/>
    <n v="4544.32"/>
  </r>
  <r>
    <s v="8/29/2023"/>
    <x v="6"/>
    <x v="2"/>
    <x v="2"/>
    <x v="1"/>
    <x v="3"/>
    <s v="Rice"/>
    <n v="8"/>
    <n v="1011.67"/>
    <n v="8093.36"/>
  </r>
  <r>
    <d v="2023-08-03T00:00:00"/>
    <x v="7"/>
    <x v="11"/>
    <x v="4"/>
    <x v="2"/>
    <x v="3"/>
    <s v="Sugar"/>
    <n v="6"/>
    <n v="3918.07"/>
    <n v="23508.42"/>
  </r>
  <r>
    <s v="11/23/2023"/>
    <x v="6"/>
    <x v="6"/>
    <x v="2"/>
    <x v="1"/>
    <x v="2"/>
    <s v="Shirt"/>
    <n v="2"/>
    <n v="3313.63"/>
    <n v="6627.26"/>
  </r>
  <r>
    <s v="2/23/2023"/>
    <x v="8"/>
    <x v="1"/>
    <x v="1"/>
    <x v="1"/>
    <x v="2"/>
    <s v="Pants"/>
    <n v="18"/>
    <n v="809.24"/>
    <n v="14566.32"/>
  </r>
  <r>
    <s v="4/18/2023"/>
    <x v="2"/>
    <x v="8"/>
    <x v="4"/>
    <x v="2"/>
    <x v="3"/>
    <s v="Oil"/>
    <n v="2"/>
    <n v="2338.61"/>
    <n v="4677.22"/>
  </r>
  <r>
    <s v="3/25/2023"/>
    <x v="9"/>
    <x v="12"/>
    <x v="2"/>
    <x v="1"/>
    <x v="3"/>
    <s v="Oil"/>
    <n v="18"/>
    <n v="2773.93"/>
    <n v="49930.74"/>
  </r>
  <r>
    <d v="2023-09-03T00:00:00"/>
    <x v="3"/>
    <x v="9"/>
    <x v="0"/>
    <x v="0"/>
    <x v="3"/>
    <s v="Sugar"/>
    <n v="15"/>
    <n v="2540.06"/>
    <n v="38100.9"/>
  </r>
  <r>
    <s v="5/26/2023"/>
    <x v="0"/>
    <x v="11"/>
    <x v="4"/>
    <x v="2"/>
    <x v="2"/>
    <s v="Dress"/>
    <n v="4"/>
    <n v="1178.71"/>
    <n v="4714.84"/>
  </r>
  <r>
    <s v="12/22/2023"/>
    <x v="7"/>
    <x v="1"/>
    <x v="1"/>
    <x v="1"/>
    <x v="3"/>
    <s v="Lentils"/>
    <n v="4"/>
    <n v="4724.33"/>
    <n v="18897.32"/>
  </r>
  <r>
    <s v="8/21/2023"/>
    <x v="7"/>
    <x v="13"/>
    <x v="4"/>
    <x v="2"/>
    <x v="4"/>
    <s v="Smartphone"/>
    <n v="7"/>
    <n v="3481"/>
    <n v="24367"/>
  </r>
  <r>
    <s v="10/16/2023"/>
    <x v="9"/>
    <x v="7"/>
    <x v="3"/>
    <x v="0"/>
    <x v="0"/>
    <s v="Table"/>
    <n v="16"/>
    <n v="4608.55"/>
    <n v="73736.800000000003"/>
  </r>
  <r>
    <s v="10/28/2023"/>
    <x v="8"/>
    <x v="9"/>
    <x v="0"/>
    <x v="0"/>
    <x v="4"/>
    <s v="Tablet"/>
    <n v="10"/>
    <n v="2336.88"/>
    <n v="23368.799999999999"/>
  </r>
  <r>
    <s v="11/24/2023"/>
    <x v="0"/>
    <x v="5"/>
    <x v="1"/>
    <x v="1"/>
    <x v="1"/>
    <s v="Notebook"/>
    <n v="1"/>
    <n v="2993.55"/>
    <n v="2993.55"/>
  </r>
  <r>
    <s v="10/17/2023"/>
    <x v="6"/>
    <x v="3"/>
    <x v="1"/>
    <x v="1"/>
    <x v="2"/>
    <s v="Shirt"/>
    <n v="19"/>
    <n v="4080.77"/>
    <n v="77534.63"/>
  </r>
  <r>
    <s v="8/13/2023"/>
    <x v="1"/>
    <x v="12"/>
    <x v="2"/>
    <x v="1"/>
    <x v="2"/>
    <s v="Jacket"/>
    <n v="4"/>
    <n v="3659.61"/>
    <n v="14638.44"/>
  </r>
  <r>
    <d v="2023-07-02T00:00:00"/>
    <x v="4"/>
    <x v="13"/>
    <x v="4"/>
    <x v="2"/>
    <x v="2"/>
    <s v="Jacket"/>
    <n v="12"/>
    <n v="1819.46"/>
    <n v="21833.52"/>
  </r>
  <r>
    <s v="9/28/2023"/>
    <x v="3"/>
    <x v="5"/>
    <x v="1"/>
    <x v="1"/>
    <x v="4"/>
    <s v="Smartphone"/>
    <n v="13"/>
    <n v="3520.87"/>
    <n v="45771.31"/>
  </r>
  <r>
    <s v="2/22/2023"/>
    <x v="6"/>
    <x v="1"/>
    <x v="1"/>
    <x v="1"/>
    <x v="3"/>
    <s v="Oil"/>
    <n v="14"/>
    <n v="4532.88"/>
    <n v="63460.32"/>
  </r>
  <r>
    <s v="1/26/2023"/>
    <x v="4"/>
    <x v="0"/>
    <x v="0"/>
    <x v="0"/>
    <x v="0"/>
    <s v="Bed"/>
    <n v="6"/>
    <n v="1709.52"/>
    <n v="10257.120000000001"/>
  </r>
  <r>
    <s v="11/29/2023"/>
    <x v="9"/>
    <x v="2"/>
    <x v="2"/>
    <x v="1"/>
    <x v="2"/>
    <s v="Dress"/>
    <n v="10"/>
    <n v="3803.22"/>
    <n v="38032.199999999997"/>
  </r>
  <r>
    <d v="2023-02-01T00:00:00"/>
    <x v="8"/>
    <x v="2"/>
    <x v="2"/>
    <x v="1"/>
    <x v="1"/>
    <s v="Notebook"/>
    <n v="15"/>
    <n v="1853"/>
    <n v="27795"/>
  </r>
  <r>
    <d v="2023-04-02T00:00:00"/>
    <x v="9"/>
    <x v="4"/>
    <x v="0"/>
    <x v="0"/>
    <x v="2"/>
    <s v="Pants"/>
    <n v="2"/>
    <n v="2623.43"/>
    <n v="5246.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0EFFA4-FBA7-409E-BC31-19EC1A5D2E57}"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10">
    <pivotField showAll="0"/>
    <pivotField showAll="0">
      <items count="11">
        <item x="5"/>
        <item x="3"/>
        <item x="8"/>
        <item x="7"/>
        <item x="4"/>
        <item x="9"/>
        <item x="0"/>
        <item x="2"/>
        <item x="6"/>
        <item x="1"/>
        <item t="default"/>
      </items>
    </pivotField>
    <pivotField showAll="0">
      <items count="16">
        <item x="7"/>
        <item x="2"/>
        <item x="5"/>
        <item x="1"/>
        <item x="8"/>
        <item x="12"/>
        <item x="11"/>
        <item x="3"/>
        <item x="4"/>
        <item x="6"/>
        <item x="0"/>
        <item x="13"/>
        <item x="9"/>
        <item x="10"/>
        <item x="14"/>
        <item t="default"/>
      </items>
    </pivotField>
    <pivotField axis="axisRow" showAll="0">
      <items count="6">
        <item x="4"/>
        <item x="3"/>
        <item x="2"/>
        <item x="0"/>
        <item x="1"/>
        <item t="default"/>
      </items>
    </pivotField>
    <pivotField showAll="0">
      <items count="4">
        <item x="2"/>
        <item x="1"/>
        <item x="0"/>
        <item t="default"/>
      </items>
    </pivotField>
    <pivotField showAll="0">
      <items count="6">
        <item x="2"/>
        <item x="4"/>
        <item x="0"/>
        <item x="3"/>
        <item x="1"/>
        <item t="default"/>
      </items>
    </pivotField>
    <pivotField showAll="0"/>
    <pivotField dataField="1" showAll="0"/>
    <pivotField showAll="0"/>
    <pivotField showAll="0"/>
  </pivotFields>
  <rowFields count="1">
    <field x="3"/>
  </rowFields>
  <rowItems count="6">
    <i>
      <x/>
    </i>
    <i>
      <x v="1"/>
    </i>
    <i>
      <x v="2"/>
    </i>
    <i>
      <x v="3"/>
    </i>
    <i>
      <x v="4"/>
    </i>
    <i t="grand">
      <x/>
    </i>
  </rowItems>
  <colItems count="1">
    <i/>
  </colItems>
  <dataFields count="1">
    <dataField name="Sum of Quantity" fld="7" baseField="0" baseItem="0"/>
  </dataFields>
  <chartFormats count="6">
    <chartFormat chart="0" format="18" series="1">
      <pivotArea type="data" outline="0" fieldPosition="0">
        <references count="1">
          <reference field="4294967294" count="1" selected="0">
            <x v="0"/>
          </reference>
        </references>
      </pivotArea>
    </chartFormat>
    <chartFormat chart="0" format="19">
      <pivotArea type="data" outline="0" fieldPosition="0">
        <references count="2">
          <reference field="4294967294" count="1" selected="0">
            <x v="0"/>
          </reference>
          <reference field="3" count="1" selected="0">
            <x v="0"/>
          </reference>
        </references>
      </pivotArea>
    </chartFormat>
    <chartFormat chart="0" format="20">
      <pivotArea type="data" outline="0" fieldPosition="0">
        <references count="2">
          <reference field="4294967294" count="1" selected="0">
            <x v="0"/>
          </reference>
          <reference field="3" count="1" selected="0">
            <x v="1"/>
          </reference>
        </references>
      </pivotArea>
    </chartFormat>
    <chartFormat chart="0" format="21">
      <pivotArea type="data" outline="0" fieldPosition="0">
        <references count="2">
          <reference field="4294967294" count="1" selected="0">
            <x v="0"/>
          </reference>
          <reference field="3" count="1" selected="0">
            <x v="2"/>
          </reference>
        </references>
      </pivotArea>
    </chartFormat>
    <chartFormat chart="0" format="22">
      <pivotArea type="data" outline="0" fieldPosition="0">
        <references count="2">
          <reference field="4294967294" count="1" selected="0">
            <x v="0"/>
          </reference>
          <reference field="3" count="1" selected="0">
            <x v="3"/>
          </reference>
        </references>
      </pivotArea>
    </chartFormat>
    <chartFormat chart="0" format="23">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11955B-5545-4728-8DE4-29E3C7D80894}" name="PivotTable5" cacheId="1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2"/>
          </reference>
        </references>
      </pivotArea>
    </chartFormat>
    <chartFormat chart="1" format="2">
      <pivotArea type="data" outline="0" fieldPosition="0">
        <references count="2">
          <reference field="4294967294" count="1" selected="0">
            <x v="0"/>
          </reference>
          <reference field="1" count="1" selected="0">
            <x v="26"/>
          </reference>
        </references>
      </pivotArea>
    </chartFormat>
    <chartFormat chart="1" format="3">
      <pivotArea type="data" outline="0" fieldPosition="0">
        <references count="2">
          <reference field="4294967294" count="1" selected="0">
            <x v="0"/>
          </reference>
          <reference field="1" count="1" selected="0">
            <x v="70"/>
          </reference>
        </references>
      </pivotArea>
    </chartFormat>
    <chartFormat chart="1" format="4">
      <pivotArea type="data" outline="0" fieldPosition="0">
        <references count="2">
          <reference field="4294967294" count="1" selected="0">
            <x v="0"/>
          </reference>
          <reference field="1" count="1" selected="0">
            <x v="74"/>
          </reference>
        </references>
      </pivotArea>
    </chartFormat>
    <chartFormat chart="1" format="5">
      <pivotArea type="data" outline="0" fieldPosition="0">
        <references count="2">
          <reference field="4294967294" count="1" selected="0">
            <x v="0"/>
          </reference>
          <reference field="1" count="1" selected="0">
            <x v="77"/>
          </reference>
        </references>
      </pivotArea>
    </chartFormat>
  </chartFormat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5B2821-5B60-4015-BC14-869996CFBD10}" name="PivotTable4" cacheId="1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46A05A-F269-4E56-B9FD-F3D66D67A00A}" name="PivotTable3" cacheId="1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 fld="8" baseField="1" baseItem="3"/>
  </dataFields>
  <pivotTableStyleInfo name="PivotStyleDark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16E35B-8963-4D3D-AA63-D54B72F44CC6}" name="PivotTable2" cacheId="1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137"/>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82"/>
    </i>
    <i>
      <x v="111"/>
    </i>
    <i>
      <x v="119"/>
    </i>
  </rowItems>
  <colItems count="1">
    <i/>
  </colItems>
  <dataFields count="1">
    <dataField name=" Total Sales " fld="8" baseField="1" baseItem="3"/>
  </dataFields>
  <chartFormats count="1">
    <chartFormat chart="1"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3944A3E-9584-41E2-967C-8BF612A62B4B}" sourceName="State">
  <pivotTables>
    <pivotTable tabId="19" name="PivotTable1"/>
  </pivotTables>
  <data>
    <tabular pivotCacheId="1777267613">
      <items count="5">
        <i x="4" s="1"/>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877B1F9-AF61-43BD-9E4A-06F3D2360993}" sourceName="Region">
  <pivotTables>
    <pivotTable tabId="21" name="PivotTable5"/>
    <pivotTable tabId="21" name="PivotTable2"/>
  </pivotTables>
  <data>
    <tabular pivotCacheId="1769862428">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36D74DFF-9698-4B0D-826E-0E3DB4E89B18}" cache="Slicer_State" caption="Stat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C8ED096-65CF-4E45-B539-A082BB678A64}"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4.xml"/><Relationship Id="rId7" Type="http://schemas.openxmlformats.org/officeDocument/2006/relationships/ctrlProp" Target="../ctrlProps/ctrlProp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pivotTable" Target="../pivotTables/pivotTable5.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D0486-960F-47CA-8198-9C5A05282638}">
  <sheetPr codeName="Sheet1"/>
  <dimension ref="A1:O501"/>
  <sheetViews>
    <sheetView topLeftCell="B1" workbookViewId="0">
      <selection activeCell="O13" sqref="O13"/>
    </sheetView>
  </sheetViews>
  <sheetFormatPr defaultRowHeight="14.5"/>
  <cols>
    <col min="1" max="1" width="11.26953125" bestFit="1" customWidth="1"/>
    <col min="2" max="2" width="14.90625" bestFit="1" customWidth="1"/>
    <col min="3" max="3" width="13.6328125" customWidth="1"/>
    <col min="4" max="4" width="19.7265625" style="15" customWidth="1"/>
    <col min="5" max="5" width="16.54296875" customWidth="1"/>
    <col min="8" max="8" width="9.7265625" customWidth="1"/>
    <col min="9" max="9" width="8.81640625" customWidth="1"/>
    <col min="10" max="11" width="7.6328125" customWidth="1"/>
    <col min="14" max="14" width="11.26953125" customWidth="1"/>
  </cols>
  <sheetData>
    <row r="1" spans="1:15" ht="15" thickBot="1">
      <c r="A1" s="5" t="s">
        <v>0</v>
      </c>
      <c r="B1" s="5" t="s">
        <v>1</v>
      </c>
      <c r="C1" s="5" t="s">
        <v>1003</v>
      </c>
      <c r="D1" s="11" t="s">
        <v>2</v>
      </c>
      <c r="E1" s="10" t="s">
        <v>3</v>
      </c>
    </row>
    <row r="2" spans="1:15" ht="15" thickBot="1">
      <c r="A2" s="2" t="s">
        <v>4</v>
      </c>
      <c r="B2" s="2" t="s">
        <v>504</v>
      </c>
      <c r="C2" s="2" t="s">
        <v>1004</v>
      </c>
      <c r="D2" s="12">
        <v>41954</v>
      </c>
      <c r="E2" s="9">
        <v>43831</v>
      </c>
      <c r="H2" t="s">
        <v>1305</v>
      </c>
      <c r="I2" t="s">
        <v>1306</v>
      </c>
      <c r="J2" t="s">
        <v>1307</v>
      </c>
      <c r="K2" t="s">
        <v>1308</v>
      </c>
      <c r="L2" t="s">
        <v>1310</v>
      </c>
      <c r="M2" t="s">
        <v>1311</v>
      </c>
      <c r="N2" t="s">
        <v>1312</v>
      </c>
      <c r="O2" t="s">
        <v>1313</v>
      </c>
    </row>
    <row r="3" spans="1:15" ht="15" thickBot="1">
      <c r="A3" s="3" t="s">
        <v>5</v>
      </c>
      <c r="B3" s="3" t="s">
        <v>505</v>
      </c>
      <c r="C3" s="3" t="s">
        <v>1005</v>
      </c>
      <c r="D3" s="13">
        <v>49855</v>
      </c>
      <c r="E3" s="6">
        <v>43862</v>
      </c>
      <c r="H3">
        <v>30</v>
      </c>
      <c r="I3">
        <v>14</v>
      </c>
      <c r="J3">
        <v>74</v>
      </c>
      <c r="K3">
        <f>SUM(H3:J3)+$H$17</f>
        <v>128</v>
      </c>
      <c r="L3">
        <f>MAX(H3:J3)</f>
        <v>74</v>
      </c>
      <c r="M3">
        <f>MIN(H3:J3)</f>
        <v>14</v>
      </c>
      <c r="N3">
        <f>AVERAGE(H3:J3)</f>
        <v>39.333333333333336</v>
      </c>
      <c r="O3">
        <f>COUNT(H3:J3)</f>
        <v>3</v>
      </c>
    </row>
    <row r="4" spans="1:15" ht="15" thickBot="1">
      <c r="A4" s="3" t="s">
        <v>6</v>
      </c>
      <c r="B4" s="3" t="s">
        <v>506</v>
      </c>
      <c r="C4" s="3" t="s">
        <v>1006</v>
      </c>
      <c r="D4" s="13">
        <v>94210</v>
      </c>
      <c r="E4" s="6">
        <v>43891</v>
      </c>
      <c r="H4">
        <v>35</v>
      </c>
      <c r="I4">
        <v>21</v>
      </c>
      <c r="J4">
        <v>79</v>
      </c>
      <c r="K4">
        <f t="shared" ref="K4:K13" si="0">SUM(H4:J4)+$H$17</f>
        <v>145</v>
      </c>
      <c r="L4">
        <f t="shared" ref="L4:L13" si="1">MAX(H4:J4)</f>
        <v>79</v>
      </c>
      <c r="M4">
        <f t="shared" ref="M4:M13" si="2">MIN(H4:J4)</f>
        <v>21</v>
      </c>
      <c r="N4">
        <f t="shared" ref="N4:N13" si="3">AVERAGE(H4:J4)</f>
        <v>45</v>
      </c>
      <c r="O4">
        <f t="shared" ref="O4:O13" si="4">COUNT(H4:J4)</f>
        <v>3</v>
      </c>
    </row>
    <row r="5" spans="1:15" ht="15" thickBot="1">
      <c r="A5" s="3" t="s">
        <v>7</v>
      </c>
      <c r="B5" s="3" t="s">
        <v>507</v>
      </c>
      <c r="C5" s="3" t="s">
        <v>1004</v>
      </c>
      <c r="D5" s="13">
        <v>74689</v>
      </c>
      <c r="E5" s="6">
        <v>43922</v>
      </c>
      <c r="H5">
        <v>62</v>
      </c>
      <c r="I5">
        <v>80</v>
      </c>
      <c r="J5">
        <v>81</v>
      </c>
      <c r="K5">
        <f t="shared" si="0"/>
        <v>233</v>
      </c>
      <c r="L5">
        <f t="shared" si="1"/>
        <v>81</v>
      </c>
      <c r="M5">
        <f t="shared" si="2"/>
        <v>62</v>
      </c>
      <c r="N5">
        <f t="shared" si="3"/>
        <v>74.333333333333329</v>
      </c>
      <c r="O5">
        <f t="shared" si="4"/>
        <v>3</v>
      </c>
    </row>
    <row r="6" spans="1:15" ht="15" thickBot="1">
      <c r="A6" s="3" t="s">
        <v>8</v>
      </c>
      <c r="B6" s="3" t="s">
        <v>508</v>
      </c>
      <c r="C6" s="3" t="s">
        <v>1005</v>
      </c>
      <c r="D6" s="13">
        <v>90652</v>
      </c>
      <c r="E6" s="6">
        <v>43952</v>
      </c>
      <c r="H6">
        <v>51</v>
      </c>
      <c r="I6">
        <v>50</v>
      </c>
      <c r="J6">
        <v>20</v>
      </c>
      <c r="K6">
        <f t="shared" si="0"/>
        <v>131</v>
      </c>
      <c r="L6">
        <f t="shared" si="1"/>
        <v>51</v>
      </c>
      <c r="M6">
        <f t="shared" si="2"/>
        <v>20</v>
      </c>
      <c r="N6">
        <f t="shared" si="3"/>
        <v>40.333333333333336</v>
      </c>
      <c r="O6">
        <f t="shared" si="4"/>
        <v>3</v>
      </c>
    </row>
    <row r="7" spans="1:15" ht="15" thickBot="1">
      <c r="A7" s="3" t="s">
        <v>9</v>
      </c>
      <c r="B7" s="3" t="s">
        <v>506</v>
      </c>
      <c r="C7" s="3" t="s">
        <v>1005</v>
      </c>
      <c r="D7" s="13">
        <v>74820</v>
      </c>
      <c r="E7" s="6">
        <v>43983</v>
      </c>
      <c r="H7">
        <v>43</v>
      </c>
      <c r="I7">
        <v>80</v>
      </c>
      <c r="J7">
        <v>97</v>
      </c>
      <c r="K7">
        <f t="shared" si="0"/>
        <v>230</v>
      </c>
      <c r="L7">
        <f t="shared" si="1"/>
        <v>97</v>
      </c>
      <c r="M7">
        <f t="shared" si="2"/>
        <v>43</v>
      </c>
      <c r="N7">
        <f t="shared" si="3"/>
        <v>73.333333333333329</v>
      </c>
      <c r="O7">
        <f t="shared" si="4"/>
        <v>3</v>
      </c>
    </row>
    <row r="8" spans="1:15" ht="15" thickBot="1">
      <c r="A8" s="3" t="s">
        <v>10</v>
      </c>
      <c r="B8" s="3" t="s">
        <v>509</v>
      </c>
      <c r="C8" s="3" t="s">
        <v>1006</v>
      </c>
      <c r="D8" s="13">
        <v>85206</v>
      </c>
      <c r="E8" s="6">
        <v>44013</v>
      </c>
      <c r="H8">
        <v>91</v>
      </c>
      <c r="I8">
        <v>34</v>
      </c>
      <c r="J8">
        <v>49</v>
      </c>
      <c r="K8">
        <f t="shared" si="0"/>
        <v>184</v>
      </c>
      <c r="L8">
        <f t="shared" si="1"/>
        <v>91</v>
      </c>
      <c r="M8">
        <f t="shared" si="2"/>
        <v>34</v>
      </c>
      <c r="N8">
        <f t="shared" si="3"/>
        <v>58</v>
      </c>
      <c r="O8">
        <f t="shared" si="4"/>
        <v>3</v>
      </c>
    </row>
    <row r="9" spans="1:15" ht="15" thickBot="1">
      <c r="A9" s="3" t="s">
        <v>11</v>
      </c>
      <c r="B9" s="3" t="s">
        <v>510</v>
      </c>
      <c r="C9" s="3" t="s">
        <v>1004</v>
      </c>
      <c r="D9" s="13">
        <v>30924</v>
      </c>
      <c r="E9" s="6">
        <v>44044</v>
      </c>
      <c r="H9">
        <v>50</v>
      </c>
      <c r="I9">
        <v>51</v>
      </c>
      <c r="J9">
        <v>76</v>
      </c>
      <c r="K9">
        <f t="shared" si="0"/>
        <v>187</v>
      </c>
      <c r="L9">
        <f t="shared" si="1"/>
        <v>76</v>
      </c>
      <c r="M9">
        <f t="shared" si="2"/>
        <v>50</v>
      </c>
      <c r="N9">
        <f t="shared" si="3"/>
        <v>59</v>
      </c>
      <c r="O9">
        <f t="shared" si="4"/>
        <v>3</v>
      </c>
    </row>
    <row r="10" spans="1:15" ht="15" thickBot="1">
      <c r="A10" s="3" t="s">
        <v>12</v>
      </c>
      <c r="B10" s="3" t="s">
        <v>511</v>
      </c>
      <c r="C10" s="3" t="s">
        <v>1005</v>
      </c>
      <c r="D10" s="13">
        <v>57737</v>
      </c>
      <c r="E10" s="6">
        <v>44075</v>
      </c>
      <c r="H10">
        <v>33</v>
      </c>
      <c r="I10">
        <v>78</v>
      </c>
      <c r="J10">
        <v>28</v>
      </c>
      <c r="K10">
        <f t="shared" si="0"/>
        <v>149</v>
      </c>
      <c r="L10">
        <f t="shared" si="1"/>
        <v>78</v>
      </c>
      <c r="M10">
        <f t="shared" si="2"/>
        <v>28</v>
      </c>
      <c r="N10">
        <f t="shared" si="3"/>
        <v>46.333333333333336</v>
      </c>
      <c r="O10">
        <f t="shared" si="4"/>
        <v>3</v>
      </c>
    </row>
    <row r="11" spans="1:15" ht="15" thickBot="1">
      <c r="A11" s="3" t="s">
        <v>13</v>
      </c>
      <c r="B11" s="3" t="s">
        <v>512</v>
      </c>
      <c r="C11" s="3" t="s">
        <v>1006</v>
      </c>
      <c r="D11" s="13">
        <v>36000</v>
      </c>
      <c r="E11" s="6">
        <v>44105</v>
      </c>
      <c r="H11">
        <v>68</v>
      </c>
      <c r="I11">
        <v>20</v>
      </c>
      <c r="J11">
        <v>76</v>
      </c>
      <c r="K11">
        <f t="shared" si="0"/>
        <v>174</v>
      </c>
      <c r="L11">
        <f t="shared" si="1"/>
        <v>76</v>
      </c>
      <c r="M11">
        <f t="shared" si="2"/>
        <v>20</v>
      </c>
      <c r="N11">
        <f t="shared" si="3"/>
        <v>54.666666666666664</v>
      </c>
      <c r="O11">
        <f t="shared" si="4"/>
        <v>3</v>
      </c>
    </row>
    <row r="12" spans="1:15" ht="15" thickBot="1">
      <c r="A12" s="3" t="s">
        <v>14</v>
      </c>
      <c r="B12" s="3" t="s">
        <v>513</v>
      </c>
      <c r="C12" s="3" t="s">
        <v>1006</v>
      </c>
      <c r="D12" s="13">
        <v>96371</v>
      </c>
      <c r="E12" s="6">
        <v>44136</v>
      </c>
      <c r="H12">
        <v>21</v>
      </c>
      <c r="I12">
        <v>48</v>
      </c>
      <c r="J12">
        <v>28</v>
      </c>
      <c r="K12">
        <f t="shared" si="0"/>
        <v>107</v>
      </c>
      <c r="L12">
        <f t="shared" si="1"/>
        <v>48</v>
      </c>
      <c r="M12">
        <f t="shared" si="2"/>
        <v>21</v>
      </c>
      <c r="N12">
        <f t="shared" si="3"/>
        <v>32.333333333333336</v>
      </c>
      <c r="O12">
        <f t="shared" si="4"/>
        <v>3</v>
      </c>
    </row>
    <row r="13" spans="1:15" ht="15" thickBot="1">
      <c r="A13" s="3" t="s">
        <v>15</v>
      </c>
      <c r="B13" s="3" t="s">
        <v>514</v>
      </c>
      <c r="C13" s="3" t="s">
        <v>1005</v>
      </c>
      <c r="D13" s="13">
        <v>85028</v>
      </c>
      <c r="E13" s="6">
        <v>44166</v>
      </c>
      <c r="H13">
        <v>74</v>
      </c>
      <c r="I13">
        <v>92</v>
      </c>
      <c r="J13">
        <v>32</v>
      </c>
      <c r="K13">
        <f t="shared" si="0"/>
        <v>208</v>
      </c>
      <c r="L13">
        <f t="shared" si="1"/>
        <v>92</v>
      </c>
      <c r="M13">
        <f t="shared" si="2"/>
        <v>32</v>
      </c>
      <c r="N13">
        <f t="shared" si="3"/>
        <v>66</v>
      </c>
      <c r="O13">
        <f t="shared" si="4"/>
        <v>3</v>
      </c>
    </row>
    <row r="14" spans="1:15" ht="15" thickBot="1">
      <c r="A14" s="4" t="s">
        <v>16</v>
      </c>
      <c r="B14" s="4" t="s">
        <v>515</v>
      </c>
      <c r="C14" s="4" t="s">
        <v>1007</v>
      </c>
      <c r="D14" s="14">
        <v>51378</v>
      </c>
      <c r="E14" s="8" t="s">
        <v>1009</v>
      </c>
      <c r="H14">
        <f>SUM(H3:H13)</f>
        <v>558</v>
      </c>
      <c r="I14">
        <f>SUM(I3:I13)</f>
        <v>568</v>
      </c>
      <c r="J14">
        <f>SUM(J3:J13)</f>
        <v>640</v>
      </c>
    </row>
    <row r="15" spans="1:15" ht="15" thickBot="1">
      <c r="A15" s="3" t="s">
        <v>17</v>
      </c>
      <c r="B15" s="3" t="s">
        <v>516</v>
      </c>
      <c r="C15" s="3" t="s">
        <v>1004</v>
      </c>
      <c r="D15" s="13">
        <v>49898</v>
      </c>
      <c r="E15" s="6" t="s">
        <v>1010</v>
      </c>
    </row>
    <row r="16" spans="1:15" ht="15" thickBot="1">
      <c r="A16" s="3" t="s">
        <v>18</v>
      </c>
      <c r="B16" s="3" t="s">
        <v>517</v>
      </c>
      <c r="C16" s="3" t="s">
        <v>1006</v>
      </c>
      <c r="D16" s="13">
        <v>71737</v>
      </c>
      <c r="E16" s="6" t="s">
        <v>1011</v>
      </c>
      <c r="H16" t="s">
        <v>1309</v>
      </c>
    </row>
    <row r="17" spans="1:8" ht="15" thickBot="1">
      <c r="A17" s="3" t="s">
        <v>19</v>
      </c>
      <c r="B17" s="3" t="s">
        <v>518</v>
      </c>
      <c r="C17" s="3" t="s">
        <v>1006</v>
      </c>
      <c r="D17" s="13">
        <v>89576</v>
      </c>
      <c r="E17" s="6" t="s">
        <v>1012</v>
      </c>
      <c r="H17">
        <v>10</v>
      </c>
    </row>
    <row r="18" spans="1:8" ht="15" thickBot="1">
      <c r="A18" s="3" t="s">
        <v>20</v>
      </c>
      <c r="B18" s="3" t="s">
        <v>519</v>
      </c>
      <c r="C18" s="3" t="s">
        <v>1006</v>
      </c>
      <c r="D18" s="13">
        <v>45503</v>
      </c>
      <c r="E18" s="6" t="s">
        <v>1013</v>
      </c>
    </row>
    <row r="19" spans="1:8" ht="15" thickBot="1">
      <c r="A19" s="3" t="s">
        <v>21</v>
      </c>
      <c r="B19" s="3" t="s">
        <v>520</v>
      </c>
      <c r="C19" s="3" t="s">
        <v>1008</v>
      </c>
      <c r="D19" s="13">
        <v>54752</v>
      </c>
      <c r="E19" s="6" t="s">
        <v>1014</v>
      </c>
    </row>
    <row r="20" spans="1:8" ht="15" thickBot="1">
      <c r="A20" s="4" t="s">
        <v>22</v>
      </c>
      <c r="B20" s="4" t="s">
        <v>521</v>
      </c>
      <c r="C20" s="4" t="s">
        <v>1007</v>
      </c>
      <c r="D20" s="14">
        <v>89685</v>
      </c>
      <c r="E20" s="8" t="s">
        <v>1015</v>
      </c>
    </row>
    <row r="21" spans="1:8" ht="15" thickBot="1">
      <c r="A21" s="3" t="s">
        <v>23</v>
      </c>
      <c r="B21" s="3" t="s">
        <v>522</v>
      </c>
      <c r="C21" s="3" t="s">
        <v>1006</v>
      </c>
      <c r="D21" s="13">
        <v>97208</v>
      </c>
      <c r="E21" s="6" t="s">
        <v>1016</v>
      </c>
    </row>
    <row r="22" spans="1:8" ht="15" thickBot="1">
      <c r="A22" s="3" t="s">
        <v>24</v>
      </c>
      <c r="B22" s="3" t="s">
        <v>523</v>
      </c>
      <c r="C22" s="3" t="s">
        <v>1008</v>
      </c>
      <c r="D22" s="13">
        <v>57149</v>
      </c>
      <c r="E22" s="6" t="s">
        <v>1017</v>
      </c>
    </row>
    <row r="23" spans="1:8" ht="15" thickBot="1">
      <c r="A23" s="3" t="s">
        <v>25</v>
      </c>
      <c r="B23" s="3" t="s">
        <v>524</v>
      </c>
      <c r="C23" s="3" t="s">
        <v>1008</v>
      </c>
      <c r="D23" s="13">
        <v>90050</v>
      </c>
      <c r="E23" s="6" t="s">
        <v>1018</v>
      </c>
    </row>
    <row r="24" spans="1:8" ht="15" thickBot="1">
      <c r="A24" s="3" t="s">
        <v>26</v>
      </c>
      <c r="B24" s="3" t="s">
        <v>525</v>
      </c>
      <c r="C24" s="3" t="s">
        <v>1006</v>
      </c>
      <c r="D24" s="13">
        <v>36298</v>
      </c>
      <c r="E24" s="6" t="s">
        <v>1019</v>
      </c>
    </row>
    <row r="25" spans="1:8" ht="15" thickBot="1">
      <c r="A25" s="3" t="s">
        <v>27</v>
      </c>
      <c r="B25" s="3" t="s">
        <v>526</v>
      </c>
      <c r="C25" s="3" t="s">
        <v>1005</v>
      </c>
      <c r="D25" s="13">
        <v>88430</v>
      </c>
      <c r="E25" s="6" t="s">
        <v>1020</v>
      </c>
    </row>
    <row r="26" spans="1:8" ht="15" thickBot="1">
      <c r="A26" s="3" t="s">
        <v>28</v>
      </c>
      <c r="B26" s="3" t="s">
        <v>527</v>
      </c>
      <c r="C26" s="3" t="s">
        <v>1008</v>
      </c>
      <c r="D26" s="13">
        <v>82602</v>
      </c>
      <c r="E26" s="6" t="s">
        <v>1021</v>
      </c>
    </row>
    <row r="27" spans="1:8" ht="15" thickBot="1">
      <c r="A27" s="4" t="s">
        <v>29</v>
      </c>
      <c r="B27" s="4" t="s">
        <v>528</v>
      </c>
      <c r="C27" s="4" t="s">
        <v>1007</v>
      </c>
      <c r="D27" s="14">
        <v>64727</v>
      </c>
      <c r="E27" s="8" t="s">
        <v>1022</v>
      </c>
    </row>
    <row r="28" spans="1:8" ht="15" thickBot="1">
      <c r="A28" s="3" t="s">
        <v>30</v>
      </c>
      <c r="B28" s="3" t="s">
        <v>529</v>
      </c>
      <c r="C28" s="3" t="s">
        <v>1005</v>
      </c>
      <c r="D28" s="13">
        <v>95590</v>
      </c>
      <c r="E28" s="6" t="s">
        <v>1023</v>
      </c>
    </row>
    <row r="29" spans="1:8" ht="15" thickBot="1">
      <c r="A29" s="3" t="s">
        <v>31</v>
      </c>
      <c r="B29" s="3" t="s">
        <v>530</v>
      </c>
      <c r="C29" s="3" t="s">
        <v>1004</v>
      </c>
      <c r="D29" s="13">
        <v>68202</v>
      </c>
      <c r="E29" s="6" t="s">
        <v>1024</v>
      </c>
    </row>
    <row r="30" spans="1:8" ht="15" thickBot="1">
      <c r="A30" s="3" t="s">
        <v>32</v>
      </c>
      <c r="B30" s="3" t="s">
        <v>531</v>
      </c>
      <c r="C30" s="3" t="s">
        <v>1006</v>
      </c>
      <c r="D30" s="13">
        <v>85761</v>
      </c>
      <c r="E30" s="6" t="s">
        <v>1025</v>
      </c>
    </row>
    <row r="31" spans="1:8" ht="15" thickBot="1">
      <c r="A31" s="3" t="s">
        <v>33</v>
      </c>
      <c r="B31" s="3" t="s">
        <v>532</v>
      </c>
      <c r="C31" s="3" t="s">
        <v>1004</v>
      </c>
      <c r="D31" s="13">
        <v>49399</v>
      </c>
      <c r="E31" s="6" t="s">
        <v>1026</v>
      </c>
    </row>
    <row r="32" spans="1:8" ht="15" thickBot="1">
      <c r="A32" s="3" t="s">
        <v>34</v>
      </c>
      <c r="B32" s="3" t="s">
        <v>533</v>
      </c>
      <c r="C32" s="3" t="s">
        <v>1006</v>
      </c>
      <c r="D32" s="13">
        <v>69554</v>
      </c>
      <c r="E32" s="6" t="s">
        <v>1027</v>
      </c>
    </row>
    <row r="33" spans="1:5" ht="15" thickBot="1">
      <c r="A33" s="3" t="s">
        <v>35</v>
      </c>
      <c r="B33" s="3" t="s">
        <v>534</v>
      </c>
      <c r="C33" s="3" t="s">
        <v>1004</v>
      </c>
      <c r="D33" s="13">
        <v>83146</v>
      </c>
      <c r="E33" s="6">
        <v>43832</v>
      </c>
    </row>
    <row r="34" spans="1:5" ht="15" thickBot="1">
      <c r="A34" s="3" t="s">
        <v>36</v>
      </c>
      <c r="B34" s="3" t="s">
        <v>535</v>
      </c>
      <c r="C34" s="3" t="s">
        <v>1008</v>
      </c>
      <c r="D34" s="13">
        <v>44383</v>
      </c>
      <c r="E34" s="6">
        <v>43863</v>
      </c>
    </row>
    <row r="35" spans="1:5" ht="15" thickBot="1">
      <c r="A35" s="4" t="s">
        <v>37</v>
      </c>
      <c r="B35" s="4" t="s">
        <v>536</v>
      </c>
      <c r="C35" s="4" t="s">
        <v>1007</v>
      </c>
      <c r="D35" s="14">
        <v>66495</v>
      </c>
      <c r="E35" s="8">
        <v>43892</v>
      </c>
    </row>
    <row r="36" spans="1:5" ht="15" thickBot="1">
      <c r="A36" s="3" t="s">
        <v>38</v>
      </c>
      <c r="B36" s="3" t="s">
        <v>537</v>
      </c>
      <c r="C36" s="3" t="s">
        <v>1008</v>
      </c>
      <c r="D36" s="13">
        <v>88111</v>
      </c>
      <c r="E36" s="6">
        <v>43923</v>
      </c>
    </row>
    <row r="37" spans="1:5" ht="15" thickBot="1">
      <c r="A37" s="4" t="s">
        <v>39</v>
      </c>
      <c r="B37" s="4" t="s">
        <v>538</v>
      </c>
      <c r="C37" s="4" t="s">
        <v>1007</v>
      </c>
      <c r="D37" s="14">
        <v>76319</v>
      </c>
      <c r="E37" s="8">
        <v>43953</v>
      </c>
    </row>
    <row r="38" spans="1:5" ht="15" thickBot="1">
      <c r="A38" s="3" t="s">
        <v>40</v>
      </c>
      <c r="B38" s="3" t="s">
        <v>539</v>
      </c>
      <c r="C38" s="3" t="s">
        <v>1006</v>
      </c>
      <c r="D38" s="13">
        <v>76486</v>
      </c>
      <c r="E38" s="6">
        <v>43984</v>
      </c>
    </row>
    <row r="39" spans="1:5" ht="15" thickBot="1">
      <c r="A39" s="3" t="s">
        <v>41</v>
      </c>
      <c r="B39" s="3" t="s">
        <v>540</v>
      </c>
      <c r="C39" s="3" t="s">
        <v>1004</v>
      </c>
      <c r="D39" s="13">
        <v>87642</v>
      </c>
      <c r="E39" s="6">
        <v>44014</v>
      </c>
    </row>
    <row r="40" spans="1:5" ht="15" thickBot="1">
      <c r="A40" s="3" t="s">
        <v>42</v>
      </c>
      <c r="B40" s="3" t="s">
        <v>541</v>
      </c>
      <c r="C40" s="3" t="s">
        <v>1004</v>
      </c>
      <c r="D40" s="13">
        <v>35215</v>
      </c>
      <c r="E40" s="6">
        <v>44045</v>
      </c>
    </row>
    <row r="41" spans="1:5" ht="15" thickBot="1">
      <c r="A41" s="3" t="s">
        <v>43</v>
      </c>
      <c r="B41" s="3" t="s">
        <v>542</v>
      </c>
      <c r="C41" s="3" t="s">
        <v>1006</v>
      </c>
      <c r="D41" s="13">
        <v>92570</v>
      </c>
      <c r="E41" s="6">
        <v>44076</v>
      </c>
    </row>
    <row r="42" spans="1:5" ht="15" thickBot="1">
      <c r="A42" s="3" t="s">
        <v>44</v>
      </c>
      <c r="B42" s="3" t="s">
        <v>543</v>
      </c>
      <c r="C42" s="3" t="s">
        <v>1004</v>
      </c>
      <c r="D42" s="13">
        <v>41892</v>
      </c>
      <c r="E42" s="6">
        <v>44106</v>
      </c>
    </row>
    <row r="43" spans="1:5" ht="15" thickBot="1">
      <c r="A43" s="3" t="s">
        <v>45</v>
      </c>
      <c r="B43" s="3" t="s">
        <v>544</v>
      </c>
      <c r="C43" s="3" t="s">
        <v>1008</v>
      </c>
      <c r="D43" s="13">
        <v>67821</v>
      </c>
      <c r="E43" s="6">
        <v>44137</v>
      </c>
    </row>
    <row r="44" spans="1:5" ht="15" thickBot="1">
      <c r="A44" s="3" t="s">
        <v>46</v>
      </c>
      <c r="B44" s="3" t="s">
        <v>545</v>
      </c>
      <c r="C44" s="3" t="s">
        <v>1006</v>
      </c>
      <c r="D44" s="13">
        <v>82560</v>
      </c>
      <c r="E44" s="6">
        <v>44167</v>
      </c>
    </row>
    <row r="45" spans="1:5" ht="15" thickBot="1">
      <c r="A45" s="3" t="s">
        <v>47</v>
      </c>
      <c r="B45" s="3" t="s">
        <v>546</v>
      </c>
      <c r="C45" s="3" t="s">
        <v>1005</v>
      </c>
      <c r="D45" s="13">
        <v>53324</v>
      </c>
      <c r="E45" s="6" t="s">
        <v>1028</v>
      </c>
    </row>
    <row r="46" spans="1:5" ht="15" thickBot="1">
      <c r="A46" s="3" t="s">
        <v>48</v>
      </c>
      <c r="B46" s="3" t="s">
        <v>547</v>
      </c>
      <c r="C46" s="3" t="s">
        <v>1008</v>
      </c>
      <c r="D46" s="13">
        <v>80107</v>
      </c>
      <c r="E46" s="6" t="s">
        <v>1029</v>
      </c>
    </row>
    <row r="47" spans="1:5" ht="15" thickBot="1">
      <c r="A47" s="3" t="s">
        <v>49</v>
      </c>
      <c r="B47" s="3" t="s">
        <v>548</v>
      </c>
      <c r="C47" s="3" t="s">
        <v>1006</v>
      </c>
      <c r="D47" s="13">
        <v>87517</v>
      </c>
      <c r="E47" s="6" t="s">
        <v>1030</v>
      </c>
    </row>
    <row r="48" spans="1:5" ht="15" thickBot="1">
      <c r="A48" s="3" t="s">
        <v>50</v>
      </c>
      <c r="B48" s="3" t="s">
        <v>549</v>
      </c>
      <c r="C48" s="3" t="s">
        <v>1008</v>
      </c>
      <c r="D48" s="13">
        <v>85636</v>
      </c>
      <c r="E48" s="6" t="s">
        <v>1031</v>
      </c>
    </row>
    <row r="49" spans="1:5" ht="15" thickBot="1">
      <c r="A49" s="3" t="s">
        <v>51</v>
      </c>
      <c r="B49" s="3" t="s">
        <v>550</v>
      </c>
      <c r="C49" s="3" t="s">
        <v>1008</v>
      </c>
      <c r="D49" s="13">
        <v>56908</v>
      </c>
      <c r="E49" s="6" t="s">
        <v>1032</v>
      </c>
    </row>
    <row r="50" spans="1:5" ht="15" thickBot="1">
      <c r="A50" s="4" t="s">
        <v>52</v>
      </c>
      <c r="B50" s="4" t="s">
        <v>551</v>
      </c>
      <c r="C50" s="4" t="s">
        <v>1007</v>
      </c>
      <c r="D50" s="14">
        <v>88072</v>
      </c>
      <c r="E50" s="8" t="s">
        <v>1033</v>
      </c>
    </row>
    <row r="51" spans="1:5" ht="15" thickBot="1">
      <c r="A51" s="3" t="s">
        <v>53</v>
      </c>
      <c r="B51" s="3" t="s">
        <v>552</v>
      </c>
      <c r="C51" s="3" t="s">
        <v>1005</v>
      </c>
      <c r="D51" s="13">
        <v>80813</v>
      </c>
      <c r="E51" s="6" t="s">
        <v>1034</v>
      </c>
    </row>
    <row r="52" spans="1:5" ht="15" thickBot="1">
      <c r="A52" s="3" t="s">
        <v>54</v>
      </c>
      <c r="B52" s="3" t="s">
        <v>553</v>
      </c>
      <c r="C52" s="3" t="s">
        <v>1008</v>
      </c>
      <c r="D52" s="13">
        <v>89083</v>
      </c>
      <c r="E52" s="6" t="s">
        <v>1035</v>
      </c>
    </row>
    <row r="53" spans="1:5" ht="15" thickBot="1">
      <c r="A53" s="4" t="s">
        <v>55</v>
      </c>
      <c r="B53" s="4" t="s">
        <v>554</v>
      </c>
      <c r="C53" s="4" t="s">
        <v>1007</v>
      </c>
      <c r="D53" s="14">
        <v>73443</v>
      </c>
      <c r="E53" s="8" t="s">
        <v>1036</v>
      </c>
    </row>
    <row r="54" spans="1:5" ht="15" thickBot="1">
      <c r="A54" s="4" t="s">
        <v>56</v>
      </c>
      <c r="B54" s="4" t="s">
        <v>555</v>
      </c>
      <c r="C54" s="4" t="s">
        <v>1007</v>
      </c>
      <c r="D54" s="14">
        <v>69633</v>
      </c>
      <c r="E54" s="8" t="s">
        <v>1037</v>
      </c>
    </row>
    <row r="55" spans="1:5" ht="15" thickBot="1">
      <c r="A55" s="3" t="s">
        <v>57</v>
      </c>
      <c r="B55" s="3" t="s">
        <v>556</v>
      </c>
      <c r="C55" s="3" t="s">
        <v>1006</v>
      </c>
      <c r="D55" s="13">
        <v>97712</v>
      </c>
      <c r="E55" s="6" t="s">
        <v>1038</v>
      </c>
    </row>
    <row r="56" spans="1:5" ht="15" thickBot="1">
      <c r="A56" s="3" t="s">
        <v>58</v>
      </c>
      <c r="B56" s="3" t="s">
        <v>557</v>
      </c>
      <c r="C56" s="3" t="s">
        <v>1005</v>
      </c>
      <c r="D56" s="13">
        <v>40753</v>
      </c>
      <c r="E56" s="6" t="s">
        <v>1039</v>
      </c>
    </row>
    <row r="57" spans="1:5" ht="15" thickBot="1">
      <c r="A57" s="3" t="s">
        <v>59</v>
      </c>
      <c r="B57" s="3" t="s">
        <v>558</v>
      </c>
      <c r="C57" s="3" t="s">
        <v>1008</v>
      </c>
      <c r="D57" s="13">
        <v>91535</v>
      </c>
      <c r="E57" s="6" t="s">
        <v>1040</v>
      </c>
    </row>
    <row r="58" spans="1:5" ht="15" thickBot="1">
      <c r="A58" s="3" t="s">
        <v>60</v>
      </c>
      <c r="B58" s="3" t="s">
        <v>559</v>
      </c>
      <c r="C58" s="3" t="s">
        <v>1006</v>
      </c>
      <c r="D58" s="13">
        <v>34899</v>
      </c>
      <c r="E58" s="6" t="s">
        <v>1041</v>
      </c>
    </row>
    <row r="59" spans="1:5" ht="15" thickBot="1">
      <c r="A59" s="3" t="s">
        <v>61</v>
      </c>
      <c r="B59" s="3" t="s">
        <v>560</v>
      </c>
      <c r="C59" s="3" t="s">
        <v>1006</v>
      </c>
      <c r="D59" s="13">
        <v>83090</v>
      </c>
      <c r="E59" s="6" t="s">
        <v>1042</v>
      </c>
    </row>
    <row r="60" spans="1:5" ht="15" thickBot="1">
      <c r="A60" s="3" t="s">
        <v>62</v>
      </c>
      <c r="B60" s="3" t="s">
        <v>561</v>
      </c>
      <c r="C60" s="3" t="s">
        <v>1005</v>
      </c>
      <c r="D60" s="13">
        <v>58057</v>
      </c>
      <c r="E60" s="6" t="s">
        <v>1043</v>
      </c>
    </row>
    <row r="61" spans="1:5" ht="15" thickBot="1">
      <c r="A61" s="4" t="s">
        <v>63</v>
      </c>
      <c r="B61" s="4" t="s">
        <v>562</v>
      </c>
      <c r="C61" s="4" t="s">
        <v>1007</v>
      </c>
      <c r="D61" s="14">
        <v>40253</v>
      </c>
      <c r="E61" s="8" t="s">
        <v>1044</v>
      </c>
    </row>
    <row r="62" spans="1:5" ht="15" thickBot="1">
      <c r="A62" s="3" t="s">
        <v>64</v>
      </c>
      <c r="B62" s="3" t="s">
        <v>563</v>
      </c>
      <c r="C62" s="3" t="s">
        <v>1006</v>
      </c>
      <c r="D62" s="13">
        <v>83023</v>
      </c>
      <c r="E62" s="6">
        <v>43833</v>
      </c>
    </row>
    <row r="63" spans="1:5" ht="15" thickBot="1">
      <c r="A63" s="3" t="s">
        <v>65</v>
      </c>
      <c r="B63" s="3" t="s">
        <v>564</v>
      </c>
      <c r="C63" s="3" t="s">
        <v>1005</v>
      </c>
      <c r="D63" s="13">
        <v>91209</v>
      </c>
      <c r="E63" s="6">
        <v>43864</v>
      </c>
    </row>
    <row r="64" spans="1:5" ht="15" thickBot="1">
      <c r="A64" s="3" t="s">
        <v>66</v>
      </c>
      <c r="B64" s="3" t="s">
        <v>565</v>
      </c>
      <c r="C64" s="3" t="s">
        <v>1004</v>
      </c>
      <c r="D64" s="13">
        <v>57966</v>
      </c>
      <c r="E64" s="6">
        <v>43893</v>
      </c>
    </row>
    <row r="65" spans="1:5" ht="15" thickBot="1">
      <c r="A65" s="4" t="s">
        <v>67</v>
      </c>
      <c r="B65" s="4" t="s">
        <v>566</v>
      </c>
      <c r="C65" s="4" t="s">
        <v>1007</v>
      </c>
      <c r="D65" s="14">
        <v>62242</v>
      </c>
      <c r="E65" s="8">
        <v>43924</v>
      </c>
    </row>
    <row r="66" spans="1:5" ht="15" thickBot="1">
      <c r="A66" s="3" t="s">
        <v>68</v>
      </c>
      <c r="B66" s="3" t="s">
        <v>567</v>
      </c>
      <c r="C66" s="3" t="s">
        <v>1004</v>
      </c>
      <c r="D66" s="13">
        <v>90557</v>
      </c>
      <c r="E66" s="6">
        <v>43954</v>
      </c>
    </row>
    <row r="67" spans="1:5" ht="15" thickBot="1">
      <c r="A67" s="3" t="s">
        <v>69</v>
      </c>
      <c r="B67" s="3" t="s">
        <v>568</v>
      </c>
      <c r="C67" s="3" t="s">
        <v>1008</v>
      </c>
      <c r="D67" s="13">
        <v>50230</v>
      </c>
      <c r="E67" s="6">
        <v>43985</v>
      </c>
    </row>
    <row r="68" spans="1:5" ht="15" thickBot="1">
      <c r="A68" s="3" t="s">
        <v>70</v>
      </c>
      <c r="B68" s="3" t="s">
        <v>569</v>
      </c>
      <c r="C68" s="3" t="s">
        <v>1006</v>
      </c>
      <c r="D68" s="13">
        <v>68110</v>
      </c>
      <c r="E68" s="6">
        <v>44015</v>
      </c>
    </row>
    <row r="69" spans="1:5" ht="15" thickBot="1">
      <c r="A69" s="3" t="s">
        <v>71</v>
      </c>
      <c r="B69" s="3" t="s">
        <v>570</v>
      </c>
      <c r="C69" s="3" t="s">
        <v>1005</v>
      </c>
      <c r="D69" s="13">
        <v>82443</v>
      </c>
      <c r="E69" s="6">
        <v>44046</v>
      </c>
    </row>
    <row r="70" spans="1:5" ht="15" thickBot="1">
      <c r="A70" s="3" t="s">
        <v>72</v>
      </c>
      <c r="B70" s="3" t="s">
        <v>571</v>
      </c>
      <c r="C70" s="3" t="s">
        <v>1008</v>
      </c>
      <c r="D70" s="13">
        <v>47057</v>
      </c>
      <c r="E70" s="6">
        <v>44077</v>
      </c>
    </row>
    <row r="71" spans="1:5" ht="15" thickBot="1">
      <c r="A71" s="4" t="s">
        <v>73</v>
      </c>
      <c r="B71" s="4" t="s">
        <v>572</v>
      </c>
      <c r="C71" s="4" t="s">
        <v>1007</v>
      </c>
      <c r="D71" s="14">
        <v>32425</v>
      </c>
      <c r="E71" s="8">
        <v>44107</v>
      </c>
    </row>
    <row r="72" spans="1:5" ht="15" thickBot="1">
      <c r="A72" s="3" t="s">
        <v>74</v>
      </c>
      <c r="B72" s="3" t="s">
        <v>573</v>
      </c>
      <c r="C72" s="3" t="s">
        <v>1008</v>
      </c>
      <c r="D72" s="13">
        <v>80828</v>
      </c>
      <c r="E72" s="6">
        <v>44138</v>
      </c>
    </row>
    <row r="73" spans="1:5" ht="15" thickBot="1">
      <c r="A73" s="3" t="s">
        <v>75</v>
      </c>
      <c r="B73" s="3" t="s">
        <v>574</v>
      </c>
      <c r="C73" s="3" t="s">
        <v>1006</v>
      </c>
      <c r="D73" s="13">
        <v>49548</v>
      </c>
      <c r="E73" s="6">
        <v>44168</v>
      </c>
    </row>
    <row r="74" spans="1:5" ht="15" thickBot="1">
      <c r="A74" s="4" t="s">
        <v>76</v>
      </c>
      <c r="B74" s="4" t="s">
        <v>575</v>
      </c>
      <c r="C74" s="4" t="s">
        <v>1007</v>
      </c>
      <c r="D74" s="14">
        <v>78130</v>
      </c>
      <c r="E74" s="8" t="s">
        <v>1045</v>
      </c>
    </row>
    <row r="75" spans="1:5" ht="15" thickBot="1">
      <c r="A75" s="3" t="s">
        <v>77</v>
      </c>
      <c r="B75" s="3" t="s">
        <v>576</v>
      </c>
      <c r="C75" s="3" t="s">
        <v>1005</v>
      </c>
      <c r="D75" s="13">
        <v>84910</v>
      </c>
      <c r="E75" s="6" t="s">
        <v>1046</v>
      </c>
    </row>
    <row r="76" spans="1:5" ht="15" thickBot="1">
      <c r="A76" s="3" t="s">
        <v>78</v>
      </c>
      <c r="B76" s="3" t="s">
        <v>577</v>
      </c>
      <c r="C76" s="3" t="s">
        <v>1008</v>
      </c>
      <c r="D76" s="13">
        <v>60703</v>
      </c>
      <c r="E76" s="6" t="s">
        <v>1047</v>
      </c>
    </row>
    <row r="77" spans="1:5" ht="15" thickBot="1">
      <c r="A77" s="4" t="s">
        <v>79</v>
      </c>
      <c r="B77" s="4" t="s">
        <v>578</v>
      </c>
      <c r="C77" s="4" t="s">
        <v>1007</v>
      </c>
      <c r="D77" s="14">
        <v>40726</v>
      </c>
      <c r="E77" s="8" t="s">
        <v>1048</v>
      </c>
    </row>
    <row r="78" spans="1:5" ht="15" thickBot="1">
      <c r="A78" s="3" t="s">
        <v>80</v>
      </c>
      <c r="B78" s="3" t="s">
        <v>579</v>
      </c>
      <c r="C78" s="3" t="s">
        <v>1006</v>
      </c>
      <c r="D78" s="13">
        <v>99243</v>
      </c>
      <c r="E78" s="6" t="s">
        <v>1049</v>
      </c>
    </row>
    <row r="79" spans="1:5" ht="15" thickBot="1">
      <c r="A79" s="4" t="s">
        <v>81</v>
      </c>
      <c r="B79" s="4" t="s">
        <v>580</v>
      </c>
      <c r="C79" s="4" t="s">
        <v>1007</v>
      </c>
      <c r="D79" s="14">
        <v>39776</v>
      </c>
      <c r="E79" s="8" t="s">
        <v>1050</v>
      </c>
    </row>
    <row r="80" spans="1:5" ht="15" thickBot="1">
      <c r="A80" s="3" t="s">
        <v>82</v>
      </c>
      <c r="B80" s="3" t="s">
        <v>581</v>
      </c>
      <c r="C80" s="3" t="s">
        <v>1006</v>
      </c>
      <c r="D80" s="13">
        <v>94701</v>
      </c>
      <c r="E80" s="6" t="s">
        <v>1051</v>
      </c>
    </row>
    <row r="81" spans="1:5" ht="15" thickBot="1">
      <c r="A81" s="3" t="s">
        <v>83</v>
      </c>
      <c r="B81" s="3" t="s">
        <v>582</v>
      </c>
      <c r="C81" s="3" t="s">
        <v>1004</v>
      </c>
      <c r="D81" s="13">
        <v>31035</v>
      </c>
      <c r="E81" s="6" t="s">
        <v>1052</v>
      </c>
    </row>
    <row r="82" spans="1:5" ht="15" thickBot="1">
      <c r="A82" s="3" t="s">
        <v>84</v>
      </c>
      <c r="B82" s="3" t="s">
        <v>583</v>
      </c>
      <c r="C82" s="3" t="s">
        <v>1005</v>
      </c>
      <c r="D82" s="13">
        <v>61449</v>
      </c>
      <c r="E82" s="6" t="s">
        <v>1053</v>
      </c>
    </row>
    <row r="83" spans="1:5" ht="15" thickBot="1">
      <c r="A83" s="3" t="s">
        <v>85</v>
      </c>
      <c r="B83" s="3" t="s">
        <v>584</v>
      </c>
      <c r="C83" s="3" t="s">
        <v>1004</v>
      </c>
      <c r="D83" s="13">
        <v>37950</v>
      </c>
      <c r="E83" s="6" t="s">
        <v>1054</v>
      </c>
    </row>
    <row r="84" spans="1:5" ht="15" thickBot="1">
      <c r="A84" s="3" t="s">
        <v>86</v>
      </c>
      <c r="B84" s="3" t="s">
        <v>585</v>
      </c>
      <c r="C84" s="3" t="s">
        <v>1008</v>
      </c>
      <c r="D84" s="13">
        <v>97260</v>
      </c>
      <c r="E84" s="6" t="s">
        <v>1055</v>
      </c>
    </row>
    <row r="85" spans="1:5" ht="15" thickBot="1">
      <c r="A85" s="3" t="s">
        <v>87</v>
      </c>
      <c r="B85" s="3" t="s">
        <v>586</v>
      </c>
      <c r="C85" s="3" t="s">
        <v>1004</v>
      </c>
      <c r="D85" s="13">
        <v>83535</v>
      </c>
      <c r="E85" s="6" t="s">
        <v>1056</v>
      </c>
    </row>
    <row r="86" spans="1:5" ht="15" thickBot="1">
      <c r="A86" s="3" t="s">
        <v>88</v>
      </c>
      <c r="B86" s="3" t="s">
        <v>587</v>
      </c>
      <c r="C86" s="3" t="s">
        <v>1005</v>
      </c>
      <c r="D86" s="13">
        <v>68970</v>
      </c>
      <c r="E86" s="6" t="s">
        <v>1057</v>
      </c>
    </row>
    <row r="87" spans="1:5" ht="15" thickBot="1">
      <c r="A87" s="3" t="s">
        <v>89</v>
      </c>
      <c r="B87" s="3" t="s">
        <v>588</v>
      </c>
      <c r="C87" s="3" t="s">
        <v>1008</v>
      </c>
      <c r="D87" s="13">
        <v>74637</v>
      </c>
      <c r="E87" s="6" t="s">
        <v>1058</v>
      </c>
    </row>
    <row r="88" spans="1:5" ht="15" thickBot="1">
      <c r="A88" s="3" t="s">
        <v>90</v>
      </c>
      <c r="B88" s="3" t="s">
        <v>589</v>
      </c>
      <c r="C88" s="3" t="s">
        <v>1004</v>
      </c>
      <c r="D88" s="13">
        <v>68350</v>
      </c>
      <c r="E88" s="6" t="s">
        <v>1059</v>
      </c>
    </row>
    <row r="89" spans="1:5" ht="15" thickBot="1">
      <c r="A89" s="3" t="s">
        <v>91</v>
      </c>
      <c r="B89" s="3" t="s">
        <v>590</v>
      </c>
      <c r="C89" s="3" t="s">
        <v>1004</v>
      </c>
      <c r="D89" s="13">
        <v>88774</v>
      </c>
      <c r="E89" s="6" t="s">
        <v>1060</v>
      </c>
    </row>
    <row r="90" spans="1:5" ht="15" thickBot="1">
      <c r="A90" s="4" t="s">
        <v>92</v>
      </c>
      <c r="B90" s="4" t="s">
        <v>591</v>
      </c>
      <c r="C90" s="4" t="s">
        <v>1007</v>
      </c>
      <c r="D90" s="14">
        <v>61854</v>
      </c>
      <c r="E90" s="8" t="s">
        <v>1061</v>
      </c>
    </row>
    <row r="91" spans="1:5" ht="15" thickBot="1">
      <c r="A91" s="3" t="s">
        <v>93</v>
      </c>
      <c r="B91" s="3" t="s">
        <v>592</v>
      </c>
      <c r="C91" s="3" t="s">
        <v>1004</v>
      </c>
      <c r="D91" s="13">
        <v>92596</v>
      </c>
      <c r="E91" s="6" t="s">
        <v>1062</v>
      </c>
    </row>
    <row r="92" spans="1:5" ht="15" thickBot="1">
      <c r="A92" s="3" t="s">
        <v>94</v>
      </c>
      <c r="B92" s="3" t="s">
        <v>593</v>
      </c>
      <c r="C92" s="3" t="s">
        <v>1004</v>
      </c>
      <c r="D92" s="13">
        <v>43849</v>
      </c>
      <c r="E92" s="6" t="s">
        <v>1063</v>
      </c>
    </row>
    <row r="93" spans="1:5" ht="15" thickBot="1">
      <c r="A93" s="3" t="s">
        <v>95</v>
      </c>
      <c r="B93" s="3" t="s">
        <v>594</v>
      </c>
      <c r="C93" s="3" t="s">
        <v>1008</v>
      </c>
      <c r="D93" s="13">
        <v>45185</v>
      </c>
      <c r="E93" s="6">
        <v>43834</v>
      </c>
    </row>
    <row r="94" spans="1:5" ht="15" thickBot="1">
      <c r="A94" s="3" t="s">
        <v>96</v>
      </c>
      <c r="B94" s="3" t="s">
        <v>595</v>
      </c>
      <c r="C94" s="3" t="s">
        <v>1006</v>
      </c>
      <c r="D94" s="13">
        <v>30608</v>
      </c>
      <c r="E94" s="6">
        <v>43865</v>
      </c>
    </row>
    <row r="95" spans="1:5" ht="15" thickBot="1">
      <c r="A95" s="3" t="s">
        <v>97</v>
      </c>
      <c r="B95" s="3" t="s">
        <v>596</v>
      </c>
      <c r="C95" s="3" t="s">
        <v>1006</v>
      </c>
      <c r="D95" s="13">
        <v>55236</v>
      </c>
      <c r="E95" s="6">
        <v>43894</v>
      </c>
    </row>
    <row r="96" spans="1:5" ht="15" thickBot="1">
      <c r="A96" s="4" t="s">
        <v>98</v>
      </c>
      <c r="B96" s="4" t="s">
        <v>597</v>
      </c>
      <c r="C96" s="4" t="s">
        <v>1007</v>
      </c>
      <c r="D96" s="14">
        <v>94519</v>
      </c>
      <c r="E96" s="8">
        <v>43925</v>
      </c>
    </row>
    <row r="97" spans="1:5" ht="15" thickBot="1">
      <c r="A97" s="4" t="s">
        <v>99</v>
      </c>
      <c r="B97" s="4" t="s">
        <v>598</v>
      </c>
      <c r="C97" s="4" t="s">
        <v>1007</v>
      </c>
      <c r="D97" s="14">
        <v>65864</v>
      </c>
      <c r="E97" s="8">
        <v>43955</v>
      </c>
    </row>
    <row r="98" spans="1:5" ht="15" thickBot="1">
      <c r="A98" s="3" t="s">
        <v>100</v>
      </c>
      <c r="B98" s="3" t="s">
        <v>599</v>
      </c>
      <c r="C98" s="3" t="s">
        <v>1008</v>
      </c>
      <c r="D98" s="13">
        <v>30336</v>
      </c>
      <c r="E98" s="6">
        <v>43986</v>
      </c>
    </row>
    <row r="99" spans="1:5" ht="15" thickBot="1">
      <c r="A99" s="4" t="s">
        <v>101</v>
      </c>
      <c r="B99" s="4" t="s">
        <v>600</v>
      </c>
      <c r="C99" s="4" t="s">
        <v>1007</v>
      </c>
      <c r="D99" s="14">
        <v>42351</v>
      </c>
      <c r="E99" s="8">
        <v>44016</v>
      </c>
    </row>
    <row r="100" spans="1:5" ht="15" thickBot="1">
      <c r="A100" s="3" t="s">
        <v>102</v>
      </c>
      <c r="B100" s="3" t="s">
        <v>601</v>
      </c>
      <c r="C100" s="3" t="s">
        <v>1008</v>
      </c>
      <c r="D100" s="13">
        <v>76360</v>
      </c>
      <c r="E100" s="6">
        <v>44047</v>
      </c>
    </row>
    <row r="101" spans="1:5" ht="15" thickBot="1">
      <c r="A101" s="3" t="s">
        <v>103</v>
      </c>
      <c r="B101" s="3" t="s">
        <v>602</v>
      </c>
      <c r="C101" s="3" t="s">
        <v>1008</v>
      </c>
      <c r="D101" s="13">
        <v>50478</v>
      </c>
      <c r="E101" s="6">
        <v>44078</v>
      </c>
    </row>
    <row r="102" spans="1:5" ht="15" thickBot="1">
      <c r="A102" s="3" t="s">
        <v>104</v>
      </c>
      <c r="B102" s="3" t="s">
        <v>603</v>
      </c>
      <c r="C102" s="3" t="s">
        <v>1006</v>
      </c>
      <c r="D102" s="13">
        <v>39072</v>
      </c>
      <c r="E102" s="6">
        <v>44108</v>
      </c>
    </row>
    <row r="103" spans="1:5" ht="15" thickBot="1">
      <c r="A103" s="3" t="s">
        <v>105</v>
      </c>
      <c r="B103" s="3" t="s">
        <v>604</v>
      </c>
      <c r="C103" s="3" t="s">
        <v>1008</v>
      </c>
      <c r="D103" s="13">
        <v>76249</v>
      </c>
      <c r="E103" s="6">
        <v>44139</v>
      </c>
    </row>
    <row r="104" spans="1:5" ht="15" thickBot="1">
      <c r="A104" s="3" t="s">
        <v>106</v>
      </c>
      <c r="B104" s="3" t="s">
        <v>605</v>
      </c>
      <c r="C104" s="3" t="s">
        <v>1006</v>
      </c>
      <c r="D104" s="13">
        <v>50574</v>
      </c>
      <c r="E104" s="6">
        <v>44169</v>
      </c>
    </row>
    <row r="105" spans="1:5" ht="15" thickBot="1">
      <c r="A105" s="3" t="s">
        <v>107</v>
      </c>
      <c r="B105" s="3" t="s">
        <v>606</v>
      </c>
      <c r="C105" s="3" t="s">
        <v>1004</v>
      </c>
      <c r="D105" s="13">
        <v>71785</v>
      </c>
      <c r="E105" s="6" t="s">
        <v>1064</v>
      </c>
    </row>
    <row r="106" spans="1:5" ht="15" thickBot="1">
      <c r="A106" s="3" t="s">
        <v>108</v>
      </c>
      <c r="B106" s="3" t="s">
        <v>607</v>
      </c>
      <c r="C106" s="3" t="s">
        <v>1006</v>
      </c>
      <c r="D106" s="13">
        <v>87816</v>
      </c>
      <c r="E106" s="6" t="s">
        <v>1065</v>
      </c>
    </row>
    <row r="107" spans="1:5" ht="15" thickBot="1">
      <c r="A107" s="3" t="s">
        <v>109</v>
      </c>
      <c r="B107" s="3" t="s">
        <v>608</v>
      </c>
      <c r="C107" s="3" t="s">
        <v>1008</v>
      </c>
      <c r="D107" s="13">
        <v>59629</v>
      </c>
      <c r="E107" s="6" t="s">
        <v>1066</v>
      </c>
    </row>
    <row r="108" spans="1:5" ht="15" thickBot="1">
      <c r="A108" s="3" t="s">
        <v>110</v>
      </c>
      <c r="B108" s="3" t="s">
        <v>609</v>
      </c>
      <c r="C108" s="3" t="s">
        <v>1006</v>
      </c>
      <c r="D108" s="13">
        <v>77397</v>
      </c>
      <c r="E108" s="6" t="s">
        <v>1067</v>
      </c>
    </row>
    <row r="109" spans="1:5" ht="15" thickBot="1">
      <c r="A109" s="3" t="s">
        <v>111</v>
      </c>
      <c r="B109" s="3" t="s">
        <v>610</v>
      </c>
      <c r="C109" s="3" t="s">
        <v>1004</v>
      </c>
      <c r="D109" s="13">
        <v>76856</v>
      </c>
      <c r="E109" s="6" t="s">
        <v>1068</v>
      </c>
    </row>
    <row r="110" spans="1:5" ht="15" thickBot="1">
      <c r="A110" s="3" t="s">
        <v>112</v>
      </c>
      <c r="B110" s="3" t="s">
        <v>611</v>
      </c>
      <c r="C110" s="3" t="s">
        <v>1004</v>
      </c>
      <c r="D110" s="13">
        <v>97312</v>
      </c>
      <c r="E110" s="6" t="s">
        <v>1069</v>
      </c>
    </row>
    <row r="111" spans="1:5" ht="15" thickBot="1">
      <c r="A111" s="4" t="s">
        <v>113</v>
      </c>
      <c r="B111" s="4" t="s">
        <v>612</v>
      </c>
      <c r="C111" s="4" t="s">
        <v>1007</v>
      </c>
      <c r="D111" s="14">
        <v>77636</v>
      </c>
      <c r="E111" s="8" t="s">
        <v>1070</v>
      </c>
    </row>
    <row r="112" spans="1:5" ht="15" thickBot="1">
      <c r="A112" s="3" t="s">
        <v>114</v>
      </c>
      <c r="B112" s="3" t="s">
        <v>613</v>
      </c>
      <c r="C112" s="3" t="s">
        <v>1008</v>
      </c>
      <c r="D112" s="13">
        <v>77049</v>
      </c>
      <c r="E112" s="6" t="s">
        <v>1071</v>
      </c>
    </row>
    <row r="113" spans="1:5" ht="15" thickBot="1">
      <c r="A113" s="3" t="s">
        <v>115</v>
      </c>
      <c r="B113" s="3" t="s">
        <v>614</v>
      </c>
      <c r="C113" s="3" t="s">
        <v>1006</v>
      </c>
      <c r="D113" s="13">
        <v>30086</v>
      </c>
      <c r="E113" s="6" t="s">
        <v>1072</v>
      </c>
    </row>
    <row r="114" spans="1:5" ht="15" thickBot="1">
      <c r="A114" s="3" t="s">
        <v>116</v>
      </c>
      <c r="B114" s="3" t="s">
        <v>615</v>
      </c>
      <c r="C114" s="3" t="s">
        <v>1008</v>
      </c>
      <c r="D114" s="13">
        <v>57542</v>
      </c>
      <c r="E114" s="6" t="s">
        <v>1073</v>
      </c>
    </row>
    <row r="115" spans="1:5" ht="15" thickBot="1">
      <c r="A115" s="3" t="s">
        <v>117</v>
      </c>
      <c r="B115" s="3" t="s">
        <v>616</v>
      </c>
      <c r="C115" s="3" t="s">
        <v>1004</v>
      </c>
      <c r="D115" s="13">
        <v>40755</v>
      </c>
      <c r="E115" s="6" t="s">
        <v>1074</v>
      </c>
    </row>
    <row r="116" spans="1:5" ht="15" thickBot="1">
      <c r="A116" s="3" t="s">
        <v>118</v>
      </c>
      <c r="B116" s="3" t="s">
        <v>617</v>
      </c>
      <c r="C116" s="3" t="s">
        <v>1004</v>
      </c>
      <c r="D116" s="13">
        <v>54585</v>
      </c>
      <c r="E116" s="6" t="s">
        <v>1075</v>
      </c>
    </row>
    <row r="117" spans="1:5" ht="15" thickBot="1">
      <c r="A117" s="3" t="s">
        <v>119</v>
      </c>
      <c r="B117" s="3" t="s">
        <v>618</v>
      </c>
      <c r="C117" s="3" t="s">
        <v>1008</v>
      </c>
      <c r="D117" s="13">
        <v>40312</v>
      </c>
      <c r="E117" s="6" t="s">
        <v>1076</v>
      </c>
    </row>
    <row r="118" spans="1:5" ht="15" thickBot="1">
      <c r="A118" s="3" t="s">
        <v>120</v>
      </c>
      <c r="B118" s="3" t="s">
        <v>619</v>
      </c>
      <c r="C118" s="3" t="s">
        <v>1006</v>
      </c>
      <c r="D118" s="13">
        <v>97147</v>
      </c>
      <c r="E118" s="6" t="s">
        <v>1077</v>
      </c>
    </row>
    <row r="119" spans="1:5" ht="15" thickBot="1">
      <c r="A119" s="3" t="s">
        <v>121</v>
      </c>
      <c r="B119" s="3" t="s">
        <v>620</v>
      </c>
      <c r="C119" s="3" t="s">
        <v>1008</v>
      </c>
      <c r="D119" s="13">
        <v>30899</v>
      </c>
      <c r="E119" s="6" t="s">
        <v>1078</v>
      </c>
    </row>
    <row r="120" spans="1:5" ht="15" thickBot="1">
      <c r="A120" s="4" t="s">
        <v>122</v>
      </c>
      <c r="B120" s="4" t="s">
        <v>621</v>
      </c>
      <c r="C120" s="4" t="s">
        <v>1007</v>
      </c>
      <c r="D120" s="14">
        <v>68412</v>
      </c>
      <c r="E120" s="8" t="s">
        <v>1079</v>
      </c>
    </row>
    <row r="121" spans="1:5" ht="15" thickBot="1">
      <c r="A121" s="4" t="s">
        <v>123</v>
      </c>
      <c r="B121" s="4" t="s">
        <v>622</v>
      </c>
      <c r="C121" s="4" t="s">
        <v>1007</v>
      </c>
      <c r="D121" s="14">
        <v>70378</v>
      </c>
      <c r="E121" s="8" t="s">
        <v>1080</v>
      </c>
    </row>
    <row r="122" spans="1:5" ht="15" thickBot="1">
      <c r="A122" s="3" t="s">
        <v>124</v>
      </c>
      <c r="B122" s="3" t="s">
        <v>623</v>
      </c>
      <c r="C122" s="3" t="s">
        <v>1008</v>
      </c>
      <c r="D122" s="13">
        <v>75713</v>
      </c>
      <c r="E122" s="6" t="s">
        <v>1081</v>
      </c>
    </row>
    <row r="123" spans="1:5" ht="15" thickBot="1">
      <c r="A123" s="4" t="s">
        <v>125</v>
      </c>
      <c r="B123" s="4" t="s">
        <v>624</v>
      </c>
      <c r="C123" s="4" t="s">
        <v>1007</v>
      </c>
      <c r="D123" s="14">
        <v>59280</v>
      </c>
      <c r="E123" s="8">
        <v>43835</v>
      </c>
    </row>
    <row r="124" spans="1:5" ht="15" thickBot="1">
      <c r="A124" s="3" t="s">
        <v>126</v>
      </c>
      <c r="B124" s="3" t="s">
        <v>625</v>
      </c>
      <c r="C124" s="3" t="s">
        <v>1006</v>
      </c>
      <c r="D124" s="13">
        <v>93951</v>
      </c>
      <c r="E124" s="6">
        <v>43866</v>
      </c>
    </row>
    <row r="125" spans="1:5" ht="15" thickBot="1">
      <c r="A125" s="3" t="s">
        <v>127</v>
      </c>
      <c r="B125" s="3" t="s">
        <v>626</v>
      </c>
      <c r="C125" s="3" t="s">
        <v>1004</v>
      </c>
      <c r="D125" s="13">
        <v>60459</v>
      </c>
      <c r="E125" s="6">
        <v>43895</v>
      </c>
    </row>
    <row r="126" spans="1:5" ht="15" thickBot="1">
      <c r="A126" s="3" t="s">
        <v>128</v>
      </c>
      <c r="B126" s="3" t="s">
        <v>627</v>
      </c>
      <c r="C126" s="3" t="s">
        <v>1008</v>
      </c>
      <c r="D126" s="13">
        <v>89347</v>
      </c>
      <c r="E126" s="6">
        <v>43926</v>
      </c>
    </row>
    <row r="127" spans="1:5" ht="15" thickBot="1">
      <c r="A127" s="4" t="s">
        <v>129</v>
      </c>
      <c r="B127" s="4" t="s">
        <v>628</v>
      </c>
      <c r="C127" s="4" t="s">
        <v>1007</v>
      </c>
      <c r="D127" s="14">
        <v>82581</v>
      </c>
      <c r="E127" s="8">
        <v>43956</v>
      </c>
    </row>
    <row r="128" spans="1:5" ht="15" thickBot="1">
      <c r="A128" s="3" t="s">
        <v>130</v>
      </c>
      <c r="B128" s="3" t="s">
        <v>629</v>
      </c>
      <c r="C128" s="3" t="s">
        <v>1004</v>
      </c>
      <c r="D128" s="13">
        <v>33751</v>
      </c>
      <c r="E128" s="6">
        <v>43987</v>
      </c>
    </row>
    <row r="129" spans="1:5" ht="15" thickBot="1">
      <c r="A129" s="3" t="s">
        <v>131</v>
      </c>
      <c r="B129" s="3" t="s">
        <v>630</v>
      </c>
      <c r="C129" s="3" t="s">
        <v>1005</v>
      </c>
      <c r="D129" s="13">
        <v>36488</v>
      </c>
      <c r="E129" s="6">
        <v>44017</v>
      </c>
    </row>
    <row r="130" spans="1:5" ht="15" thickBot="1">
      <c r="A130" s="3" t="s">
        <v>132</v>
      </c>
      <c r="B130" s="3" t="s">
        <v>631</v>
      </c>
      <c r="C130" s="3" t="s">
        <v>1008</v>
      </c>
      <c r="D130" s="13">
        <v>65255</v>
      </c>
      <c r="E130" s="6">
        <v>44048</v>
      </c>
    </row>
    <row r="131" spans="1:5" ht="15" thickBot="1">
      <c r="A131" s="3" t="s">
        <v>133</v>
      </c>
      <c r="B131" s="3" t="s">
        <v>632</v>
      </c>
      <c r="C131" s="3" t="s">
        <v>1005</v>
      </c>
      <c r="D131" s="13">
        <v>89281</v>
      </c>
      <c r="E131" s="6">
        <v>44079</v>
      </c>
    </row>
    <row r="132" spans="1:5" ht="15" thickBot="1">
      <c r="A132" s="4" t="s">
        <v>134</v>
      </c>
      <c r="B132" s="4" t="s">
        <v>633</v>
      </c>
      <c r="C132" s="4" t="s">
        <v>1007</v>
      </c>
      <c r="D132" s="14">
        <v>62444</v>
      </c>
      <c r="E132" s="8">
        <v>44109</v>
      </c>
    </row>
    <row r="133" spans="1:5" ht="15" thickBot="1">
      <c r="A133" s="3" t="s">
        <v>135</v>
      </c>
      <c r="B133" s="3" t="s">
        <v>634</v>
      </c>
      <c r="C133" s="3" t="s">
        <v>1008</v>
      </c>
      <c r="D133" s="13">
        <v>54798</v>
      </c>
      <c r="E133" s="6">
        <v>44140</v>
      </c>
    </row>
    <row r="134" spans="1:5" ht="15" thickBot="1">
      <c r="A134" s="3" t="s">
        <v>136</v>
      </c>
      <c r="B134" s="3" t="s">
        <v>635</v>
      </c>
      <c r="C134" s="3" t="s">
        <v>1008</v>
      </c>
      <c r="D134" s="13">
        <v>64389</v>
      </c>
      <c r="E134" s="6">
        <v>44170</v>
      </c>
    </row>
    <row r="135" spans="1:5" ht="15" thickBot="1">
      <c r="A135" s="3" t="s">
        <v>137</v>
      </c>
      <c r="B135" s="3" t="s">
        <v>636</v>
      </c>
      <c r="C135" s="3" t="s">
        <v>1004</v>
      </c>
      <c r="D135" s="13">
        <v>41130</v>
      </c>
      <c r="E135" s="6" t="s">
        <v>1082</v>
      </c>
    </row>
    <row r="136" spans="1:5" ht="15" thickBot="1">
      <c r="A136" s="3" t="s">
        <v>138</v>
      </c>
      <c r="B136" s="3" t="s">
        <v>637</v>
      </c>
      <c r="C136" s="3" t="s">
        <v>1008</v>
      </c>
      <c r="D136" s="13">
        <v>76314</v>
      </c>
      <c r="E136" s="6" t="s">
        <v>1083</v>
      </c>
    </row>
    <row r="137" spans="1:5" ht="15" thickBot="1">
      <c r="A137" s="3" t="s">
        <v>139</v>
      </c>
      <c r="B137" s="3" t="s">
        <v>638</v>
      </c>
      <c r="C137" s="3" t="s">
        <v>1008</v>
      </c>
      <c r="D137" s="13">
        <v>92961</v>
      </c>
      <c r="E137" s="6" t="s">
        <v>1084</v>
      </c>
    </row>
    <row r="138" spans="1:5" ht="15" thickBot="1">
      <c r="A138" s="3" t="s">
        <v>140</v>
      </c>
      <c r="B138" s="3" t="s">
        <v>639</v>
      </c>
      <c r="C138" s="3" t="s">
        <v>1006</v>
      </c>
      <c r="D138" s="13">
        <v>81927</v>
      </c>
      <c r="E138" s="6" t="s">
        <v>1085</v>
      </c>
    </row>
    <row r="139" spans="1:5" ht="15" thickBot="1">
      <c r="A139" s="3" t="s">
        <v>141</v>
      </c>
      <c r="B139" s="3" t="s">
        <v>640</v>
      </c>
      <c r="C139" s="3" t="s">
        <v>1006</v>
      </c>
      <c r="D139" s="13">
        <v>78227</v>
      </c>
      <c r="E139" s="6" t="s">
        <v>1086</v>
      </c>
    </row>
    <row r="140" spans="1:5" ht="15" thickBot="1">
      <c r="A140" s="3" t="s">
        <v>142</v>
      </c>
      <c r="B140" s="3" t="s">
        <v>641</v>
      </c>
      <c r="C140" s="3" t="s">
        <v>1005</v>
      </c>
      <c r="D140" s="13">
        <v>58677</v>
      </c>
      <c r="E140" s="6" t="s">
        <v>1087</v>
      </c>
    </row>
    <row r="141" spans="1:5" ht="15" thickBot="1">
      <c r="A141" s="3" t="s">
        <v>143</v>
      </c>
      <c r="B141" s="3" t="s">
        <v>642</v>
      </c>
      <c r="C141" s="3" t="s">
        <v>1005</v>
      </c>
      <c r="D141" s="13">
        <v>33307</v>
      </c>
      <c r="E141" s="6" t="s">
        <v>1088</v>
      </c>
    </row>
    <row r="142" spans="1:5" ht="15" thickBot="1">
      <c r="A142" s="3" t="s">
        <v>144</v>
      </c>
      <c r="B142" s="3" t="s">
        <v>643</v>
      </c>
      <c r="C142" s="3" t="s">
        <v>1006</v>
      </c>
      <c r="D142" s="13">
        <v>86530</v>
      </c>
      <c r="E142" s="6" t="s">
        <v>1089</v>
      </c>
    </row>
    <row r="143" spans="1:5" ht="15" thickBot="1">
      <c r="A143" s="3" t="s">
        <v>145</v>
      </c>
      <c r="B143" s="3" t="s">
        <v>644</v>
      </c>
      <c r="C143" s="3" t="s">
        <v>1006</v>
      </c>
      <c r="D143" s="13">
        <v>53893</v>
      </c>
      <c r="E143" s="6" t="s">
        <v>1090</v>
      </c>
    </row>
    <row r="144" spans="1:5" ht="15" thickBot="1">
      <c r="A144" s="3" t="s">
        <v>146</v>
      </c>
      <c r="B144" s="3" t="s">
        <v>645</v>
      </c>
      <c r="C144" s="3" t="s">
        <v>1008</v>
      </c>
      <c r="D144" s="13">
        <v>39378</v>
      </c>
      <c r="E144" s="6" t="s">
        <v>1091</v>
      </c>
    </row>
    <row r="145" spans="1:5" ht="15" thickBot="1">
      <c r="A145" s="3" t="s">
        <v>147</v>
      </c>
      <c r="B145" s="3" t="s">
        <v>646</v>
      </c>
      <c r="C145" s="3" t="s">
        <v>1004</v>
      </c>
      <c r="D145" s="13">
        <v>84402</v>
      </c>
      <c r="E145" s="6" t="s">
        <v>1092</v>
      </c>
    </row>
    <row r="146" spans="1:5" ht="15" thickBot="1">
      <c r="A146" s="4" t="s">
        <v>148</v>
      </c>
      <c r="B146" s="4" t="s">
        <v>647</v>
      </c>
      <c r="C146" s="4" t="s">
        <v>1007</v>
      </c>
      <c r="D146" s="14">
        <v>40895</v>
      </c>
      <c r="E146" s="8" t="s">
        <v>1093</v>
      </c>
    </row>
    <row r="147" spans="1:5" ht="15" thickBot="1">
      <c r="A147" s="3" t="s">
        <v>149</v>
      </c>
      <c r="B147" s="3" t="s">
        <v>648</v>
      </c>
      <c r="C147" s="3" t="s">
        <v>1008</v>
      </c>
      <c r="D147" s="13">
        <v>30479</v>
      </c>
      <c r="E147" s="6" t="s">
        <v>1094</v>
      </c>
    </row>
    <row r="148" spans="1:5" ht="15" thickBot="1">
      <c r="A148" s="3" t="s">
        <v>150</v>
      </c>
      <c r="B148" s="3" t="s">
        <v>649</v>
      </c>
      <c r="C148" s="3" t="s">
        <v>1006</v>
      </c>
      <c r="D148" s="13">
        <v>41508</v>
      </c>
      <c r="E148" s="6" t="s">
        <v>1095</v>
      </c>
    </row>
    <row r="149" spans="1:5" ht="15" thickBot="1">
      <c r="A149" s="3" t="s">
        <v>151</v>
      </c>
      <c r="B149" s="3" t="s">
        <v>650</v>
      </c>
      <c r="C149" s="3" t="s">
        <v>1006</v>
      </c>
      <c r="D149" s="13">
        <v>90433</v>
      </c>
      <c r="E149" s="6" t="s">
        <v>1096</v>
      </c>
    </row>
    <row r="150" spans="1:5" ht="15" thickBot="1">
      <c r="A150" s="3" t="s">
        <v>152</v>
      </c>
      <c r="B150" s="3" t="s">
        <v>651</v>
      </c>
      <c r="C150" s="3" t="s">
        <v>1004</v>
      </c>
      <c r="D150" s="13">
        <v>79230</v>
      </c>
      <c r="E150" s="6" t="s">
        <v>1097</v>
      </c>
    </row>
    <row r="151" spans="1:5" ht="15" thickBot="1">
      <c r="A151" s="3" t="s">
        <v>153</v>
      </c>
      <c r="B151" s="3" t="s">
        <v>652</v>
      </c>
      <c r="C151" s="3" t="s">
        <v>1008</v>
      </c>
      <c r="D151" s="13">
        <v>83173</v>
      </c>
      <c r="E151" s="6" t="s">
        <v>1098</v>
      </c>
    </row>
    <row r="152" spans="1:5" ht="15" thickBot="1">
      <c r="A152" s="3" t="s">
        <v>154</v>
      </c>
      <c r="B152" s="3" t="s">
        <v>653</v>
      </c>
      <c r="C152" s="3" t="s">
        <v>1005</v>
      </c>
      <c r="D152" s="13">
        <v>81963</v>
      </c>
      <c r="E152" s="6" t="s">
        <v>1099</v>
      </c>
    </row>
    <row r="153" spans="1:5" ht="15" thickBot="1">
      <c r="A153" s="3" t="s">
        <v>155</v>
      </c>
      <c r="B153" s="3" t="s">
        <v>654</v>
      </c>
      <c r="C153" s="3" t="s">
        <v>1006</v>
      </c>
      <c r="D153" s="13">
        <v>95475</v>
      </c>
      <c r="E153" s="6" t="s">
        <v>1100</v>
      </c>
    </row>
    <row r="154" spans="1:5" ht="15" thickBot="1">
      <c r="A154" s="3" t="s">
        <v>156</v>
      </c>
      <c r="B154" s="3" t="s">
        <v>655</v>
      </c>
      <c r="C154" s="3" t="s">
        <v>1006</v>
      </c>
      <c r="D154" s="13">
        <v>83639</v>
      </c>
      <c r="E154" s="6">
        <v>43836</v>
      </c>
    </row>
    <row r="155" spans="1:5" ht="15" thickBot="1">
      <c r="A155" s="4" t="s">
        <v>157</v>
      </c>
      <c r="B155" s="4" t="s">
        <v>656</v>
      </c>
      <c r="C155" s="4" t="s">
        <v>1007</v>
      </c>
      <c r="D155" s="14">
        <v>74150</v>
      </c>
      <c r="E155" s="8">
        <v>43867</v>
      </c>
    </row>
    <row r="156" spans="1:5" ht="15" thickBot="1">
      <c r="A156" s="3" t="s">
        <v>158</v>
      </c>
      <c r="B156" s="3" t="s">
        <v>657</v>
      </c>
      <c r="C156" s="3" t="s">
        <v>1004</v>
      </c>
      <c r="D156" s="13">
        <v>75670</v>
      </c>
      <c r="E156" s="6">
        <v>43896</v>
      </c>
    </row>
    <row r="157" spans="1:5" ht="15" thickBot="1">
      <c r="A157" s="3" t="s">
        <v>159</v>
      </c>
      <c r="B157" s="3" t="s">
        <v>658</v>
      </c>
      <c r="C157" s="3" t="s">
        <v>1005</v>
      </c>
      <c r="D157" s="13">
        <v>51417</v>
      </c>
      <c r="E157" s="6">
        <v>43927</v>
      </c>
    </row>
    <row r="158" spans="1:5" ht="15" thickBot="1">
      <c r="A158" s="3" t="s">
        <v>160</v>
      </c>
      <c r="B158" s="3" t="s">
        <v>659</v>
      </c>
      <c r="C158" s="3" t="s">
        <v>1008</v>
      </c>
      <c r="D158" s="13">
        <v>83925</v>
      </c>
      <c r="E158" s="6">
        <v>43957</v>
      </c>
    </row>
    <row r="159" spans="1:5" ht="15" thickBot="1">
      <c r="A159" s="3" t="s">
        <v>161</v>
      </c>
      <c r="B159" s="3" t="s">
        <v>660</v>
      </c>
      <c r="C159" s="3" t="s">
        <v>1008</v>
      </c>
      <c r="D159" s="13">
        <v>54908</v>
      </c>
      <c r="E159" s="6">
        <v>43988</v>
      </c>
    </row>
    <row r="160" spans="1:5" ht="15" thickBot="1">
      <c r="A160" s="3" t="s">
        <v>162</v>
      </c>
      <c r="B160" s="3" t="s">
        <v>661</v>
      </c>
      <c r="C160" s="3" t="s">
        <v>1005</v>
      </c>
      <c r="D160" s="13">
        <v>89617</v>
      </c>
      <c r="E160" s="6">
        <v>44018</v>
      </c>
    </row>
    <row r="161" spans="1:5" ht="15" thickBot="1">
      <c r="A161" s="3" t="s">
        <v>163</v>
      </c>
      <c r="B161" s="3" t="s">
        <v>662</v>
      </c>
      <c r="C161" s="3" t="s">
        <v>1006</v>
      </c>
      <c r="D161" s="13">
        <v>70446</v>
      </c>
      <c r="E161" s="6">
        <v>44049</v>
      </c>
    </row>
    <row r="162" spans="1:5" ht="15" thickBot="1">
      <c r="A162" s="3" t="s">
        <v>164</v>
      </c>
      <c r="B162" s="3" t="s">
        <v>663</v>
      </c>
      <c r="C162" s="3" t="s">
        <v>1008</v>
      </c>
      <c r="D162" s="13">
        <v>66031</v>
      </c>
      <c r="E162" s="6">
        <v>44080</v>
      </c>
    </row>
    <row r="163" spans="1:5" ht="15" thickBot="1">
      <c r="A163" s="3" t="s">
        <v>165</v>
      </c>
      <c r="B163" s="3" t="s">
        <v>664</v>
      </c>
      <c r="C163" s="3" t="s">
        <v>1004</v>
      </c>
      <c r="D163" s="13">
        <v>91440</v>
      </c>
      <c r="E163" s="6">
        <v>44110</v>
      </c>
    </row>
    <row r="164" spans="1:5" ht="15" thickBot="1">
      <c r="A164" s="3" t="s">
        <v>166</v>
      </c>
      <c r="B164" s="3" t="s">
        <v>665</v>
      </c>
      <c r="C164" s="3" t="s">
        <v>1004</v>
      </c>
      <c r="D164" s="13">
        <v>32754</v>
      </c>
      <c r="E164" s="6">
        <v>44141</v>
      </c>
    </row>
    <row r="165" spans="1:5" ht="15" thickBot="1">
      <c r="A165" s="3" t="s">
        <v>167</v>
      </c>
      <c r="B165" s="3" t="s">
        <v>666</v>
      </c>
      <c r="C165" s="3" t="s">
        <v>1006</v>
      </c>
      <c r="D165" s="13">
        <v>45611</v>
      </c>
      <c r="E165" s="6">
        <v>44171</v>
      </c>
    </row>
    <row r="166" spans="1:5" ht="15" thickBot="1">
      <c r="A166" s="3" t="s">
        <v>168</v>
      </c>
      <c r="B166" s="3" t="s">
        <v>667</v>
      </c>
      <c r="C166" s="3" t="s">
        <v>1005</v>
      </c>
      <c r="D166" s="13">
        <v>96242</v>
      </c>
      <c r="E166" s="6" t="s">
        <v>1101</v>
      </c>
    </row>
    <row r="167" spans="1:5" ht="15" thickBot="1">
      <c r="A167" s="3" t="s">
        <v>169</v>
      </c>
      <c r="B167" s="3" t="s">
        <v>668</v>
      </c>
      <c r="C167" s="3" t="s">
        <v>1006</v>
      </c>
      <c r="D167" s="13">
        <v>92741</v>
      </c>
      <c r="E167" s="6" t="s">
        <v>1102</v>
      </c>
    </row>
    <row r="168" spans="1:5" ht="15" thickBot="1">
      <c r="A168" s="3" t="s">
        <v>170</v>
      </c>
      <c r="B168" s="3" t="s">
        <v>669</v>
      </c>
      <c r="C168" s="3" t="s">
        <v>1008</v>
      </c>
      <c r="D168" s="13">
        <v>72522</v>
      </c>
      <c r="E168" s="6" t="s">
        <v>1103</v>
      </c>
    </row>
    <row r="169" spans="1:5" ht="15" thickBot="1">
      <c r="A169" s="3" t="s">
        <v>171</v>
      </c>
      <c r="B169" s="3" t="s">
        <v>670</v>
      </c>
      <c r="C169" s="3" t="s">
        <v>1005</v>
      </c>
      <c r="D169" s="13">
        <v>62078</v>
      </c>
      <c r="E169" s="6" t="s">
        <v>1104</v>
      </c>
    </row>
    <row r="170" spans="1:5" ht="15" thickBot="1">
      <c r="A170" s="3" t="s">
        <v>172</v>
      </c>
      <c r="B170" s="3" t="s">
        <v>671</v>
      </c>
      <c r="C170" s="3" t="s">
        <v>1006</v>
      </c>
      <c r="D170" s="13">
        <v>92616</v>
      </c>
      <c r="E170" s="6" t="s">
        <v>1105</v>
      </c>
    </row>
    <row r="171" spans="1:5" ht="15" thickBot="1">
      <c r="A171" s="3" t="s">
        <v>173</v>
      </c>
      <c r="B171" s="3" t="s">
        <v>672</v>
      </c>
      <c r="C171" s="3" t="s">
        <v>1008</v>
      </c>
      <c r="D171" s="13">
        <v>43383</v>
      </c>
      <c r="E171" s="6" t="s">
        <v>1106</v>
      </c>
    </row>
    <row r="172" spans="1:5" ht="15" thickBot="1">
      <c r="A172" s="3" t="s">
        <v>174</v>
      </c>
      <c r="B172" s="3" t="s">
        <v>673</v>
      </c>
      <c r="C172" s="3" t="s">
        <v>1008</v>
      </c>
      <c r="D172" s="13">
        <v>39121</v>
      </c>
      <c r="E172" s="6" t="s">
        <v>1107</v>
      </c>
    </row>
    <row r="173" spans="1:5" ht="15" thickBot="1">
      <c r="A173" s="3" t="s">
        <v>175</v>
      </c>
      <c r="B173" s="3" t="s">
        <v>674</v>
      </c>
      <c r="C173" s="3" t="s">
        <v>1004</v>
      </c>
      <c r="D173" s="13">
        <v>70153</v>
      </c>
      <c r="E173" s="6" t="s">
        <v>1108</v>
      </c>
    </row>
    <row r="174" spans="1:5" ht="15" thickBot="1">
      <c r="A174" s="3" t="s">
        <v>176</v>
      </c>
      <c r="B174" s="3" t="s">
        <v>675</v>
      </c>
      <c r="C174" s="3" t="s">
        <v>1004</v>
      </c>
      <c r="D174" s="13">
        <v>76545</v>
      </c>
      <c r="E174" s="6" t="s">
        <v>1109</v>
      </c>
    </row>
    <row r="175" spans="1:5" ht="15" thickBot="1">
      <c r="A175" s="3" t="s">
        <v>177</v>
      </c>
      <c r="B175" s="3" t="s">
        <v>676</v>
      </c>
      <c r="C175" s="3" t="s">
        <v>1008</v>
      </c>
      <c r="D175" s="13">
        <v>56903</v>
      </c>
      <c r="E175" s="6" t="s">
        <v>1110</v>
      </c>
    </row>
    <row r="176" spans="1:5" ht="15" thickBot="1">
      <c r="A176" s="3" t="s">
        <v>178</v>
      </c>
      <c r="B176" s="3" t="s">
        <v>677</v>
      </c>
      <c r="C176" s="3" t="s">
        <v>1005</v>
      </c>
      <c r="D176" s="13">
        <v>85358</v>
      </c>
      <c r="E176" s="6" t="s">
        <v>1111</v>
      </c>
    </row>
    <row r="177" spans="1:5" ht="15" thickBot="1">
      <c r="A177" s="4" t="s">
        <v>179</v>
      </c>
      <c r="B177" s="4" t="s">
        <v>678</v>
      </c>
      <c r="C177" s="4" t="s">
        <v>1007</v>
      </c>
      <c r="D177" s="14">
        <v>93831</v>
      </c>
      <c r="E177" s="8" t="s">
        <v>1112</v>
      </c>
    </row>
    <row r="178" spans="1:5" ht="15" thickBot="1">
      <c r="A178" s="3" t="s">
        <v>180</v>
      </c>
      <c r="B178" s="3" t="s">
        <v>679</v>
      </c>
      <c r="C178" s="3" t="s">
        <v>1008</v>
      </c>
      <c r="D178" s="13">
        <v>81047</v>
      </c>
      <c r="E178" s="6" t="s">
        <v>1113</v>
      </c>
    </row>
    <row r="179" spans="1:5" ht="15" thickBot="1">
      <c r="A179" s="3" t="s">
        <v>181</v>
      </c>
      <c r="B179" s="3" t="s">
        <v>680</v>
      </c>
      <c r="C179" s="3" t="s">
        <v>1004</v>
      </c>
      <c r="D179" s="13">
        <v>48862</v>
      </c>
      <c r="E179" s="6" t="s">
        <v>1114</v>
      </c>
    </row>
    <row r="180" spans="1:5" ht="15" thickBot="1">
      <c r="A180" s="4" t="s">
        <v>182</v>
      </c>
      <c r="B180" s="4" t="s">
        <v>681</v>
      </c>
      <c r="C180" s="4" t="s">
        <v>1007</v>
      </c>
      <c r="D180" s="14">
        <v>98927</v>
      </c>
      <c r="E180" s="8" t="s">
        <v>1115</v>
      </c>
    </row>
    <row r="181" spans="1:5" ht="15" thickBot="1">
      <c r="A181" s="3" t="s">
        <v>183</v>
      </c>
      <c r="B181" s="3" t="s">
        <v>682</v>
      </c>
      <c r="C181" s="3" t="s">
        <v>1008</v>
      </c>
      <c r="D181" s="13">
        <v>68059</v>
      </c>
      <c r="E181" s="6" t="s">
        <v>1116</v>
      </c>
    </row>
    <row r="182" spans="1:5" ht="15" thickBot="1">
      <c r="A182" s="3" t="s">
        <v>184</v>
      </c>
      <c r="B182" s="3" t="s">
        <v>683</v>
      </c>
      <c r="C182" s="3" t="s">
        <v>1008</v>
      </c>
      <c r="D182" s="13">
        <v>79939</v>
      </c>
      <c r="E182" s="6" t="s">
        <v>1117</v>
      </c>
    </row>
    <row r="183" spans="1:5" ht="15" thickBot="1">
      <c r="A183" s="3" t="s">
        <v>185</v>
      </c>
      <c r="B183" s="3" t="s">
        <v>684</v>
      </c>
      <c r="C183" s="3" t="s">
        <v>1004</v>
      </c>
      <c r="D183" s="13">
        <v>47313</v>
      </c>
      <c r="E183" s="6" t="s">
        <v>1118</v>
      </c>
    </row>
    <row r="184" spans="1:5" ht="15" thickBot="1">
      <c r="A184" s="3" t="s">
        <v>186</v>
      </c>
      <c r="B184" s="3" t="s">
        <v>685</v>
      </c>
      <c r="C184" s="3" t="s">
        <v>1006</v>
      </c>
      <c r="D184" s="13">
        <v>97664</v>
      </c>
      <c r="E184" s="6">
        <v>43837</v>
      </c>
    </row>
    <row r="185" spans="1:5" ht="15" thickBot="1">
      <c r="A185" s="3" t="s">
        <v>187</v>
      </c>
      <c r="B185" s="3" t="s">
        <v>686</v>
      </c>
      <c r="C185" s="3" t="s">
        <v>1008</v>
      </c>
      <c r="D185" s="13">
        <v>91049</v>
      </c>
      <c r="E185" s="6">
        <v>43868</v>
      </c>
    </row>
    <row r="186" spans="1:5" ht="15" thickBot="1">
      <c r="A186" s="3" t="s">
        <v>188</v>
      </c>
      <c r="B186" s="3" t="s">
        <v>687</v>
      </c>
      <c r="C186" s="3" t="s">
        <v>1008</v>
      </c>
      <c r="D186" s="13">
        <v>30061</v>
      </c>
      <c r="E186" s="6">
        <v>43897</v>
      </c>
    </row>
    <row r="187" spans="1:5" ht="15" thickBot="1">
      <c r="A187" s="4" t="s">
        <v>189</v>
      </c>
      <c r="B187" s="4" t="s">
        <v>688</v>
      </c>
      <c r="C187" s="4" t="s">
        <v>1007</v>
      </c>
      <c r="D187" s="14">
        <v>59420</v>
      </c>
      <c r="E187" s="8">
        <v>43928</v>
      </c>
    </row>
    <row r="188" spans="1:5" ht="15" thickBot="1">
      <c r="A188" s="3" t="s">
        <v>190</v>
      </c>
      <c r="B188" s="3" t="s">
        <v>689</v>
      </c>
      <c r="C188" s="3" t="s">
        <v>1008</v>
      </c>
      <c r="D188" s="13">
        <v>74612</v>
      </c>
      <c r="E188" s="6">
        <v>43958</v>
      </c>
    </row>
    <row r="189" spans="1:5" ht="15" thickBot="1">
      <c r="A189" s="3" t="s">
        <v>191</v>
      </c>
      <c r="B189" s="3" t="s">
        <v>690</v>
      </c>
      <c r="C189" s="3" t="s">
        <v>1006</v>
      </c>
      <c r="D189" s="13">
        <v>86408</v>
      </c>
      <c r="E189" s="6">
        <v>43989</v>
      </c>
    </row>
    <row r="190" spans="1:5" ht="15" thickBot="1">
      <c r="A190" s="4" t="s">
        <v>192</v>
      </c>
      <c r="B190" s="4" t="s">
        <v>691</v>
      </c>
      <c r="C190" s="4" t="s">
        <v>1007</v>
      </c>
      <c r="D190" s="14">
        <v>54198</v>
      </c>
      <c r="E190" s="8">
        <v>44019</v>
      </c>
    </row>
    <row r="191" spans="1:5" ht="15" thickBot="1">
      <c r="A191" s="3" t="s">
        <v>193</v>
      </c>
      <c r="B191" s="3" t="s">
        <v>692</v>
      </c>
      <c r="C191" s="3" t="s">
        <v>1004</v>
      </c>
      <c r="D191" s="13">
        <v>41661</v>
      </c>
      <c r="E191" s="6">
        <v>44050</v>
      </c>
    </row>
    <row r="192" spans="1:5" ht="15" thickBot="1">
      <c r="A192" s="3" t="s">
        <v>194</v>
      </c>
      <c r="B192" s="3" t="s">
        <v>693</v>
      </c>
      <c r="C192" s="3" t="s">
        <v>1006</v>
      </c>
      <c r="D192" s="13">
        <v>57879</v>
      </c>
      <c r="E192" s="6">
        <v>44081</v>
      </c>
    </row>
    <row r="193" spans="1:5" ht="15" thickBot="1">
      <c r="A193" s="4" t="s">
        <v>195</v>
      </c>
      <c r="B193" s="4" t="s">
        <v>694</v>
      </c>
      <c r="C193" s="4" t="s">
        <v>1007</v>
      </c>
      <c r="D193" s="14">
        <v>81417</v>
      </c>
      <c r="E193" s="8">
        <v>44111</v>
      </c>
    </row>
    <row r="194" spans="1:5" ht="15" thickBot="1">
      <c r="A194" s="4" t="s">
        <v>196</v>
      </c>
      <c r="B194" s="4" t="s">
        <v>695</v>
      </c>
      <c r="C194" s="4" t="s">
        <v>1007</v>
      </c>
      <c r="D194" s="14">
        <v>87702</v>
      </c>
      <c r="E194" s="8">
        <v>44142</v>
      </c>
    </row>
    <row r="195" spans="1:5" ht="15" thickBot="1">
      <c r="A195" s="4" t="s">
        <v>197</v>
      </c>
      <c r="B195" s="4" t="s">
        <v>696</v>
      </c>
      <c r="C195" s="4" t="s">
        <v>1007</v>
      </c>
      <c r="D195" s="14">
        <v>56427</v>
      </c>
      <c r="E195" s="8">
        <v>44172</v>
      </c>
    </row>
    <row r="196" spans="1:5" ht="15" thickBot="1">
      <c r="A196" s="3" t="s">
        <v>198</v>
      </c>
      <c r="B196" s="3" t="s">
        <v>697</v>
      </c>
      <c r="C196" s="3" t="s">
        <v>1004</v>
      </c>
      <c r="D196" s="13">
        <v>30915</v>
      </c>
      <c r="E196" s="6" t="s">
        <v>1119</v>
      </c>
    </row>
    <row r="197" spans="1:5" ht="15" thickBot="1">
      <c r="A197" s="3" t="s">
        <v>199</v>
      </c>
      <c r="B197" s="3" t="s">
        <v>698</v>
      </c>
      <c r="C197" s="3" t="s">
        <v>1004</v>
      </c>
      <c r="D197" s="13">
        <v>61665</v>
      </c>
      <c r="E197" s="6" t="s">
        <v>1120</v>
      </c>
    </row>
    <row r="198" spans="1:5" ht="15" thickBot="1">
      <c r="A198" s="4" t="s">
        <v>200</v>
      </c>
      <c r="B198" s="4" t="s">
        <v>699</v>
      </c>
      <c r="C198" s="4" t="s">
        <v>1007</v>
      </c>
      <c r="D198" s="14">
        <v>52389</v>
      </c>
      <c r="E198" s="8" t="s">
        <v>1121</v>
      </c>
    </row>
    <row r="199" spans="1:5" ht="15" thickBot="1">
      <c r="A199" s="4" t="s">
        <v>201</v>
      </c>
      <c r="B199" s="4" t="s">
        <v>700</v>
      </c>
      <c r="C199" s="4" t="s">
        <v>1007</v>
      </c>
      <c r="D199" s="14">
        <v>31822</v>
      </c>
      <c r="E199" s="8" t="s">
        <v>1122</v>
      </c>
    </row>
    <row r="200" spans="1:5" ht="15" thickBot="1">
      <c r="A200" s="3" t="s">
        <v>202</v>
      </c>
      <c r="B200" s="3" t="s">
        <v>701</v>
      </c>
      <c r="C200" s="3" t="s">
        <v>1005</v>
      </c>
      <c r="D200" s="13">
        <v>37131</v>
      </c>
      <c r="E200" s="6" t="s">
        <v>1123</v>
      </c>
    </row>
    <row r="201" spans="1:5" ht="15" thickBot="1">
      <c r="A201" s="3" t="s">
        <v>203</v>
      </c>
      <c r="B201" s="3" t="s">
        <v>702</v>
      </c>
      <c r="C201" s="3" t="s">
        <v>1005</v>
      </c>
      <c r="D201" s="13">
        <v>34738</v>
      </c>
      <c r="E201" s="6" t="s">
        <v>1124</v>
      </c>
    </row>
    <row r="202" spans="1:5" ht="15" thickBot="1">
      <c r="A202" s="4" t="s">
        <v>204</v>
      </c>
      <c r="B202" s="4" t="s">
        <v>703</v>
      </c>
      <c r="C202" s="4" t="s">
        <v>1007</v>
      </c>
      <c r="D202" s="14">
        <v>56268</v>
      </c>
      <c r="E202" s="8" t="s">
        <v>1125</v>
      </c>
    </row>
    <row r="203" spans="1:5" ht="15" thickBot="1">
      <c r="A203" s="3" t="s">
        <v>205</v>
      </c>
      <c r="B203" s="3" t="s">
        <v>704</v>
      </c>
      <c r="C203" s="3" t="s">
        <v>1006</v>
      </c>
      <c r="D203" s="13">
        <v>59862</v>
      </c>
      <c r="E203" s="6" t="s">
        <v>1126</v>
      </c>
    </row>
    <row r="204" spans="1:5" ht="15" thickBot="1">
      <c r="A204" s="4" t="s">
        <v>206</v>
      </c>
      <c r="B204" s="4" t="s">
        <v>705</v>
      </c>
      <c r="C204" s="4" t="s">
        <v>1007</v>
      </c>
      <c r="D204" s="14">
        <v>59155</v>
      </c>
      <c r="E204" s="8" t="s">
        <v>1127</v>
      </c>
    </row>
    <row r="205" spans="1:5" ht="15" thickBot="1">
      <c r="A205" s="4" t="s">
        <v>207</v>
      </c>
      <c r="B205" s="4" t="s">
        <v>706</v>
      </c>
      <c r="C205" s="4" t="s">
        <v>1007</v>
      </c>
      <c r="D205" s="14">
        <v>40231</v>
      </c>
      <c r="E205" s="8" t="s">
        <v>1128</v>
      </c>
    </row>
    <row r="206" spans="1:5" ht="15" thickBot="1">
      <c r="A206" s="3" t="s">
        <v>208</v>
      </c>
      <c r="B206" s="3" t="s">
        <v>707</v>
      </c>
      <c r="C206" s="3" t="s">
        <v>1005</v>
      </c>
      <c r="D206" s="13">
        <v>41413</v>
      </c>
      <c r="E206" s="6" t="s">
        <v>1129</v>
      </c>
    </row>
    <row r="207" spans="1:5" ht="15" thickBot="1">
      <c r="A207" s="3" t="s">
        <v>209</v>
      </c>
      <c r="B207" s="3" t="s">
        <v>708</v>
      </c>
      <c r="C207" s="3" t="s">
        <v>1006</v>
      </c>
      <c r="D207" s="13">
        <v>98712</v>
      </c>
      <c r="E207" s="6" t="s">
        <v>1130</v>
      </c>
    </row>
    <row r="208" spans="1:5" ht="15" thickBot="1">
      <c r="A208" s="3" t="s">
        <v>210</v>
      </c>
      <c r="B208" s="3" t="s">
        <v>709</v>
      </c>
      <c r="C208" s="3" t="s">
        <v>1005</v>
      </c>
      <c r="D208" s="13">
        <v>41145</v>
      </c>
      <c r="E208" s="6" t="s">
        <v>1131</v>
      </c>
    </row>
    <row r="209" spans="1:5" ht="15" thickBot="1">
      <c r="A209" s="3" t="s">
        <v>211</v>
      </c>
      <c r="B209" s="3" t="s">
        <v>710</v>
      </c>
      <c r="C209" s="3" t="s">
        <v>1004</v>
      </c>
      <c r="D209" s="13">
        <v>52219</v>
      </c>
      <c r="E209" s="6" t="s">
        <v>1132</v>
      </c>
    </row>
    <row r="210" spans="1:5" ht="15" thickBot="1">
      <c r="A210" s="4" t="s">
        <v>212</v>
      </c>
      <c r="B210" s="4" t="s">
        <v>711</v>
      </c>
      <c r="C210" s="4" t="s">
        <v>1007</v>
      </c>
      <c r="D210" s="14">
        <v>57143</v>
      </c>
      <c r="E210" s="8" t="s">
        <v>1133</v>
      </c>
    </row>
    <row r="211" spans="1:5" ht="15" thickBot="1">
      <c r="A211" s="3" t="s">
        <v>213</v>
      </c>
      <c r="B211" s="3" t="s">
        <v>712</v>
      </c>
      <c r="C211" s="3" t="s">
        <v>1004</v>
      </c>
      <c r="D211" s="13">
        <v>74451</v>
      </c>
      <c r="E211" s="6" t="s">
        <v>1134</v>
      </c>
    </row>
    <row r="212" spans="1:5" ht="15" thickBot="1">
      <c r="A212" s="3" t="s">
        <v>214</v>
      </c>
      <c r="B212" s="3" t="s">
        <v>713</v>
      </c>
      <c r="C212" s="3" t="s">
        <v>1008</v>
      </c>
      <c r="D212" s="13">
        <v>99392</v>
      </c>
      <c r="E212" s="6" t="s">
        <v>1135</v>
      </c>
    </row>
    <row r="213" spans="1:5" ht="15" thickBot="1">
      <c r="A213" s="3" t="s">
        <v>215</v>
      </c>
      <c r="B213" s="3" t="s">
        <v>714</v>
      </c>
      <c r="C213" s="3" t="s">
        <v>1008</v>
      </c>
      <c r="D213" s="13">
        <v>95072</v>
      </c>
      <c r="E213" s="6" t="s">
        <v>1136</v>
      </c>
    </row>
    <row r="214" spans="1:5" ht="15" thickBot="1">
      <c r="A214" s="3" t="s">
        <v>216</v>
      </c>
      <c r="B214" s="3" t="s">
        <v>715</v>
      </c>
      <c r="C214" s="3" t="s">
        <v>1008</v>
      </c>
      <c r="D214" s="13">
        <v>38566</v>
      </c>
      <c r="E214" s="6" t="s">
        <v>1137</v>
      </c>
    </row>
    <row r="215" spans="1:5" ht="15" thickBot="1">
      <c r="A215" s="3" t="s">
        <v>217</v>
      </c>
      <c r="B215" s="3" t="s">
        <v>716</v>
      </c>
      <c r="C215" s="3" t="s">
        <v>1005</v>
      </c>
      <c r="D215" s="13">
        <v>47725</v>
      </c>
      <c r="E215" s="6">
        <v>43838</v>
      </c>
    </row>
    <row r="216" spans="1:5" ht="15" thickBot="1">
      <c r="A216" s="4" t="s">
        <v>218</v>
      </c>
      <c r="B216" s="4" t="s">
        <v>717</v>
      </c>
      <c r="C216" s="4" t="s">
        <v>1007</v>
      </c>
      <c r="D216" s="14">
        <v>40077</v>
      </c>
      <c r="E216" s="8">
        <v>43869</v>
      </c>
    </row>
    <row r="217" spans="1:5" ht="15" thickBot="1">
      <c r="A217" s="3" t="s">
        <v>219</v>
      </c>
      <c r="B217" s="3" t="s">
        <v>718</v>
      </c>
      <c r="C217" s="3" t="s">
        <v>1008</v>
      </c>
      <c r="D217" s="13">
        <v>81234</v>
      </c>
      <c r="E217" s="6">
        <v>43898</v>
      </c>
    </row>
    <row r="218" spans="1:5" ht="15" thickBot="1">
      <c r="A218" s="3" t="s">
        <v>220</v>
      </c>
      <c r="B218" s="3" t="s">
        <v>719</v>
      </c>
      <c r="C218" s="3" t="s">
        <v>1008</v>
      </c>
      <c r="D218" s="13">
        <v>68579</v>
      </c>
      <c r="E218" s="6">
        <v>43929</v>
      </c>
    </row>
    <row r="219" spans="1:5" ht="15" thickBot="1">
      <c r="A219" s="3" t="s">
        <v>221</v>
      </c>
      <c r="B219" s="3" t="s">
        <v>720</v>
      </c>
      <c r="C219" s="3" t="s">
        <v>1005</v>
      </c>
      <c r="D219" s="13">
        <v>71204</v>
      </c>
      <c r="E219" s="6">
        <v>43959</v>
      </c>
    </row>
    <row r="220" spans="1:5" ht="15" thickBot="1">
      <c r="A220" s="4" t="s">
        <v>222</v>
      </c>
      <c r="B220" s="4" t="s">
        <v>721</v>
      </c>
      <c r="C220" s="4" t="s">
        <v>1007</v>
      </c>
      <c r="D220" s="14">
        <v>65102</v>
      </c>
      <c r="E220" s="8">
        <v>43990</v>
      </c>
    </row>
    <row r="221" spans="1:5" ht="15" thickBot="1">
      <c r="A221" s="4" t="s">
        <v>223</v>
      </c>
      <c r="B221" s="4" t="s">
        <v>722</v>
      </c>
      <c r="C221" s="4" t="s">
        <v>1007</v>
      </c>
      <c r="D221" s="14">
        <v>62328</v>
      </c>
      <c r="E221" s="8">
        <v>44020</v>
      </c>
    </row>
    <row r="222" spans="1:5" ht="15" thickBot="1">
      <c r="A222" s="3" t="s">
        <v>224</v>
      </c>
      <c r="B222" s="3" t="s">
        <v>723</v>
      </c>
      <c r="C222" s="3" t="s">
        <v>1008</v>
      </c>
      <c r="D222" s="13">
        <v>86105</v>
      </c>
      <c r="E222" s="6">
        <v>44051</v>
      </c>
    </row>
    <row r="223" spans="1:5" ht="15" thickBot="1">
      <c r="A223" s="3" t="s">
        <v>225</v>
      </c>
      <c r="B223" s="3" t="s">
        <v>724</v>
      </c>
      <c r="C223" s="3" t="s">
        <v>1005</v>
      </c>
      <c r="D223" s="13">
        <v>63323</v>
      </c>
      <c r="E223" s="6">
        <v>44082</v>
      </c>
    </row>
    <row r="224" spans="1:5" ht="15" thickBot="1">
      <c r="A224" s="3" t="s">
        <v>226</v>
      </c>
      <c r="B224" s="3" t="s">
        <v>725</v>
      </c>
      <c r="C224" s="3" t="s">
        <v>1008</v>
      </c>
      <c r="D224" s="13">
        <v>47637</v>
      </c>
      <c r="E224" s="6">
        <v>44112</v>
      </c>
    </row>
    <row r="225" spans="1:5" ht="15" thickBot="1">
      <c r="A225" s="3" t="s">
        <v>227</v>
      </c>
      <c r="B225" s="3" t="s">
        <v>726</v>
      </c>
      <c r="C225" s="3" t="s">
        <v>1004</v>
      </c>
      <c r="D225" s="13">
        <v>67436</v>
      </c>
      <c r="E225" s="6">
        <v>44143</v>
      </c>
    </row>
    <row r="226" spans="1:5" ht="15" thickBot="1">
      <c r="A226" s="3" t="s">
        <v>228</v>
      </c>
      <c r="B226" s="3" t="s">
        <v>727</v>
      </c>
      <c r="C226" s="3" t="s">
        <v>1006</v>
      </c>
      <c r="D226" s="13">
        <v>43635</v>
      </c>
      <c r="E226" s="6">
        <v>44173</v>
      </c>
    </row>
    <row r="227" spans="1:5" ht="15" thickBot="1">
      <c r="A227" s="4" t="s">
        <v>229</v>
      </c>
      <c r="B227" s="4" t="s">
        <v>728</v>
      </c>
      <c r="C227" s="4" t="s">
        <v>1007</v>
      </c>
      <c r="D227" s="14">
        <v>36158</v>
      </c>
      <c r="E227" s="8" t="s">
        <v>1138</v>
      </c>
    </row>
    <row r="228" spans="1:5" ht="15" thickBot="1">
      <c r="A228" s="4" t="s">
        <v>230</v>
      </c>
      <c r="B228" s="4" t="s">
        <v>729</v>
      </c>
      <c r="C228" s="4" t="s">
        <v>1007</v>
      </c>
      <c r="D228" s="14">
        <v>74996</v>
      </c>
      <c r="E228" s="8" t="s">
        <v>1139</v>
      </c>
    </row>
    <row r="229" spans="1:5" ht="15" thickBot="1">
      <c r="A229" s="3" t="s">
        <v>231</v>
      </c>
      <c r="B229" s="3" t="s">
        <v>730</v>
      </c>
      <c r="C229" s="3" t="s">
        <v>1008</v>
      </c>
      <c r="D229" s="13">
        <v>72159</v>
      </c>
      <c r="E229" s="6" t="s">
        <v>1140</v>
      </c>
    </row>
    <row r="230" spans="1:5" ht="15" thickBot="1">
      <c r="A230" s="3" t="s">
        <v>232</v>
      </c>
      <c r="B230" s="3" t="s">
        <v>731</v>
      </c>
      <c r="C230" s="3" t="s">
        <v>1005</v>
      </c>
      <c r="D230" s="13">
        <v>52243</v>
      </c>
      <c r="E230" s="6" t="s">
        <v>1141</v>
      </c>
    </row>
    <row r="231" spans="1:5" ht="15" thickBot="1">
      <c r="A231" s="3" t="s">
        <v>233</v>
      </c>
      <c r="B231" s="3" t="s">
        <v>732</v>
      </c>
      <c r="C231" s="3" t="s">
        <v>1005</v>
      </c>
      <c r="D231" s="13">
        <v>57281</v>
      </c>
      <c r="E231" s="6" t="s">
        <v>1142</v>
      </c>
    </row>
    <row r="232" spans="1:5" ht="15" thickBot="1">
      <c r="A232" s="3" t="s">
        <v>234</v>
      </c>
      <c r="B232" s="3" t="s">
        <v>733</v>
      </c>
      <c r="C232" s="3" t="s">
        <v>1006</v>
      </c>
      <c r="D232" s="13">
        <v>60009</v>
      </c>
      <c r="E232" s="6" t="s">
        <v>1143</v>
      </c>
    </row>
    <row r="233" spans="1:5" ht="15" thickBot="1">
      <c r="A233" s="3" t="s">
        <v>235</v>
      </c>
      <c r="B233" s="3" t="s">
        <v>734</v>
      </c>
      <c r="C233" s="3" t="s">
        <v>1005</v>
      </c>
      <c r="D233" s="13">
        <v>88475</v>
      </c>
      <c r="E233" s="6" t="s">
        <v>1144</v>
      </c>
    </row>
    <row r="234" spans="1:5" ht="15" thickBot="1">
      <c r="A234" s="4" t="s">
        <v>236</v>
      </c>
      <c r="B234" s="4" t="s">
        <v>735</v>
      </c>
      <c r="C234" s="4" t="s">
        <v>1007</v>
      </c>
      <c r="D234" s="14">
        <v>40616</v>
      </c>
      <c r="E234" s="8" t="s">
        <v>1145</v>
      </c>
    </row>
    <row r="235" spans="1:5" ht="15" thickBot="1">
      <c r="A235" s="3" t="s">
        <v>237</v>
      </c>
      <c r="B235" s="3" t="s">
        <v>736</v>
      </c>
      <c r="C235" s="3" t="s">
        <v>1006</v>
      </c>
      <c r="D235" s="13">
        <v>39883</v>
      </c>
      <c r="E235" s="6" t="s">
        <v>1146</v>
      </c>
    </row>
    <row r="236" spans="1:5" ht="15" thickBot="1">
      <c r="A236" s="3" t="s">
        <v>238</v>
      </c>
      <c r="B236" s="3" t="s">
        <v>737</v>
      </c>
      <c r="C236" s="3" t="s">
        <v>1005</v>
      </c>
      <c r="D236" s="13">
        <v>68791</v>
      </c>
      <c r="E236" s="6" t="s">
        <v>1147</v>
      </c>
    </row>
    <row r="237" spans="1:5" ht="15" thickBot="1">
      <c r="A237" s="3" t="s">
        <v>239</v>
      </c>
      <c r="B237" s="3" t="s">
        <v>738</v>
      </c>
      <c r="C237" s="3" t="s">
        <v>1005</v>
      </c>
      <c r="D237" s="13">
        <v>60282</v>
      </c>
      <c r="E237" s="6" t="s">
        <v>1148</v>
      </c>
    </row>
    <row r="238" spans="1:5" ht="15" thickBot="1">
      <c r="A238" s="3" t="s">
        <v>240</v>
      </c>
      <c r="B238" s="3" t="s">
        <v>739</v>
      </c>
      <c r="C238" s="3" t="s">
        <v>1004</v>
      </c>
      <c r="D238" s="13">
        <v>42214</v>
      </c>
      <c r="E238" s="6" t="s">
        <v>1149</v>
      </c>
    </row>
    <row r="239" spans="1:5" ht="15" thickBot="1">
      <c r="A239" s="3" t="s">
        <v>241</v>
      </c>
      <c r="B239" s="3" t="s">
        <v>740</v>
      </c>
      <c r="C239" s="3" t="s">
        <v>1005</v>
      </c>
      <c r="D239" s="13">
        <v>86248</v>
      </c>
      <c r="E239" s="6" t="s">
        <v>1150</v>
      </c>
    </row>
    <row r="240" spans="1:5" ht="15" thickBot="1">
      <c r="A240" s="3" t="s">
        <v>242</v>
      </c>
      <c r="B240" s="3" t="s">
        <v>741</v>
      </c>
      <c r="C240" s="3" t="s">
        <v>1004</v>
      </c>
      <c r="D240" s="13">
        <v>35745</v>
      </c>
      <c r="E240" s="6" t="s">
        <v>1151</v>
      </c>
    </row>
    <row r="241" spans="1:5" ht="15" thickBot="1">
      <c r="A241" s="3" t="s">
        <v>243</v>
      </c>
      <c r="B241" s="3" t="s">
        <v>742</v>
      </c>
      <c r="C241" s="3" t="s">
        <v>1006</v>
      </c>
      <c r="D241" s="13">
        <v>46724</v>
      </c>
      <c r="E241" s="6" t="s">
        <v>1152</v>
      </c>
    </row>
    <row r="242" spans="1:5" ht="15" thickBot="1">
      <c r="A242" s="3" t="s">
        <v>244</v>
      </c>
      <c r="B242" s="3" t="s">
        <v>743</v>
      </c>
      <c r="C242" s="3" t="s">
        <v>1008</v>
      </c>
      <c r="D242" s="13">
        <v>84053</v>
      </c>
      <c r="E242" s="6" t="s">
        <v>1153</v>
      </c>
    </row>
    <row r="243" spans="1:5" ht="15" thickBot="1">
      <c r="A243" s="3" t="s">
        <v>245</v>
      </c>
      <c r="B243" s="3" t="s">
        <v>744</v>
      </c>
      <c r="C243" s="3" t="s">
        <v>1008</v>
      </c>
      <c r="D243" s="13">
        <v>32621</v>
      </c>
      <c r="E243" s="6" t="s">
        <v>1154</v>
      </c>
    </row>
    <row r="244" spans="1:5" ht="15" thickBot="1">
      <c r="A244" s="3" t="s">
        <v>246</v>
      </c>
      <c r="B244" s="3" t="s">
        <v>745</v>
      </c>
      <c r="C244" s="3" t="s">
        <v>1008</v>
      </c>
      <c r="D244" s="13">
        <v>30353</v>
      </c>
      <c r="E244" s="6" t="s">
        <v>1155</v>
      </c>
    </row>
    <row r="245" spans="1:5" ht="15" thickBot="1">
      <c r="A245" s="3" t="s">
        <v>247</v>
      </c>
      <c r="B245" s="3" t="s">
        <v>746</v>
      </c>
      <c r="C245" s="3" t="s">
        <v>1006</v>
      </c>
      <c r="D245" s="13">
        <v>56335</v>
      </c>
      <c r="E245" s="6" t="s">
        <v>1156</v>
      </c>
    </row>
    <row r="246" spans="1:5" ht="15" thickBot="1">
      <c r="A246" s="3" t="s">
        <v>248</v>
      </c>
      <c r="B246" s="3" t="s">
        <v>747</v>
      </c>
      <c r="C246" s="3" t="s">
        <v>1004</v>
      </c>
      <c r="D246" s="13">
        <v>33612</v>
      </c>
      <c r="E246" s="6">
        <v>43839</v>
      </c>
    </row>
    <row r="247" spans="1:5" ht="15" thickBot="1">
      <c r="A247" s="4" t="s">
        <v>249</v>
      </c>
      <c r="B247" s="4" t="s">
        <v>748</v>
      </c>
      <c r="C247" s="4" t="s">
        <v>1007</v>
      </c>
      <c r="D247" s="14">
        <v>41500</v>
      </c>
      <c r="E247" s="8">
        <v>43870</v>
      </c>
    </row>
    <row r="248" spans="1:5" ht="15" thickBot="1">
      <c r="A248" s="3" t="s">
        <v>250</v>
      </c>
      <c r="B248" s="3" t="s">
        <v>749</v>
      </c>
      <c r="C248" s="3" t="s">
        <v>1006</v>
      </c>
      <c r="D248" s="13">
        <v>64052</v>
      </c>
      <c r="E248" s="6">
        <v>43899</v>
      </c>
    </row>
    <row r="249" spans="1:5" ht="15" thickBot="1">
      <c r="A249" s="4" t="s">
        <v>251</v>
      </c>
      <c r="B249" s="4" t="s">
        <v>750</v>
      </c>
      <c r="C249" s="4" t="s">
        <v>1007</v>
      </c>
      <c r="D249" s="14">
        <v>47862</v>
      </c>
      <c r="E249" s="8">
        <v>43930</v>
      </c>
    </row>
    <row r="250" spans="1:5" ht="15" thickBot="1">
      <c r="A250" s="4" t="s">
        <v>252</v>
      </c>
      <c r="B250" s="4" t="s">
        <v>751</v>
      </c>
      <c r="C250" s="4" t="s">
        <v>1007</v>
      </c>
      <c r="D250" s="14">
        <v>44595</v>
      </c>
      <c r="E250" s="8">
        <v>43960</v>
      </c>
    </row>
    <row r="251" spans="1:5" ht="15" thickBot="1">
      <c r="A251" s="3" t="s">
        <v>253</v>
      </c>
      <c r="B251" s="3" t="s">
        <v>752</v>
      </c>
      <c r="C251" s="3" t="s">
        <v>1008</v>
      </c>
      <c r="D251" s="13">
        <v>56287</v>
      </c>
      <c r="E251" s="6">
        <v>43991</v>
      </c>
    </row>
    <row r="252" spans="1:5" ht="15" thickBot="1">
      <c r="A252" s="3" t="s">
        <v>254</v>
      </c>
      <c r="B252" s="3" t="s">
        <v>753</v>
      </c>
      <c r="C252" s="3" t="s">
        <v>1004</v>
      </c>
      <c r="D252" s="13">
        <v>82174</v>
      </c>
      <c r="E252" s="6">
        <v>44021</v>
      </c>
    </row>
    <row r="253" spans="1:5" ht="15" thickBot="1">
      <c r="A253" s="3" t="s">
        <v>255</v>
      </c>
      <c r="B253" s="3" t="s">
        <v>754</v>
      </c>
      <c r="C253" s="3" t="s">
        <v>1008</v>
      </c>
      <c r="D253" s="13">
        <v>85100</v>
      </c>
      <c r="E253" s="6">
        <v>44052</v>
      </c>
    </row>
    <row r="254" spans="1:5" ht="15" thickBot="1">
      <c r="A254" s="3" t="s">
        <v>256</v>
      </c>
      <c r="B254" s="3" t="s">
        <v>755</v>
      </c>
      <c r="C254" s="3" t="s">
        <v>1005</v>
      </c>
      <c r="D254" s="13">
        <v>70406</v>
      </c>
      <c r="E254" s="6">
        <v>44083</v>
      </c>
    </row>
    <row r="255" spans="1:5" ht="15" thickBot="1">
      <c r="A255" s="3" t="s">
        <v>257</v>
      </c>
      <c r="B255" s="3" t="s">
        <v>756</v>
      </c>
      <c r="C255" s="3" t="s">
        <v>1008</v>
      </c>
      <c r="D255" s="13">
        <v>75693</v>
      </c>
      <c r="E255" s="6">
        <v>44113</v>
      </c>
    </row>
    <row r="256" spans="1:5" ht="15" thickBot="1">
      <c r="A256" s="4" t="s">
        <v>258</v>
      </c>
      <c r="B256" s="4" t="s">
        <v>757</v>
      </c>
      <c r="C256" s="4" t="s">
        <v>1007</v>
      </c>
      <c r="D256" s="14">
        <v>74029</v>
      </c>
      <c r="E256" s="8">
        <v>44144</v>
      </c>
    </row>
    <row r="257" spans="1:5" ht="15" thickBot="1">
      <c r="A257" s="3" t="s">
        <v>259</v>
      </c>
      <c r="B257" s="3" t="s">
        <v>758</v>
      </c>
      <c r="C257" s="3" t="s">
        <v>1008</v>
      </c>
      <c r="D257" s="13">
        <v>53833</v>
      </c>
      <c r="E257" s="6">
        <v>44174</v>
      </c>
    </row>
    <row r="258" spans="1:5" ht="15" thickBot="1">
      <c r="A258" s="3" t="s">
        <v>260</v>
      </c>
      <c r="B258" s="3" t="s">
        <v>759</v>
      </c>
      <c r="C258" s="3" t="s">
        <v>1008</v>
      </c>
      <c r="D258" s="13">
        <v>97541</v>
      </c>
      <c r="E258" s="6" t="s">
        <v>1157</v>
      </c>
    </row>
    <row r="259" spans="1:5" ht="15" thickBot="1">
      <c r="A259" s="3" t="s">
        <v>261</v>
      </c>
      <c r="B259" s="3" t="s">
        <v>760</v>
      </c>
      <c r="C259" s="3" t="s">
        <v>1008</v>
      </c>
      <c r="D259" s="13">
        <v>89777</v>
      </c>
      <c r="E259" s="6" t="s">
        <v>1158</v>
      </c>
    </row>
    <row r="260" spans="1:5" ht="15" thickBot="1">
      <c r="A260" s="3" t="s">
        <v>262</v>
      </c>
      <c r="B260" s="3" t="s">
        <v>761</v>
      </c>
      <c r="C260" s="3" t="s">
        <v>1006</v>
      </c>
      <c r="D260" s="13">
        <v>99164</v>
      </c>
      <c r="E260" s="6" t="s">
        <v>1159</v>
      </c>
    </row>
    <row r="261" spans="1:5" ht="15" thickBot="1">
      <c r="A261" s="3" t="s">
        <v>263</v>
      </c>
      <c r="B261" s="3" t="s">
        <v>762</v>
      </c>
      <c r="C261" s="3" t="s">
        <v>1005</v>
      </c>
      <c r="D261" s="13">
        <v>33232</v>
      </c>
      <c r="E261" s="6" t="s">
        <v>1160</v>
      </c>
    </row>
    <row r="262" spans="1:5" ht="15" thickBot="1">
      <c r="A262" s="4" t="s">
        <v>264</v>
      </c>
      <c r="B262" s="4" t="s">
        <v>763</v>
      </c>
      <c r="C262" s="4" t="s">
        <v>1007</v>
      </c>
      <c r="D262" s="14">
        <v>53997</v>
      </c>
      <c r="E262" s="8" t="s">
        <v>1161</v>
      </c>
    </row>
    <row r="263" spans="1:5" ht="15" thickBot="1">
      <c r="A263" s="3" t="s">
        <v>265</v>
      </c>
      <c r="B263" s="3" t="s">
        <v>764</v>
      </c>
      <c r="C263" s="3" t="s">
        <v>1008</v>
      </c>
      <c r="D263" s="13">
        <v>38408</v>
      </c>
      <c r="E263" s="6" t="s">
        <v>1162</v>
      </c>
    </row>
    <row r="264" spans="1:5" ht="15" thickBot="1">
      <c r="A264" s="3" t="s">
        <v>266</v>
      </c>
      <c r="B264" s="3" t="s">
        <v>765</v>
      </c>
      <c r="C264" s="3" t="s">
        <v>1008</v>
      </c>
      <c r="D264" s="13">
        <v>97636</v>
      </c>
      <c r="E264" s="6" t="s">
        <v>1163</v>
      </c>
    </row>
    <row r="265" spans="1:5" ht="15" thickBot="1">
      <c r="A265" s="3" t="s">
        <v>267</v>
      </c>
      <c r="B265" s="3" t="s">
        <v>766</v>
      </c>
      <c r="C265" s="3" t="s">
        <v>1008</v>
      </c>
      <c r="D265" s="13">
        <v>69264</v>
      </c>
      <c r="E265" s="6" t="s">
        <v>1164</v>
      </c>
    </row>
    <row r="266" spans="1:5" ht="15" thickBot="1">
      <c r="A266" s="4" t="s">
        <v>268</v>
      </c>
      <c r="B266" s="4" t="s">
        <v>767</v>
      </c>
      <c r="C266" s="4" t="s">
        <v>1007</v>
      </c>
      <c r="D266" s="14">
        <v>63330</v>
      </c>
      <c r="E266" s="8" t="s">
        <v>1165</v>
      </c>
    </row>
    <row r="267" spans="1:5" ht="15" thickBot="1">
      <c r="A267" s="3" t="s">
        <v>269</v>
      </c>
      <c r="B267" s="3" t="s">
        <v>768</v>
      </c>
      <c r="C267" s="3" t="s">
        <v>1005</v>
      </c>
      <c r="D267" s="13">
        <v>40979</v>
      </c>
      <c r="E267" s="6" t="s">
        <v>1166</v>
      </c>
    </row>
    <row r="268" spans="1:5" ht="15" thickBot="1">
      <c r="A268" s="3" t="s">
        <v>270</v>
      </c>
      <c r="B268" s="3" t="s">
        <v>769</v>
      </c>
      <c r="C268" s="3" t="s">
        <v>1005</v>
      </c>
      <c r="D268" s="13">
        <v>68917</v>
      </c>
      <c r="E268" s="6" t="s">
        <v>1167</v>
      </c>
    </row>
    <row r="269" spans="1:5" ht="15" thickBot="1">
      <c r="A269" s="3" t="s">
        <v>271</v>
      </c>
      <c r="B269" s="3" t="s">
        <v>770</v>
      </c>
      <c r="C269" s="3" t="s">
        <v>1005</v>
      </c>
      <c r="D269" s="13">
        <v>60809</v>
      </c>
      <c r="E269" s="6" t="s">
        <v>1168</v>
      </c>
    </row>
    <row r="270" spans="1:5" ht="15" thickBot="1">
      <c r="A270" s="3" t="s">
        <v>272</v>
      </c>
      <c r="B270" s="3" t="s">
        <v>771</v>
      </c>
      <c r="C270" s="3" t="s">
        <v>1008</v>
      </c>
      <c r="D270" s="13">
        <v>84193</v>
      </c>
      <c r="E270" s="6" t="s">
        <v>1169</v>
      </c>
    </row>
    <row r="271" spans="1:5" ht="15" thickBot="1">
      <c r="A271" s="3" t="s">
        <v>273</v>
      </c>
      <c r="B271" s="3" t="s">
        <v>772</v>
      </c>
      <c r="C271" s="3" t="s">
        <v>1005</v>
      </c>
      <c r="D271" s="13">
        <v>81895</v>
      </c>
      <c r="E271" s="6" t="s">
        <v>1170</v>
      </c>
    </row>
    <row r="272" spans="1:5" ht="15" thickBot="1">
      <c r="A272" s="4" t="s">
        <v>274</v>
      </c>
      <c r="B272" s="4" t="s">
        <v>773</v>
      </c>
      <c r="C272" s="4" t="s">
        <v>1007</v>
      </c>
      <c r="D272" s="14">
        <v>61673</v>
      </c>
      <c r="E272" s="8" t="s">
        <v>1171</v>
      </c>
    </row>
    <row r="273" spans="1:5" ht="15" thickBot="1">
      <c r="A273" s="3" t="s">
        <v>275</v>
      </c>
      <c r="B273" s="3" t="s">
        <v>774</v>
      </c>
      <c r="C273" s="3" t="s">
        <v>1004</v>
      </c>
      <c r="D273" s="13">
        <v>58371</v>
      </c>
      <c r="E273" s="6" t="s">
        <v>1172</v>
      </c>
    </row>
    <row r="274" spans="1:5" ht="15" thickBot="1">
      <c r="A274" s="3" t="s">
        <v>276</v>
      </c>
      <c r="B274" s="3" t="s">
        <v>775</v>
      </c>
      <c r="C274" s="3" t="s">
        <v>1004</v>
      </c>
      <c r="D274" s="13">
        <v>92957</v>
      </c>
      <c r="E274" s="6" t="s">
        <v>1173</v>
      </c>
    </row>
    <row r="275" spans="1:5" ht="15" thickBot="1">
      <c r="A275" s="3" t="s">
        <v>277</v>
      </c>
      <c r="B275" s="3" t="s">
        <v>776</v>
      </c>
      <c r="C275" s="3" t="s">
        <v>1004</v>
      </c>
      <c r="D275" s="13">
        <v>58623</v>
      </c>
      <c r="E275" s="6" t="s">
        <v>1174</v>
      </c>
    </row>
    <row r="276" spans="1:5" ht="15" thickBot="1">
      <c r="A276" s="3" t="s">
        <v>278</v>
      </c>
      <c r="B276" s="3" t="s">
        <v>777</v>
      </c>
      <c r="C276" s="3" t="s">
        <v>1005</v>
      </c>
      <c r="D276" s="13">
        <v>86564</v>
      </c>
      <c r="E276" s="6">
        <v>43840</v>
      </c>
    </row>
    <row r="277" spans="1:5" ht="15" thickBot="1">
      <c r="A277" s="3" t="s">
        <v>279</v>
      </c>
      <c r="B277" s="3" t="s">
        <v>778</v>
      </c>
      <c r="C277" s="3" t="s">
        <v>1004</v>
      </c>
      <c r="D277" s="13">
        <v>40427</v>
      </c>
      <c r="E277" s="6">
        <v>43871</v>
      </c>
    </row>
    <row r="278" spans="1:5" ht="15" thickBot="1">
      <c r="A278" s="3" t="s">
        <v>280</v>
      </c>
      <c r="B278" s="3" t="s">
        <v>779</v>
      </c>
      <c r="C278" s="3" t="s">
        <v>1006</v>
      </c>
      <c r="D278" s="13">
        <v>50440</v>
      </c>
      <c r="E278" s="6">
        <v>43900</v>
      </c>
    </row>
    <row r="279" spans="1:5" ht="15" thickBot="1">
      <c r="A279" s="3" t="s">
        <v>281</v>
      </c>
      <c r="B279" s="3" t="s">
        <v>780</v>
      </c>
      <c r="C279" s="3" t="s">
        <v>1005</v>
      </c>
      <c r="D279" s="13">
        <v>61266</v>
      </c>
      <c r="E279" s="6">
        <v>43931</v>
      </c>
    </row>
    <row r="280" spans="1:5" ht="15" thickBot="1">
      <c r="A280" s="3" t="s">
        <v>282</v>
      </c>
      <c r="B280" s="3" t="s">
        <v>781</v>
      </c>
      <c r="C280" s="3" t="s">
        <v>1006</v>
      </c>
      <c r="D280" s="13">
        <v>56512</v>
      </c>
      <c r="E280" s="6">
        <v>43961</v>
      </c>
    </row>
    <row r="281" spans="1:5" ht="15" thickBot="1">
      <c r="A281" s="3" t="s">
        <v>283</v>
      </c>
      <c r="B281" s="3" t="s">
        <v>782</v>
      </c>
      <c r="C281" s="3" t="s">
        <v>1006</v>
      </c>
      <c r="D281" s="13">
        <v>34722</v>
      </c>
      <c r="E281" s="6">
        <v>43992</v>
      </c>
    </row>
    <row r="282" spans="1:5" ht="15" thickBot="1">
      <c r="A282" s="3" t="s">
        <v>284</v>
      </c>
      <c r="B282" s="3" t="s">
        <v>783</v>
      </c>
      <c r="C282" s="3" t="s">
        <v>1004</v>
      </c>
      <c r="D282" s="13">
        <v>38253</v>
      </c>
      <c r="E282" s="6">
        <v>44022</v>
      </c>
    </row>
    <row r="283" spans="1:5" ht="15" thickBot="1">
      <c r="A283" s="3" t="s">
        <v>285</v>
      </c>
      <c r="B283" s="3" t="s">
        <v>784</v>
      </c>
      <c r="C283" s="3" t="s">
        <v>1004</v>
      </c>
      <c r="D283" s="13">
        <v>40807</v>
      </c>
      <c r="E283" s="6">
        <v>44053</v>
      </c>
    </row>
    <row r="284" spans="1:5" ht="15" thickBot="1">
      <c r="A284" s="4" t="s">
        <v>286</v>
      </c>
      <c r="B284" s="4" t="s">
        <v>785</v>
      </c>
      <c r="C284" s="4" t="s">
        <v>1007</v>
      </c>
      <c r="D284" s="14">
        <v>57130</v>
      </c>
      <c r="E284" s="8">
        <v>44084</v>
      </c>
    </row>
    <row r="285" spans="1:5" ht="15" thickBot="1">
      <c r="A285" s="3" t="s">
        <v>287</v>
      </c>
      <c r="B285" s="3" t="s">
        <v>786</v>
      </c>
      <c r="C285" s="3" t="s">
        <v>1005</v>
      </c>
      <c r="D285" s="13">
        <v>74930</v>
      </c>
      <c r="E285" s="6">
        <v>44114</v>
      </c>
    </row>
    <row r="286" spans="1:5" ht="15" thickBot="1">
      <c r="A286" s="3" t="s">
        <v>288</v>
      </c>
      <c r="B286" s="3" t="s">
        <v>787</v>
      </c>
      <c r="C286" s="3" t="s">
        <v>1004</v>
      </c>
      <c r="D286" s="13">
        <v>46986</v>
      </c>
      <c r="E286" s="6">
        <v>44145</v>
      </c>
    </row>
    <row r="287" spans="1:5" ht="15" thickBot="1">
      <c r="A287" s="3" t="s">
        <v>289</v>
      </c>
      <c r="B287" s="3" t="s">
        <v>788</v>
      </c>
      <c r="C287" s="3" t="s">
        <v>1005</v>
      </c>
      <c r="D287" s="13">
        <v>85685</v>
      </c>
      <c r="E287" s="6">
        <v>44175</v>
      </c>
    </row>
    <row r="288" spans="1:5" ht="15" thickBot="1">
      <c r="A288" s="3" t="s">
        <v>290</v>
      </c>
      <c r="B288" s="3" t="s">
        <v>789</v>
      </c>
      <c r="C288" s="3" t="s">
        <v>1004</v>
      </c>
      <c r="D288" s="13">
        <v>93572</v>
      </c>
      <c r="E288" s="6" t="s">
        <v>1175</v>
      </c>
    </row>
    <row r="289" spans="1:5" ht="15" thickBot="1">
      <c r="A289" s="3" t="s">
        <v>291</v>
      </c>
      <c r="B289" s="3" t="s">
        <v>790</v>
      </c>
      <c r="C289" s="3" t="s">
        <v>1005</v>
      </c>
      <c r="D289" s="13">
        <v>85116</v>
      </c>
      <c r="E289" s="6" t="s">
        <v>1176</v>
      </c>
    </row>
    <row r="290" spans="1:5" ht="15" thickBot="1">
      <c r="A290" s="3" t="s">
        <v>292</v>
      </c>
      <c r="B290" s="3" t="s">
        <v>791</v>
      </c>
      <c r="C290" s="3" t="s">
        <v>1004</v>
      </c>
      <c r="D290" s="13">
        <v>52722</v>
      </c>
      <c r="E290" s="6" t="s">
        <v>1177</v>
      </c>
    </row>
    <row r="291" spans="1:5" ht="15" thickBot="1">
      <c r="A291" s="3" t="s">
        <v>293</v>
      </c>
      <c r="B291" s="3" t="s">
        <v>792</v>
      </c>
      <c r="C291" s="3" t="s">
        <v>1006</v>
      </c>
      <c r="D291" s="13">
        <v>84936</v>
      </c>
      <c r="E291" s="6" t="s">
        <v>1178</v>
      </c>
    </row>
    <row r="292" spans="1:5" ht="15" thickBot="1">
      <c r="A292" s="3" t="s">
        <v>294</v>
      </c>
      <c r="B292" s="3" t="s">
        <v>793</v>
      </c>
      <c r="C292" s="3" t="s">
        <v>1004</v>
      </c>
      <c r="D292" s="13">
        <v>73741</v>
      </c>
      <c r="E292" s="6" t="s">
        <v>1179</v>
      </c>
    </row>
    <row r="293" spans="1:5" ht="15" thickBot="1">
      <c r="A293" s="3" t="s">
        <v>295</v>
      </c>
      <c r="B293" s="3" t="s">
        <v>794</v>
      </c>
      <c r="C293" s="3" t="s">
        <v>1005</v>
      </c>
      <c r="D293" s="13">
        <v>55028</v>
      </c>
      <c r="E293" s="6" t="s">
        <v>1180</v>
      </c>
    </row>
    <row r="294" spans="1:5" ht="15" thickBot="1">
      <c r="A294" s="3" t="s">
        <v>296</v>
      </c>
      <c r="B294" s="3" t="s">
        <v>795</v>
      </c>
      <c r="C294" s="3" t="s">
        <v>1004</v>
      </c>
      <c r="D294" s="13">
        <v>83584</v>
      </c>
      <c r="E294" s="6" t="s">
        <v>1181</v>
      </c>
    </row>
    <row r="295" spans="1:5" ht="15" thickBot="1">
      <c r="A295" s="4" t="s">
        <v>297</v>
      </c>
      <c r="B295" s="4" t="s">
        <v>796</v>
      </c>
      <c r="C295" s="4" t="s">
        <v>1007</v>
      </c>
      <c r="D295" s="14">
        <v>53127</v>
      </c>
      <c r="E295" s="8" t="s">
        <v>1182</v>
      </c>
    </row>
    <row r="296" spans="1:5" ht="15" thickBot="1">
      <c r="A296" s="3" t="s">
        <v>298</v>
      </c>
      <c r="B296" s="3" t="s">
        <v>797</v>
      </c>
      <c r="C296" s="3" t="s">
        <v>1004</v>
      </c>
      <c r="D296" s="13">
        <v>32007</v>
      </c>
      <c r="E296" s="6" t="s">
        <v>1183</v>
      </c>
    </row>
    <row r="297" spans="1:5" ht="15" thickBot="1">
      <c r="A297" s="4" t="s">
        <v>299</v>
      </c>
      <c r="B297" s="4" t="s">
        <v>798</v>
      </c>
      <c r="C297" s="4" t="s">
        <v>1007</v>
      </c>
      <c r="D297" s="14">
        <v>37853</v>
      </c>
      <c r="E297" s="8" t="s">
        <v>1184</v>
      </c>
    </row>
    <row r="298" spans="1:5" ht="15" thickBot="1">
      <c r="A298" s="3" t="s">
        <v>300</v>
      </c>
      <c r="B298" s="3" t="s">
        <v>799</v>
      </c>
      <c r="C298" s="3" t="s">
        <v>1008</v>
      </c>
      <c r="D298" s="13">
        <v>62039</v>
      </c>
      <c r="E298" s="6" t="s">
        <v>1185</v>
      </c>
    </row>
    <row r="299" spans="1:5" ht="15" thickBot="1">
      <c r="A299" s="3" t="s">
        <v>301</v>
      </c>
      <c r="B299" s="3" t="s">
        <v>800</v>
      </c>
      <c r="C299" s="3" t="s">
        <v>1006</v>
      </c>
      <c r="D299" s="13">
        <v>85293</v>
      </c>
      <c r="E299" s="6" t="s">
        <v>1186</v>
      </c>
    </row>
    <row r="300" spans="1:5" ht="15" thickBot="1">
      <c r="A300" s="3" t="s">
        <v>302</v>
      </c>
      <c r="B300" s="3" t="s">
        <v>801</v>
      </c>
      <c r="C300" s="3" t="s">
        <v>1005</v>
      </c>
      <c r="D300" s="13">
        <v>79270</v>
      </c>
      <c r="E300" s="6" t="s">
        <v>1187</v>
      </c>
    </row>
    <row r="301" spans="1:5" ht="15" thickBot="1">
      <c r="A301" s="3" t="s">
        <v>303</v>
      </c>
      <c r="B301" s="3" t="s">
        <v>802</v>
      </c>
      <c r="C301" s="3" t="s">
        <v>1006</v>
      </c>
      <c r="D301" s="13">
        <v>32957</v>
      </c>
      <c r="E301" s="6" t="s">
        <v>1188</v>
      </c>
    </row>
    <row r="302" spans="1:5" ht="15" thickBot="1">
      <c r="A302" s="4" t="s">
        <v>304</v>
      </c>
      <c r="B302" s="4" t="s">
        <v>803</v>
      </c>
      <c r="C302" s="4" t="s">
        <v>1007</v>
      </c>
      <c r="D302" s="14">
        <v>58931</v>
      </c>
      <c r="E302" s="8" t="s">
        <v>1189</v>
      </c>
    </row>
    <row r="303" spans="1:5" ht="15" thickBot="1">
      <c r="A303" s="3" t="s">
        <v>305</v>
      </c>
      <c r="B303" s="3" t="s">
        <v>804</v>
      </c>
      <c r="C303" s="3" t="s">
        <v>1004</v>
      </c>
      <c r="D303" s="13">
        <v>86055</v>
      </c>
      <c r="E303" s="6" t="s">
        <v>1190</v>
      </c>
    </row>
    <row r="304" spans="1:5" ht="15" thickBot="1">
      <c r="A304" s="3" t="s">
        <v>306</v>
      </c>
      <c r="B304" s="3" t="s">
        <v>805</v>
      </c>
      <c r="C304" s="3" t="s">
        <v>1006</v>
      </c>
      <c r="D304" s="13">
        <v>82776</v>
      </c>
      <c r="E304" s="6" t="s">
        <v>1191</v>
      </c>
    </row>
    <row r="305" spans="1:5" ht="15" thickBot="1">
      <c r="A305" s="3" t="s">
        <v>307</v>
      </c>
      <c r="B305" s="3" t="s">
        <v>806</v>
      </c>
      <c r="C305" s="3" t="s">
        <v>1005</v>
      </c>
      <c r="D305" s="13">
        <v>58946</v>
      </c>
      <c r="E305" s="6" t="s">
        <v>1192</v>
      </c>
    </row>
    <row r="306" spans="1:5" ht="15" thickBot="1">
      <c r="A306" s="3" t="s">
        <v>308</v>
      </c>
      <c r="B306" s="3" t="s">
        <v>807</v>
      </c>
      <c r="C306" s="3" t="s">
        <v>1004</v>
      </c>
      <c r="D306" s="13">
        <v>96601</v>
      </c>
      <c r="E306" s="6" t="s">
        <v>1193</v>
      </c>
    </row>
    <row r="307" spans="1:5" ht="15" thickBot="1">
      <c r="A307" s="4" t="s">
        <v>309</v>
      </c>
      <c r="B307" s="4" t="s">
        <v>808</v>
      </c>
      <c r="C307" s="4" t="s">
        <v>1007</v>
      </c>
      <c r="D307" s="14">
        <v>61353</v>
      </c>
      <c r="E307" s="8">
        <v>43841</v>
      </c>
    </row>
    <row r="308" spans="1:5" ht="15" thickBot="1">
      <c r="A308" s="3" t="s">
        <v>310</v>
      </c>
      <c r="B308" s="3" t="s">
        <v>809</v>
      </c>
      <c r="C308" s="3" t="s">
        <v>1008</v>
      </c>
      <c r="D308" s="13">
        <v>75962</v>
      </c>
      <c r="E308" s="6">
        <v>43872</v>
      </c>
    </row>
    <row r="309" spans="1:5" ht="15" thickBot="1">
      <c r="A309" s="4" t="s">
        <v>311</v>
      </c>
      <c r="B309" s="4" t="s">
        <v>810</v>
      </c>
      <c r="C309" s="4" t="s">
        <v>1007</v>
      </c>
      <c r="D309" s="14">
        <v>54569</v>
      </c>
      <c r="E309" s="8">
        <v>43901</v>
      </c>
    </row>
    <row r="310" spans="1:5" ht="15" thickBot="1">
      <c r="A310" s="4" t="s">
        <v>312</v>
      </c>
      <c r="B310" s="4" t="s">
        <v>811</v>
      </c>
      <c r="C310" s="4" t="s">
        <v>1007</v>
      </c>
      <c r="D310" s="14">
        <v>53173</v>
      </c>
      <c r="E310" s="8">
        <v>43932</v>
      </c>
    </row>
    <row r="311" spans="1:5" ht="15" thickBot="1">
      <c r="A311" s="3" t="s">
        <v>313</v>
      </c>
      <c r="B311" s="3" t="s">
        <v>812</v>
      </c>
      <c r="C311" s="3" t="s">
        <v>1006</v>
      </c>
      <c r="D311" s="13">
        <v>90312</v>
      </c>
      <c r="E311" s="6">
        <v>43962</v>
      </c>
    </row>
    <row r="312" spans="1:5" ht="15" thickBot="1">
      <c r="A312" s="3" t="s">
        <v>314</v>
      </c>
      <c r="B312" s="3" t="s">
        <v>813</v>
      </c>
      <c r="C312" s="3" t="s">
        <v>1004</v>
      </c>
      <c r="D312" s="13">
        <v>85906</v>
      </c>
      <c r="E312" s="6">
        <v>43993</v>
      </c>
    </row>
    <row r="313" spans="1:5" ht="15" thickBot="1">
      <c r="A313" s="4" t="s">
        <v>315</v>
      </c>
      <c r="B313" s="4" t="s">
        <v>814</v>
      </c>
      <c r="C313" s="4" t="s">
        <v>1007</v>
      </c>
      <c r="D313" s="14">
        <v>45533</v>
      </c>
      <c r="E313" s="8">
        <v>44023</v>
      </c>
    </row>
    <row r="314" spans="1:5" ht="15" thickBot="1">
      <c r="A314" s="3" t="s">
        <v>316</v>
      </c>
      <c r="B314" s="3" t="s">
        <v>815</v>
      </c>
      <c r="C314" s="3" t="s">
        <v>1005</v>
      </c>
      <c r="D314" s="13">
        <v>99343</v>
      </c>
      <c r="E314" s="6">
        <v>44054</v>
      </c>
    </row>
    <row r="315" spans="1:5" ht="15" thickBot="1">
      <c r="A315" s="3" t="s">
        <v>317</v>
      </c>
      <c r="B315" s="3" t="s">
        <v>816</v>
      </c>
      <c r="C315" s="3" t="s">
        <v>1004</v>
      </c>
      <c r="D315" s="13">
        <v>56359</v>
      </c>
      <c r="E315" s="6">
        <v>44085</v>
      </c>
    </row>
    <row r="316" spans="1:5" ht="15" thickBot="1">
      <c r="A316" s="4" t="s">
        <v>318</v>
      </c>
      <c r="B316" s="4" t="s">
        <v>817</v>
      </c>
      <c r="C316" s="4" t="s">
        <v>1007</v>
      </c>
      <c r="D316" s="14">
        <v>36682</v>
      </c>
      <c r="E316" s="8">
        <v>44115</v>
      </c>
    </row>
    <row r="317" spans="1:5" ht="15" thickBot="1">
      <c r="A317" s="3" t="s">
        <v>319</v>
      </c>
      <c r="B317" s="3" t="s">
        <v>818</v>
      </c>
      <c r="C317" s="3" t="s">
        <v>1006</v>
      </c>
      <c r="D317" s="13">
        <v>60291</v>
      </c>
      <c r="E317" s="6">
        <v>44146</v>
      </c>
    </row>
    <row r="318" spans="1:5" ht="15" thickBot="1">
      <c r="A318" s="4" t="s">
        <v>320</v>
      </c>
      <c r="B318" s="4" t="s">
        <v>819</v>
      </c>
      <c r="C318" s="4" t="s">
        <v>1007</v>
      </c>
      <c r="D318" s="14">
        <v>39536</v>
      </c>
      <c r="E318" s="8">
        <v>44176</v>
      </c>
    </row>
    <row r="319" spans="1:5" ht="15" thickBot="1">
      <c r="A319" s="3" t="s">
        <v>321</v>
      </c>
      <c r="B319" s="3" t="s">
        <v>820</v>
      </c>
      <c r="C319" s="3" t="s">
        <v>1005</v>
      </c>
      <c r="D319" s="13">
        <v>92348</v>
      </c>
      <c r="E319" s="6" t="s">
        <v>1194</v>
      </c>
    </row>
    <row r="320" spans="1:5" ht="15" thickBot="1">
      <c r="A320" s="3" t="s">
        <v>322</v>
      </c>
      <c r="B320" s="3" t="s">
        <v>821</v>
      </c>
      <c r="C320" s="3" t="s">
        <v>1005</v>
      </c>
      <c r="D320" s="13">
        <v>88982</v>
      </c>
      <c r="E320" s="6" t="s">
        <v>1195</v>
      </c>
    </row>
    <row r="321" spans="1:5" ht="15" thickBot="1">
      <c r="A321" s="3" t="s">
        <v>323</v>
      </c>
      <c r="B321" s="3" t="s">
        <v>822</v>
      </c>
      <c r="C321" s="3" t="s">
        <v>1004</v>
      </c>
      <c r="D321" s="13">
        <v>61866</v>
      </c>
      <c r="E321" s="6" t="s">
        <v>1196</v>
      </c>
    </row>
    <row r="322" spans="1:5" ht="15" thickBot="1">
      <c r="A322" s="3" t="s">
        <v>324</v>
      </c>
      <c r="B322" s="3" t="s">
        <v>823</v>
      </c>
      <c r="C322" s="3" t="s">
        <v>1004</v>
      </c>
      <c r="D322" s="13">
        <v>61657</v>
      </c>
      <c r="E322" s="6" t="s">
        <v>1197</v>
      </c>
    </row>
    <row r="323" spans="1:5" ht="15" thickBot="1">
      <c r="A323" s="3" t="s">
        <v>325</v>
      </c>
      <c r="B323" s="3" t="s">
        <v>824</v>
      </c>
      <c r="C323" s="3" t="s">
        <v>1006</v>
      </c>
      <c r="D323" s="13">
        <v>88608</v>
      </c>
      <c r="E323" s="6" t="s">
        <v>1198</v>
      </c>
    </row>
    <row r="324" spans="1:5" ht="15" thickBot="1">
      <c r="A324" s="3" t="s">
        <v>326</v>
      </c>
      <c r="B324" s="3" t="s">
        <v>825</v>
      </c>
      <c r="C324" s="3" t="s">
        <v>1005</v>
      </c>
      <c r="D324" s="13">
        <v>69391</v>
      </c>
      <c r="E324" s="6" t="s">
        <v>1199</v>
      </c>
    </row>
    <row r="325" spans="1:5" ht="15" thickBot="1">
      <c r="A325" s="4" t="s">
        <v>327</v>
      </c>
      <c r="B325" s="4" t="s">
        <v>826</v>
      </c>
      <c r="C325" s="4" t="s">
        <v>1007</v>
      </c>
      <c r="D325" s="14">
        <v>52225</v>
      </c>
      <c r="E325" s="8" t="s">
        <v>1200</v>
      </c>
    </row>
    <row r="326" spans="1:5" ht="15" thickBot="1">
      <c r="A326" s="3" t="s">
        <v>328</v>
      </c>
      <c r="B326" s="3" t="s">
        <v>827</v>
      </c>
      <c r="C326" s="3" t="s">
        <v>1006</v>
      </c>
      <c r="D326" s="13">
        <v>45384</v>
      </c>
      <c r="E326" s="6" t="s">
        <v>1201</v>
      </c>
    </row>
    <row r="327" spans="1:5" ht="15" thickBot="1">
      <c r="A327" s="3" t="s">
        <v>329</v>
      </c>
      <c r="B327" s="3" t="s">
        <v>828</v>
      </c>
      <c r="C327" s="3" t="s">
        <v>1006</v>
      </c>
      <c r="D327" s="13">
        <v>62550</v>
      </c>
      <c r="E327" s="6" t="s">
        <v>1202</v>
      </c>
    </row>
    <row r="328" spans="1:5" ht="15" thickBot="1">
      <c r="A328" s="3" t="s">
        <v>330</v>
      </c>
      <c r="B328" s="3" t="s">
        <v>829</v>
      </c>
      <c r="C328" s="3" t="s">
        <v>1005</v>
      </c>
      <c r="D328" s="13">
        <v>73393</v>
      </c>
      <c r="E328" s="6" t="s">
        <v>1203</v>
      </c>
    </row>
    <row r="329" spans="1:5" ht="15" thickBot="1">
      <c r="A329" s="4" t="s">
        <v>331</v>
      </c>
      <c r="B329" s="4" t="s">
        <v>830</v>
      </c>
      <c r="C329" s="4" t="s">
        <v>1007</v>
      </c>
      <c r="D329" s="14">
        <v>78593</v>
      </c>
      <c r="E329" s="8" t="s">
        <v>1204</v>
      </c>
    </row>
    <row r="330" spans="1:5" ht="15" thickBot="1">
      <c r="A330" s="3" t="s">
        <v>332</v>
      </c>
      <c r="B330" s="3" t="s">
        <v>831</v>
      </c>
      <c r="C330" s="3" t="s">
        <v>1008</v>
      </c>
      <c r="D330" s="13">
        <v>53704</v>
      </c>
      <c r="E330" s="6" t="s">
        <v>1205</v>
      </c>
    </row>
    <row r="331" spans="1:5" ht="15" thickBot="1">
      <c r="A331" s="3" t="s">
        <v>333</v>
      </c>
      <c r="B331" s="3" t="s">
        <v>832</v>
      </c>
      <c r="C331" s="3" t="s">
        <v>1008</v>
      </c>
      <c r="D331" s="13">
        <v>58125</v>
      </c>
      <c r="E331" s="6" t="s">
        <v>1206</v>
      </c>
    </row>
    <row r="332" spans="1:5" ht="15" thickBot="1">
      <c r="A332" s="4" t="s">
        <v>334</v>
      </c>
      <c r="B332" s="4" t="s">
        <v>833</v>
      </c>
      <c r="C332" s="4" t="s">
        <v>1007</v>
      </c>
      <c r="D332" s="14">
        <v>58988</v>
      </c>
      <c r="E332" s="8" t="s">
        <v>1207</v>
      </c>
    </row>
    <row r="333" spans="1:5" ht="15" thickBot="1">
      <c r="A333" s="3" t="s">
        <v>335</v>
      </c>
      <c r="B333" s="3" t="s">
        <v>834</v>
      </c>
      <c r="C333" s="3" t="s">
        <v>1008</v>
      </c>
      <c r="D333" s="13">
        <v>56109</v>
      </c>
      <c r="E333" s="6" t="s">
        <v>1208</v>
      </c>
    </row>
    <row r="334" spans="1:5" ht="15" thickBot="1">
      <c r="A334" s="3" t="s">
        <v>336</v>
      </c>
      <c r="B334" s="3" t="s">
        <v>835</v>
      </c>
      <c r="C334" s="3" t="s">
        <v>1004</v>
      </c>
      <c r="D334" s="13">
        <v>75357</v>
      </c>
      <c r="E334" s="6" t="s">
        <v>1209</v>
      </c>
    </row>
    <row r="335" spans="1:5" ht="15" thickBot="1">
      <c r="A335" s="3" t="s">
        <v>337</v>
      </c>
      <c r="B335" s="3" t="s">
        <v>836</v>
      </c>
      <c r="C335" s="3" t="s">
        <v>1005</v>
      </c>
      <c r="D335" s="13">
        <v>72922</v>
      </c>
      <c r="E335" s="6" t="s">
        <v>1210</v>
      </c>
    </row>
    <row r="336" spans="1:5" ht="15" thickBot="1">
      <c r="A336" s="3" t="s">
        <v>338</v>
      </c>
      <c r="B336" s="3" t="s">
        <v>837</v>
      </c>
      <c r="C336" s="3" t="s">
        <v>1008</v>
      </c>
      <c r="D336" s="13">
        <v>35857</v>
      </c>
      <c r="E336" s="6" t="s">
        <v>1211</v>
      </c>
    </row>
    <row r="337" spans="1:5" ht="15" thickBot="1">
      <c r="A337" s="3" t="s">
        <v>339</v>
      </c>
      <c r="B337" s="3" t="s">
        <v>838</v>
      </c>
      <c r="C337" s="3" t="s">
        <v>1004</v>
      </c>
      <c r="D337" s="13">
        <v>62935</v>
      </c>
      <c r="E337" s="6">
        <v>43842</v>
      </c>
    </row>
    <row r="338" spans="1:5" ht="15" thickBot="1">
      <c r="A338" s="3" t="s">
        <v>340</v>
      </c>
      <c r="B338" s="3" t="s">
        <v>839</v>
      </c>
      <c r="C338" s="3" t="s">
        <v>1004</v>
      </c>
      <c r="D338" s="13">
        <v>48788</v>
      </c>
      <c r="E338" s="6">
        <v>43873</v>
      </c>
    </row>
    <row r="339" spans="1:5" ht="15" thickBot="1">
      <c r="A339" s="4" t="s">
        <v>341</v>
      </c>
      <c r="B339" s="4" t="s">
        <v>840</v>
      </c>
      <c r="C339" s="4" t="s">
        <v>1007</v>
      </c>
      <c r="D339" s="14">
        <v>95814</v>
      </c>
      <c r="E339" s="8">
        <v>43902</v>
      </c>
    </row>
    <row r="340" spans="1:5" ht="15" thickBot="1">
      <c r="A340" s="3" t="s">
        <v>342</v>
      </c>
      <c r="B340" s="3" t="s">
        <v>841</v>
      </c>
      <c r="C340" s="3" t="s">
        <v>1006</v>
      </c>
      <c r="D340" s="13">
        <v>92881</v>
      </c>
      <c r="E340" s="6">
        <v>43933</v>
      </c>
    </row>
    <row r="341" spans="1:5" ht="15" thickBot="1">
      <c r="A341" s="3" t="s">
        <v>343</v>
      </c>
      <c r="B341" s="3" t="s">
        <v>842</v>
      </c>
      <c r="C341" s="3" t="s">
        <v>1005</v>
      </c>
      <c r="D341" s="13">
        <v>70734</v>
      </c>
      <c r="E341" s="6">
        <v>43963</v>
      </c>
    </row>
    <row r="342" spans="1:5" ht="15" thickBot="1">
      <c r="A342" s="3" t="s">
        <v>344</v>
      </c>
      <c r="B342" s="3" t="s">
        <v>843</v>
      </c>
      <c r="C342" s="3" t="s">
        <v>1005</v>
      </c>
      <c r="D342" s="13">
        <v>72524</v>
      </c>
      <c r="E342" s="6">
        <v>43994</v>
      </c>
    </row>
    <row r="343" spans="1:5" ht="15" thickBot="1">
      <c r="A343" s="4" t="s">
        <v>345</v>
      </c>
      <c r="B343" s="4" t="s">
        <v>844</v>
      </c>
      <c r="C343" s="4" t="s">
        <v>1007</v>
      </c>
      <c r="D343" s="14">
        <v>91078</v>
      </c>
      <c r="E343" s="8">
        <v>44024</v>
      </c>
    </row>
    <row r="344" spans="1:5" ht="15" thickBot="1">
      <c r="A344" s="4" t="s">
        <v>346</v>
      </c>
      <c r="B344" s="4" t="s">
        <v>845</v>
      </c>
      <c r="C344" s="4" t="s">
        <v>1007</v>
      </c>
      <c r="D344" s="14">
        <v>97383</v>
      </c>
      <c r="E344" s="8">
        <v>44055</v>
      </c>
    </row>
    <row r="345" spans="1:5" ht="15" thickBot="1">
      <c r="A345" s="3" t="s">
        <v>347</v>
      </c>
      <c r="B345" s="3" t="s">
        <v>846</v>
      </c>
      <c r="C345" s="3" t="s">
        <v>1004</v>
      </c>
      <c r="D345" s="13">
        <v>88485</v>
      </c>
      <c r="E345" s="6">
        <v>44086</v>
      </c>
    </row>
    <row r="346" spans="1:5" ht="15" thickBot="1">
      <c r="A346" s="3" t="s">
        <v>348</v>
      </c>
      <c r="B346" s="3" t="s">
        <v>847</v>
      </c>
      <c r="C346" s="3" t="s">
        <v>1006</v>
      </c>
      <c r="D346" s="13">
        <v>94176</v>
      </c>
      <c r="E346" s="6">
        <v>44116</v>
      </c>
    </row>
    <row r="347" spans="1:5" ht="15" thickBot="1">
      <c r="A347" s="3" t="s">
        <v>349</v>
      </c>
      <c r="B347" s="3" t="s">
        <v>848</v>
      </c>
      <c r="C347" s="3" t="s">
        <v>1008</v>
      </c>
      <c r="D347" s="13">
        <v>68258</v>
      </c>
      <c r="E347" s="6">
        <v>44147</v>
      </c>
    </row>
    <row r="348" spans="1:5" ht="15" thickBot="1">
      <c r="A348" s="3" t="s">
        <v>350</v>
      </c>
      <c r="B348" s="3" t="s">
        <v>849</v>
      </c>
      <c r="C348" s="3" t="s">
        <v>1004</v>
      </c>
      <c r="D348" s="13">
        <v>31398</v>
      </c>
      <c r="E348" s="6">
        <v>44177</v>
      </c>
    </row>
    <row r="349" spans="1:5" ht="15" thickBot="1">
      <c r="A349" s="3" t="s">
        <v>351</v>
      </c>
      <c r="B349" s="3" t="s">
        <v>850</v>
      </c>
      <c r="C349" s="3" t="s">
        <v>1006</v>
      </c>
      <c r="D349" s="13">
        <v>95302</v>
      </c>
      <c r="E349" s="6" t="s">
        <v>1212</v>
      </c>
    </row>
    <row r="350" spans="1:5" ht="15" thickBot="1">
      <c r="A350" s="3" t="s">
        <v>352</v>
      </c>
      <c r="B350" s="3" t="s">
        <v>851</v>
      </c>
      <c r="C350" s="3" t="s">
        <v>1008</v>
      </c>
      <c r="D350" s="13">
        <v>71264</v>
      </c>
      <c r="E350" s="6" t="s">
        <v>1213</v>
      </c>
    </row>
    <row r="351" spans="1:5" ht="15" thickBot="1">
      <c r="A351" s="4" t="s">
        <v>353</v>
      </c>
      <c r="B351" s="4" t="s">
        <v>852</v>
      </c>
      <c r="C351" s="4" t="s">
        <v>1007</v>
      </c>
      <c r="D351" s="14">
        <v>59503</v>
      </c>
      <c r="E351" s="8" t="s">
        <v>1214</v>
      </c>
    </row>
    <row r="352" spans="1:5" ht="15" thickBot="1">
      <c r="A352" s="3" t="s">
        <v>354</v>
      </c>
      <c r="B352" s="3" t="s">
        <v>853</v>
      </c>
      <c r="C352" s="3" t="s">
        <v>1005</v>
      </c>
      <c r="D352" s="13">
        <v>51475</v>
      </c>
      <c r="E352" s="6" t="s">
        <v>1215</v>
      </c>
    </row>
    <row r="353" spans="1:5" ht="15" thickBot="1">
      <c r="A353" s="3" t="s">
        <v>355</v>
      </c>
      <c r="B353" s="3" t="s">
        <v>854</v>
      </c>
      <c r="C353" s="3" t="s">
        <v>1004</v>
      </c>
      <c r="D353" s="13">
        <v>50003</v>
      </c>
      <c r="E353" s="6" t="s">
        <v>1216</v>
      </c>
    </row>
    <row r="354" spans="1:5" ht="15" thickBot="1">
      <c r="A354" s="3" t="s">
        <v>356</v>
      </c>
      <c r="B354" s="3" t="s">
        <v>855</v>
      </c>
      <c r="C354" s="3" t="s">
        <v>1005</v>
      </c>
      <c r="D354" s="13">
        <v>37924</v>
      </c>
      <c r="E354" s="6" t="s">
        <v>1217</v>
      </c>
    </row>
    <row r="355" spans="1:5" ht="15" thickBot="1">
      <c r="A355" s="3" t="s">
        <v>357</v>
      </c>
      <c r="B355" s="3" t="s">
        <v>856</v>
      </c>
      <c r="C355" s="3" t="s">
        <v>1006</v>
      </c>
      <c r="D355" s="13">
        <v>98516</v>
      </c>
      <c r="E355" s="6" t="s">
        <v>1218</v>
      </c>
    </row>
    <row r="356" spans="1:5" ht="15" thickBot="1">
      <c r="A356" s="3" t="s">
        <v>358</v>
      </c>
      <c r="B356" s="3" t="s">
        <v>857</v>
      </c>
      <c r="C356" s="3" t="s">
        <v>1004</v>
      </c>
      <c r="D356" s="13">
        <v>43282</v>
      </c>
      <c r="E356" s="6" t="s">
        <v>1219</v>
      </c>
    </row>
    <row r="357" spans="1:5" ht="15" thickBot="1">
      <c r="A357" s="3" t="s">
        <v>359</v>
      </c>
      <c r="B357" s="3" t="s">
        <v>858</v>
      </c>
      <c r="C357" s="3" t="s">
        <v>1005</v>
      </c>
      <c r="D357" s="13">
        <v>34841</v>
      </c>
      <c r="E357" s="6" t="s">
        <v>1220</v>
      </c>
    </row>
    <row r="358" spans="1:5" ht="15" thickBot="1">
      <c r="A358" s="3" t="s">
        <v>360</v>
      </c>
      <c r="B358" s="3" t="s">
        <v>859</v>
      </c>
      <c r="C358" s="3" t="s">
        <v>1006</v>
      </c>
      <c r="D358" s="13">
        <v>82719</v>
      </c>
      <c r="E358" s="6" t="s">
        <v>1221</v>
      </c>
    </row>
    <row r="359" spans="1:5" ht="15" thickBot="1">
      <c r="A359" s="3" t="s">
        <v>361</v>
      </c>
      <c r="B359" s="3" t="s">
        <v>860</v>
      </c>
      <c r="C359" s="3" t="s">
        <v>1005</v>
      </c>
      <c r="D359" s="13">
        <v>92425</v>
      </c>
      <c r="E359" s="6" t="s">
        <v>1222</v>
      </c>
    </row>
    <row r="360" spans="1:5" ht="15" thickBot="1">
      <c r="A360" s="4" t="s">
        <v>362</v>
      </c>
      <c r="B360" s="4" t="s">
        <v>861</v>
      </c>
      <c r="C360" s="4" t="s">
        <v>1007</v>
      </c>
      <c r="D360" s="14">
        <v>46796</v>
      </c>
      <c r="E360" s="8" t="s">
        <v>1223</v>
      </c>
    </row>
    <row r="361" spans="1:5" ht="15" thickBot="1">
      <c r="A361" s="3" t="s">
        <v>363</v>
      </c>
      <c r="B361" s="3" t="s">
        <v>862</v>
      </c>
      <c r="C361" s="3" t="s">
        <v>1005</v>
      </c>
      <c r="D361" s="13">
        <v>57213</v>
      </c>
      <c r="E361" s="6" t="s">
        <v>1224</v>
      </c>
    </row>
    <row r="362" spans="1:5" ht="15" thickBot="1">
      <c r="A362" s="4" t="s">
        <v>364</v>
      </c>
      <c r="B362" s="4" t="s">
        <v>863</v>
      </c>
      <c r="C362" s="4" t="s">
        <v>1007</v>
      </c>
      <c r="D362" s="14">
        <v>69926</v>
      </c>
      <c r="E362" s="8" t="s">
        <v>1225</v>
      </c>
    </row>
    <row r="363" spans="1:5" ht="15" thickBot="1">
      <c r="A363" s="3" t="s">
        <v>365</v>
      </c>
      <c r="B363" s="3" t="s">
        <v>864</v>
      </c>
      <c r="C363" s="3" t="s">
        <v>1008</v>
      </c>
      <c r="D363" s="13">
        <v>62186</v>
      </c>
      <c r="E363" s="6" t="s">
        <v>1226</v>
      </c>
    </row>
    <row r="364" spans="1:5" ht="15" thickBot="1">
      <c r="A364" s="3" t="s">
        <v>366</v>
      </c>
      <c r="B364" s="3" t="s">
        <v>865</v>
      </c>
      <c r="C364" s="3" t="s">
        <v>1008</v>
      </c>
      <c r="D364" s="13">
        <v>94136</v>
      </c>
      <c r="E364" s="6" t="s">
        <v>1227</v>
      </c>
    </row>
    <row r="365" spans="1:5" ht="15" thickBot="1">
      <c r="A365" s="3" t="s">
        <v>367</v>
      </c>
      <c r="B365" s="3" t="s">
        <v>866</v>
      </c>
      <c r="C365" s="3" t="s">
        <v>1006</v>
      </c>
      <c r="D365" s="13">
        <v>59759</v>
      </c>
      <c r="E365" s="6" t="s">
        <v>1228</v>
      </c>
    </row>
    <row r="366" spans="1:5" ht="15" thickBot="1">
      <c r="A366" s="3" t="s">
        <v>368</v>
      </c>
      <c r="B366" s="3" t="s">
        <v>867</v>
      </c>
      <c r="C366" s="3" t="s">
        <v>1005</v>
      </c>
      <c r="D366" s="13">
        <v>98652</v>
      </c>
      <c r="E366" s="6" t="s">
        <v>1229</v>
      </c>
    </row>
    <row r="367" spans="1:5" ht="15" thickBot="1">
      <c r="A367" s="3" t="s">
        <v>369</v>
      </c>
      <c r="B367" s="3" t="s">
        <v>868</v>
      </c>
      <c r="C367" s="3" t="s">
        <v>1008</v>
      </c>
      <c r="D367" s="13">
        <v>46545</v>
      </c>
      <c r="E367" s="6" t="s">
        <v>1230</v>
      </c>
    </row>
    <row r="368" spans="1:5" ht="15" thickBot="1">
      <c r="A368" s="4" t="s">
        <v>370</v>
      </c>
      <c r="B368" s="4" t="s">
        <v>869</v>
      </c>
      <c r="C368" s="4" t="s">
        <v>1007</v>
      </c>
      <c r="D368" s="14">
        <v>33457</v>
      </c>
      <c r="E368" s="8">
        <v>44197</v>
      </c>
    </row>
    <row r="369" spans="1:5" ht="15" thickBot="1">
      <c r="A369" s="3" t="s">
        <v>371</v>
      </c>
      <c r="B369" s="3" t="s">
        <v>870</v>
      </c>
      <c r="C369" s="3" t="s">
        <v>1008</v>
      </c>
      <c r="D369" s="13">
        <v>84682</v>
      </c>
      <c r="E369" s="6">
        <v>44228</v>
      </c>
    </row>
    <row r="370" spans="1:5" ht="15" thickBot="1">
      <c r="A370" s="3" t="s">
        <v>372</v>
      </c>
      <c r="B370" s="3" t="s">
        <v>871</v>
      </c>
      <c r="C370" s="3" t="s">
        <v>1006</v>
      </c>
      <c r="D370" s="13">
        <v>68592</v>
      </c>
      <c r="E370" s="6">
        <v>44256</v>
      </c>
    </row>
    <row r="371" spans="1:5" ht="15" thickBot="1">
      <c r="A371" s="3" t="s">
        <v>373</v>
      </c>
      <c r="B371" s="3" t="s">
        <v>872</v>
      </c>
      <c r="C371" s="3" t="s">
        <v>1006</v>
      </c>
      <c r="D371" s="13">
        <v>63032</v>
      </c>
      <c r="E371" s="6">
        <v>44287</v>
      </c>
    </row>
    <row r="372" spans="1:5" ht="15" thickBot="1">
      <c r="A372" s="4" t="s">
        <v>374</v>
      </c>
      <c r="B372" s="4" t="s">
        <v>873</v>
      </c>
      <c r="C372" s="4" t="s">
        <v>1007</v>
      </c>
      <c r="D372" s="14">
        <v>76912</v>
      </c>
      <c r="E372" s="8">
        <v>44317</v>
      </c>
    </row>
    <row r="373" spans="1:5" ht="15" thickBot="1">
      <c r="A373" s="3" t="s">
        <v>375</v>
      </c>
      <c r="B373" s="3" t="s">
        <v>874</v>
      </c>
      <c r="C373" s="3" t="s">
        <v>1004</v>
      </c>
      <c r="D373" s="13">
        <v>46100</v>
      </c>
      <c r="E373" s="6">
        <v>44348</v>
      </c>
    </row>
    <row r="374" spans="1:5" ht="15" thickBot="1">
      <c r="A374" s="3" t="s">
        <v>376</v>
      </c>
      <c r="B374" s="3" t="s">
        <v>875</v>
      </c>
      <c r="C374" s="3" t="s">
        <v>1008</v>
      </c>
      <c r="D374" s="13">
        <v>48865</v>
      </c>
      <c r="E374" s="6">
        <v>44378</v>
      </c>
    </row>
    <row r="375" spans="1:5" ht="15" thickBot="1">
      <c r="A375" s="3" t="s">
        <v>377</v>
      </c>
      <c r="B375" s="3" t="s">
        <v>876</v>
      </c>
      <c r="C375" s="3" t="s">
        <v>1004</v>
      </c>
      <c r="D375" s="13">
        <v>70287</v>
      </c>
      <c r="E375" s="6">
        <v>44409</v>
      </c>
    </row>
    <row r="376" spans="1:5" ht="15" thickBot="1">
      <c r="A376" s="3" t="s">
        <v>378</v>
      </c>
      <c r="B376" s="3" t="s">
        <v>877</v>
      </c>
      <c r="C376" s="3" t="s">
        <v>1005</v>
      </c>
      <c r="D376" s="13">
        <v>56952</v>
      </c>
      <c r="E376" s="6">
        <v>44440</v>
      </c>
    </row>
    <row r="377" spans="1:5" ht="15" thickBot="1">
      <c r="A377" s="4" t="s">
        <v>379</v>
      </c>
      <c r="B377" s="4" t="s">
        <v>878</v>
      </c>
      <c r="C377" s="4" t="s">
        <v>1007</v>
      </c>
      <c r="D377" s="14">
        <v>77045</v>
      </c>
      <c r="E377" s="8">
        <v>44470</v>
      </c>
    </row>
    <row r="378" spans="1:5" ht="15" thickBot="1">
      <c r="A378" s="3" t="s">
        <v>380</v>
      </c>
      <c r="B378" s="3" t="s">
        <v>879</v>
      </c>
      <c r="C378" s="3" t="s">
        <v>1008</v>
      </c>
      <c r="D378" s="13">
        <v>69651</v>
      </c>
      <c r="E378" s="6">
        <v>44501</v>
      </c>
    </row>
    <row r="379" spans="1:5" ht="15" thickBot="1">
      <c r="A379" s="4" t="s">
        <v>381</v>
      </c>
      <c r="B379" s="4" t="s">
        <v>880</v>
      </c>
      <c r="C379" s="4" t="s">
        <v>1007</v>
      </c>
      <c r="D379" s="14">
        <v>37247</v>
      </c>
      <c r="E379" s="8">
        <v>44531</v>
      </c>
    </row>
    <row r="380" spans="1:5" ht="15" thickBot="1">
      <c r="A380" s="3" t="s">
        <v>382</v>
      </c>
      <c r="B380" s="3" t="s">
        <v>881</v>
      </c>
      <c r="C380" s="3" t="s">
        <v>1004</v>
      </c>
      <c r="D380" s="13">
        <v>49082</v>
      </c>
      <c r="E380" s="6" t="s">
        <v>1231</v>
      </c>
    </row>
    <row r="381" spans="1:5" ht="15" thickBot="1">
      <c r="A381" s="3" t="s">
        <v>383</v>
      </c>
      <c r="B381" s="3" t="s">
        <v>882</v>
      </c>
      <c r="C381" s="3" t="s">
        <v>1008</v>
      </c>
      <c r="D381" s="13">
        <v>52906</v>
      </c>
      <c r="E381" s="6" t="s">
        <v>1232</v>
      </c>
    </row>
    <row r="382" spans="1:5" ht="15" thickBot="1">
      <c r="A382" s="3" t="s">
        <v>384</v>
      </c>
      <c r="B382" s="3" t="s">
        <v>883</v>
      </c>
      <c r="C382" s="3" t="s">
        <v>1004</v>
      </c>
      <c r="D382" s="13">
        <v>95647</v>
      </c>
      <c r="E382" s="6" t="s">
        <v>1233</v>
      </c>
    </row>
    <row r="383" spans="1:5" ht="15" thickBot="1">
      <c r="A383" s="4" t="s">
        <v>385</v>
      </c>
      <c r="B383" s="4" t="s">
        <v>884</v>
      </c>
      <c r="C383" s="4" t="s">
        <v>1007</v>
      </c>
      <c r="D383" s="14">
        <v>67731</v>
      </c>
      <c r="E383" s="8" t="s">
        <v>1234</v>
      </c>
    </row>
    <row r="384" spans="1:5" ht="15" thickBot="1">
      <c r="A384" s="3" t="s">
        <v>386</v>
      </c>
      <c r="B384" s="3" t="s">
        <v>885</v>
      </c>
      <c r="C384" s="3" t="s">
        <v>1004</v>
      </c>
      <c r="D384" s="13">
        <v>91848</v>
      </c>
      <c r="E384" s="6" t="s">
        <v>1235</v>
      </c>
    </row>
    <row r="385" spans="1:5" ht="15" thickBot="1">
      <c r="A385" s="3" t="s">
        <v>387</v>
      </c>
      <c r="B385" s="3" t="s">
        <v>886</v>
      </c>
      <c r="C385" s="3" t="s">
        <v>1006</v>
      </c>
      <c r="D385" s="13">
        <v>51443</v>
      </c>
      <c r="E385" s="6" t="s">
        <v>1236</v>
      </c>
    </row>
    <row r="386" spans="1:5" ht="15" thickBot="1">
      <c r="A386" s="3" t="s">
        <v>388</v>
      </c>
      <c r="B386" s="3" t="s">
        <v>887</v>
      </c>
      <c r="C386" s="3" t="s">
        <v>1004</v>
      </c>
      <c r="D386" s="13">
        <v>42135</v>
      </c>
      <c r="E386" s="6" t="s">
        <v>1237</v>
      </c>
    </row>
    <row r="387" spans="1:5" ht="15" thickBot="1">
      <c r="A387" s="3" t="s">
        <v>389</v>
      </c>
      <c r="B387" s="3" t="s">
        <v>888</v>
      </c>
      <c r="C387" s="3" t="s">
        <v>1005</v>
      </c>
      <c r="D387" s="13">
        <v>94669</v>
      </c>
      <c r="E387" s="6" t="s">
        <v>1238</v>
      </c>
    </row>
    <row r="388" spans="1:5" ht="15" thickBot="1">
      <c r="A388" s="4" t="s">
        <v>390</v>
      </c>
      <c r="B388" s="4" t="s">
        <v>889</v>
      </c>
      <c r="C388" s="4" t="s">
        <v>1007</v>
      </c>
      <c r="D388" s="14">
        <v>73375</v>
      </c>
      <c r="E388" s="8" t="s">
        <v>1239</v>
      </c>
    </row>
    <row r="389" spans="1:5" ht="15" thickBot="1">
      <c r="A389" s="3" t="s">
        <v>391</v>
      </c>
      <c r="B389" s="3" t="s">
        <v>890</v>
      </c>
      <c r="C389" s="3" t="s">
        <v>1006</v>
      </c>
      <c r="D389" s="13">
        <v>58783</v>
      </c>
      <c r="E389" s="6" t="s">
        <v>1240</v>
      </c>
    </row>
    <row r="390" spans="1:5" ht="15" thickBot="1">
      <c r="A390" s="3" t="s">
        <v>392</v>
      </c>
      <c r="B390" s="3" t="s">
        <v>891</v>
      </c>
      <c r="C390" s="3" t="s">
        <v>1006</v>
      </c>
      <c r="D390" s="13">
        <v>90678</v>
      </c>
      <c r="E390" s="6" t="s">
        <v>1241</v>
      </c>
    </row>
    <row r="391" spans="1:5" ht="15" thickBot="1">
      <c r="A391" s="3" t="s">
        <v>393</v>
      </c>
      <c r="B391" s="3" t="s">
        <v>892</v>
      </c>
      <c r="C391" s="3" t="s">
        <v>1005</v>
      </c>
      <c r="D391" s="13">
        <v>76681</v>
      </c>
      <c r="E391" s="6" t="s">
        <v>1242</v>
      </c>
    </row>
    <row r="392" spans="1:5" ht="15" thickBot="1">
      <c r="A392" s="4" t="s">
        <v>394</v>
      </c>
      <c r="B392" s="4" t="s">
        <v>893</v>
      </c>
      <c r="C392" s="4" t="s">
        <v>1007</v>
      </c>
      <c r="D392" s="14">
        <v>81298</v>
      </c>
      <c r="E392" s="8" t="s">
        <v>1243</v>
      </c>
    </row>
    <row r="393" spans="1:5" ht="15" thickBot="1">
      <c r="A393" s="3" t="s">
        <v>395</v>
      </c>
      <c r="B393" s="3" t="s">
        <v>894</v>
      </c>
      <c r="C393" s="3" t="s">
        <v>1005</v>
      </c>
      <c r="D393" s="13">
        <v>45918</v>
      </c>
      <c r="E393" s="6" t="s">
        <v>1244</v>
      </c>
    </row>
    <row r="394" spans="1:5" ht="15" thickBot="1">
      <c r="A394" s="3" t="s">
        <v>396</v>
      </c>
      <c r="B394" s="3" t="s">
        <v>895</v>
      </c>
      <c r="C394" s="3" t="s">
        <v>1005</v>
      </c>
      <c r="D394" s="13">
        <v>70980</v>
      </c>
      <c r="E394" s="6" t="s">
        <v>1245</v>
      </c>
    </row>
    <row r="395" spans="1:5" ht="15" thickBot="1">
      <c r="A395" s="3" t="s">
        <v>397</v>
      </c>
      <c r="B395" s="3" t="s">
        <v>896</v>
      </c>
      <c r="C395" s="3" t="s">
        <v>1005</v>
      </c>
      <c r="D395" s="13">
        <v>63362</v>
      </c>
      <c r="E395" s="6" t="s">
        <v>1246</v>
      </c>
    </row>
    <row r="396" spans="1:5" ht="15" thickBot="1">
      <c r="A396" s="3" t="s">
        <v>398</v>
      </c>
      <c r="B396" s="3" t="s">
        <v>897</v>
      </c>
      <c r="C396" s="3" t="s">
        <v>1005</v>
      </c>
      <c r="D396" s="13">
        <v>94587</v>
      </c>
      <c r="E396" s="6" t="s">
        <v>1247</v>
      </c>
    </row>
    <row r="397" spans="1:5" ht="15" thickBot="1">
      <c r="A397" s="3" t="s">
        <v>399</v>
      </c>
      <c r="B397" s="3" t="s">
        <v>898</v>
      </c>
      <c r="C397" s="3" t="s">
        <v>1005</v>
      </c>
      <c r="D397" s="13">
        <v>62011</v>
      </c>
      <c r="E397" s="6" t="s">
        <v>1248</v>
      </c>
    </row>
    <row r="398" spans="1:5" ht="15" thickBot="1">
      <c r="A398" s="3" t="s">
        <v>400</v>
      </c>
      <c r="B398" s="3" t="s">
        <v>899</v>
      </c>
      <c r="C398" s="3" t="s">
        <v>1006</v>
      </c>
      <c r="D398" s="13">
        <v>45819</v>
      </c>
      <c r="E398" s="6" t="s">
        <v>1249</v>
      </c>
    </row>
    <row r="399" spans="1:5" ht="15" thickBot="1">
      <c r="A399" s="3" t="s">
        <v>401</v>
      </c>
      <c r="B399" s="3" t="s">
        <v>900</v>
      </c>
      <c r="C399" s="3" t="s">
        <v>1005</v>
      </c>
      <c r="D399" s="13">
        <v>92627</v>
      </c>
      <c r="E399" s="6">
        <v>44198</v>
      </c>
    </row>
    <row r="400" spans="1:5" ht="15" thickBot="1">
      <c r="A400" s="3" t="s">
        <v>402</v>
      </c>
      <c r="B400" s="3" t="s">
        <v>901</v>
      </c>
      <c r="C400" s="3" t="s">
        <v>1008</v>
      </c>
      <c r="D400" s="13">
        <v>69697</v>
      </c>
      <c r="E400" s="6">
        <v>44229</v>
      </c>
    </row>
    <row r="401" spans="1:5" ht="15" thickBot="1">
      <c r="A401" s="3" t="s">
        <v>403</v>
      </c>
      <c r="B401" s="3" t="s">
        <v>902</v>
      </c>
      <c r="C401" s="3" t="s">
        <v>1008</v>
      </c>
      <c r="D401" s="13">
        <v>70592</v>
      </c>
      <c r="E401" s="6">
        <v>44257</v>
      </c>
    </row>
    <row r="402" spans="1:5" ht="15" thickBot="1">
      <c r="A402" s="3" t="s">
        <v>404</v>
      </c>
      <c r="B402" s="3" t="s">
        <v>903</v>
      </c>
      <c r="C402" s="3" t="s">
        <v>1004</v>
      </c>
      <c r="D402" s="13">
        <v>43847</v>
      </c>
      <c r="E402" s="6">
        <v>44288</v>
      </c>
    </row>
    <row r="403" spans="1:5" ht="15" thickBot="1">
      <c r="A403" s="3" t="s">
        <v>405</v>
      </c>
      <c r="B403" s="3" t="s">
        <v>904</v>
      </c>
      <c r="C403" s="3" t="s">
        <v>1008</v>
      </c>
      <c r="D403" s="13">
        <v>72519</v>
      </c>
      <c r="E403" s="6">
        <v>44318</v>
      </c>
    </row>
    <row r="404" spans="1:5" ht="15" thickBot="1">
      <c r="A404" s="3" t="s">
        <v>406</v>
      </c>
      <c r="B404" s="3" t="s">
        <v>905</v>
      </c>
      <c r="C404" s="3" t="s">
        <v>1004</v>
      </c>
      <c r="D404" s="13">
        <v>58666</v>
      </c>
      <c r="E404" s="6">
        <v>44349</v>
      </c>
    </row>
    <row r="405" spans="1:5" ht="15" thickBot="1">
      <c r="A405" s="3" t="s">
        <v>407</v>
      </c>
      <c r="B405" s="3" t="s">
        <v>906</v>
      </c>
      <c r="C405" s="3" t="s">
        <v>1006</v>
      </c>
      <c r="D405" s="13">
        <v>55871</v>
      </c>
      <c r="E405" s="6">
        <v>44379</v>
      </c>
    </row>
    <row r="406" spans="1:5" ht="15" thickBot="1">
      <c r="A406" s="3" t="s">
        <v>408</v>
      </c>
      <c r="B406" s="3" t="s">
        <v>907</v>
      </c>
      <c r="C406" s="3" t="s">
        <v>1004</v>
      </c>
      <c r="D406" s="13">
        <v>58546</v>
      </c>
      <c r="E406" s="6">
        <v>44410</v>
      </c>
    </row>
    <row r="407" spans="1:5" ht="15" thickBot="1">
      <c r="A407" s="4" t="s">
        <v>409</v>
      </c>
      <c r="B407" s="4" t="s">
        <v>908</v>
      </c>
      <c r="C407" s="4" t="s">
        <v>1007</v>
      </c>
      <c r="D407" s="14">
        <v>39470</v>
      </c>
      <c r="E407" s="8">
        <v>44441</v>
      </c>
    </row>
    <row r="408" spans="1:5" ht="15" thickBot="1">
      <c r="A408" s="3" t="s">
        <v>410</v>
      </c>
      <c r="B408" s="3" t="s">
        <v>909</v>
      </c>
      <c r="C408" s="3" t="s">
        <v>1006</v>
      </c>
      <c r="D408" s="13">
        <v>43485</v>
      </c>
      <c r="E408" s="6">
        <v>44471</v>
      </c>
    </row>
    <row r="409" spans="1:5" ht="15" thickBot="1">
      <c r="A409" s="3" t="s">
        <v>411</v>
      </c>
      <c r="B409" s="3" t="s">
        <v>910</v>
      </c>
      <c r="C409" s="3" t="s">
        <v>1004</v>
      </c>
      <c r="D409" s="13">
        <v>52667</v>
      </c>
      <c r="E409" s="6">
        <v>44502</v>
      </c>
    </row>
    <row r="410" spans="1:5" ht="15" thickBot="1">
      <c r="A410" s="4" t="s">
        <v>412</v>
      </c>
      <c r="B410" s="4" t="s">
        <v>911</v>
      </c>
      <c r="C410" s="4" t="s">
        <v>1007</v>
      </c>
      <c r="D410" s="14">
        <v>32818</v>
      </c>
      <c r="E410" s="8">
        <v>44532</v>
      </c>
    </row>
    <row r="411" spans="1:5" ht="15" thickBot="1">
      <c r="A411" s="3" t="s">
        <v>413</v>
      </c>
      <c r="B411" s="3" t="s">
        <v>912</v>
      </c>
      <c r="C411" s="3" t="s">
        <v>1004</v>
      </c>
      <c r="D411" s="13">
        <v>63405</v>
      </c>
      <c r="E411" s="6" t="s">
        <v>1250</v>
      </c>
    </row>
    <row r="412" spans="1:5" ht="15" thickBot="1">
      <c r="A412" s="3" t="s">
        <v>414</v>
      </c>
      <c r="B412" s="3" t="s">
        <v>913</v>
      </c>
      <c r="C412" s="3" t="s">
        <v>1005</v>
      </c>
      <c r="D412" s="13">
        <v>55341</v>
      </c>
      <c r="E412" s="6" t="s">
        <v>1251</v>
      </c>
    </row>
    <row r="413" spans="1:5" ht="15" thickBot="1">
      <c r="A413" s="3" t="s">
        <v>415</v>
      </c>
      <c r="B413" s="3" t="s">
        <v>914</v>
      </c>
      <c r="C413" s="3" t="s">
        <v>1008</v>
      </c>
      <c r="D413" s="13">
        <v>31269</v>
      </c>
      <c r="E413" s="6" t="s">
        <v>1252</v>
      </c>
    </row>
    <row r="414" spans="1:5" ht="15" thickBot="1">
      <c r="A414" s="3" t="s">
        <v>416</v>
      </c>
      <c r="B414" s="3" t="s">
        <v>915</v>
      </c>
      <c r="C414" s="3" t="s">
        <v>1004</v>
      </c>
      <c r="D414" s="13">
        <v>77976</v>
      </c>
      <c r="E414" s="6" t="s">
        <v>1253</v>
      </c>
    </row>
    <row r="415" spans="1:5" ht="15" thickBot="1">
      <c r="A415" s="3" t="s">
        <v>417</v>
      </c>
      <c r="B415" s="3" t="s">
        <v>916</v>
      </c>
      <c r="C415" s="3" t="s">
        <v>1008</v>
      </c>
      <c r="D415" s="13">
        <v>32434</v>
      </c>
      <c r="E415" s="6" t="s">
        <v>1254</v>
      </c>
    </row>
    <row r="416" spans="1:5" ht="15" thickBot="1">
      <c r="A416" s="4" t="s">
        <v>418</v>
      </c>
      <c r="B416" s="4" t="s">
        <v>917</v>
      </c>
      <c r="C416" s="4" t="s">
        <v>1007</v>
      </c>
      <c r="D416" s="14">
        <v>80343</v>
      </c>
      <c r="E416" s="8" t="s">
        <v>1255</v>
      </c>
    </row>
    <row r="417" spans="1:5" ht="15" thickBot="1">
      <c r="A417" s="3" t="s">
        <v>419</v>
      </c>
      <c r="B417" s="3" t="s">
        <v>918</v>
      </c>
      <c r="C417" s="3" t="s">
        <v>1004</v>
      </c>
      <c r="D417" s="13">
        <v>61228</v>
      </c>
      <c r="E417" s="6" t="s">
        <v>1256</v>
      </c>
    </row>
    <row r="418" spans="1:5" ht="15" thickBot="1">
      <c r="A418" s="3" t="s">
        <v>420</v>
      </c>
      <c r="B418" s="3" t="s">
        <v>919</v>
      </c>
      <c r="C418" s="3" t="s">
        <v>1004</v>
      </c>
      <c r="D418" s="13">
        <v>99310</v>
      </c>
      <c r="E418" s="6" t="s">
        <v>1257</v>
      </c>
    </row>
    <row r="419" spans="1:5" ht="15" thickBot="1">
      <c r="A419" s="4" t="s">
        <v>421</v>
      </c>
      <c r="B419" s="4" t="s">
        <v>920</v>
      </c>
      <c r="C419" s="4" t="s">
        <v>1007</v>
      </c>
      <c r="D419" s="14">
        <v>73889</v>
      </c>
      <c r="E419" s="8" t="s">
        <v>1258</v>
      </c>
    </row>
    <row r="420" spans="1:5" ht="15" thickBot="1">
      <c r="A420" s="4" t="s">
        <v>422</v>
      </c>
      <c r="B420" s="4" t="s">
        <v>921</v>
      </c>
      <c r="C420" s="4" t="s">
        <v>1007</v>
      </c>
      <c r="D420" s="14">
        <v>48338</v>
      </c>
      <c r="E420" s="8" t="s">
        <v>1259</v>
      </c>
    </row>
    <row r="421" spans="1:5" ht="15" thickBot="1">
      <c r="A421" s="3" t="s">
        <v>423</v>
      </c>
      <c r="B421" s="3" t="s">
        <v>922</v>
      </c>
      <c r="C421" s="3" t="s">
        <v>1005</v>
      </c>
      <c r="D421" s="13">
        <v>34490</v>
      </c>
      <c r="E421" s="6" t="s">
        <v>1260</v>
      </c>
    </row>
    <row r="422" spans="1:5" ht="15" thickBot="1">
      <c r="A422" s="3" t="s">
        <v>424</v>
      </c>
      <c r="B422" s="3" t="s">
        <v>923</v>
      </c>
      <c r="C422" s="3" t="s">
        <v>1008</v>
      </c>
      <c r="D422" s="13">
        <v>60408</v>
      </c>
      <c r="E422" s="6" t="s">
        <v>1261</v>
      </c>
    </row>
    <row r="423" spans="1:5" ht="15" thickBot="1">
      <c r="A423" s="4" t="s">
        <v>425</v>
      </c>
      <c r="B423" s="4" t="s">
        <v>924</v>
      </c>
      <c r="C423" s="4" t="s">
        <v>1007</v>
      </c>
      <c r="D423" s="14">
        <v>37306</v>
      </c>
      <c r="E423" s="8" t="s">
        <v>1262</v>
      </c>
    </row>
    <row r="424" spans="1:5" ht="15" thickBot="1">
      <c r="A424" s="3" t="s">
        <v>426</v>
      </c>
      <c r="B424" s="3" t="s">
        <v>925</v>
      </c>
      <c r="C424" s="3" t="s">
        <v>1005</v>
      </c>
      <c r="D424" s="13">
        <v>81432</v>
      </c>
      <c r="E424" s="6" t="s">
        <v>1263</v>
      </c>
    </row>
    <row r="425" spans="1:5" ht="15" thickBot="1">
      <c r="A425" s="3" t="s">
        <v>427</v>
      </c>
      <c r="B425" s="3" t="s">
        <v>926</v>
      </c>
      <c r="C425" s="3" t="s">
        <v>1005</v>
      </c>
      <c r="D425" s="13">
        <v>97925</v>
      </c>
      <c r="E425" s="6" t="s">
        <v>1264</v>
      </c>
    </row>
    <row r="426" spans="1:5" ht="15" thickBot="1">
      <c r="A426" s="4" t="s">
        <v>428</v>
      </c>
      <c r="B426" s="4" t="s">
        <v>927</v>
      </c>
      <c r="C426" s="4" t="s">
        <v>1007</v>
      </c>
      <c r="D426" s="14">
        <v>40451</v>
      </c>
      <c r="E426" s="8" t="s">
        <v>1265</v>
      </c>
    </row>
    <row r="427" spans="1:5" ht="15" thickBot="1">
      <c r="A427" s="3" t="s">
        <v>429</v>
      </c>
      <c r="B427" s="3" t="s">
        <v>928</v>
      </c>
      <c r="C427" s="3" t="s">
        <v>1006</v>
      </c>
      <c r="D427" s="13">
        <v>95723</v>
      </c>
      <c r="E427" s="6">
        <v>44199</v>
      </c>
    </row>
    <row r="428" spans="1:5" ht="15" thickBot="1">
      <c r="A428" s="3" t="s">
        <v>430</v>
      </c>
      <c r="B428" s="3" t="s">
        <v>929</v>
      </c>
      <c r="C428" s="3" t="s">
        <v>1008</v>
      </c>
      <c r="D428" s="13">
        <v>51585</v>
      </c>
      <c r="E428" s="6">
        <v>44230</v>
      </c>
    </row>
    <row r="429" spans="1:5" ht="15" thickBot="1">
      <c r="A429" s="4" t="s">
        <v>431</v>
      </c>
      <c r="B429" s="4" t="s">
        <v>930</v>
      </c>
      <c r="C429" s="4" t="s">
        <v>1007</v>
      </c>
      <c r="D429" s="14">
        <v>97096</v>
      </c>
      <c r="E429" s="8">
        <v>44258</v>
      </c>
    </row>
    <row r="430" spans="1:5" ht="15" thickBot="1">
      <c r="A430" s="3" t="s">
        <v>432</v>
      </c>
      <c r="B430" s="3" t="s">
        <v>931</v>
      </c>
      <c r="C430" s="3" t="s">
        <v>1004</v>
      </c>
      <c r="D430" s="13">
        <v>98691</v>
      </c>
      <c r="E430" s="6">
        <v>44289</v>
      </c>
    </row>
    <row r="431" spans="1:5" ht="15" thickBot="1">
      <c r="A431" s="3" t="s">
        <v>433</v>
      </c>
      <c r="B431" s="3" t="s">
        <v>932</v>
      </c>
      <c r="C431" s="3" t="s">
        <v>1006</v>
      </c>
      <c r="D431" s="13">
        <v>79788</v>
      </c>
      <c r="E431" s="6">
        <v>44319</v>
      </c>
    </row>
    <row r="432" spans="1:5" ht="15" thickBot="1">
      <c r="A432" s="3" t="s">
        <v>434</v>
      </c>
      <c r="B432" s="3" t="s">
        <v>933</v>
      </c>
      <c r="C432" s="3" t="s">
        <v>1004</v>
      </c>
      <c r="D432" s="13">
        <v>39981</v>
      </c>
      <c r="E432" s="6">
        <v>44350</v>
      </c>
    </row>
    <row r="433" spans="1:5" ht="15" thickBot="1">
      <c r="A433" s="4" t="s">
        <v>435</v>
      </c>
      <c r="B433" s="4" t="s">
        <v>934</v>
      </c>
      <c r="C433" s="4" t="s">
        <v>1007</v>
      </c>
      <c r="D433" s="14">
        <v>54302</v>
      </c>
      <c r="E433" s="8">
        <v>44380</v>
      </c>
    </row>
    <row r="434" spans="1:5" ht="15" thickBot="1">
      <c r="A434" s="3" t="s">
        <v>436</v>
      </c>
      <c r="B434" s="3" t="s">
        <v>935</v>
      </c>
      <c r="C434" s="3" t="s">
        <v>1005</v>
      </c>
      <c r="D434" s="13">
        <v>41906</v>
      </c>
      <c r="E434" s="6">
        <v>44411</v>
      </c>
    </row>
    <row r="435" spans="1:5" ht="15" thickBot="1">
      <c r="A435" s="4" t="s">
        <v>437</v>
      </c>
      <c r="B435" s="4" t="s">
        <v>936</v>
      </c>
      <c r="C435" s="4" t="s">
        <v>1007</v>
      </c>
      <c r="D435" s="14">
        <v>86661</v>
      </c>
      <c r="E435" s="8">
        <v>44442</v>
      </c>
    </row>
    <row r="436" spans="1:5" ht="15" thickBot="1">
      <c r="A436" s="3" t="s">
        <v>438</v>
      </c>
      <c r="B436" s="3" t="s">
        <v>937</v>
      </c>
      <c r="C436" s="3" t="s">
        <v>1005</v>
      </c>
      <c r="D436" s="13">
        <v>42867</v>
      </c>
      <c r="E436" s="6">
        <v>44472</v>
      </c>
    </row>
    <row r="437" spans="1:5" ht="15" thickBot="1">
      <c r="A437" s="3" t="s">
        <v>439</v>
      </c>
      <c r="B437" s="3" t="s">
        <v>938</v>
      </c>
      <c r="C437" s="3" t="s">
        <v>1004</v>
      </c>
      <c r="D437" s="13">
        <v>92619</v>
      </c>
      <c r="E437" s="6">
        <v>44503</v>
      </c>
    </row>
    <row r="438" spans="1:5" ht="15" thickBot="1">
      <c r="A438" s="4" t="s">
        <v>440</v>
      </c>
      <c r="B438" s="4" t="s">
        <v>939</v>
      </c>
      <c r="C438" s="4" t="s">
        <v>1007</v>
      </c>
      <c r="D438" s="14">
        <v>40086</v>
      </c>
      <c r="E438" s="8">
        <v>44533</v>
      </c>
    </row>
    <row r="439" spans="1:5" ht="15" thickBot="1">
      <c r="A439" s="3" t="s">
        <v>441</v>
      </c>
      <c r="B439" s="3" t="s">
        <v>940</v>
      </c>
      <c r="C439" s="3" t="s">
        <v>1004</v>
      </c>
      <c r="D439" s="13">
        <v>69251</v>
      </c>
      <c r="E439" s="6" t="s">
        <v>1266</v>
      </c>
    </row>
    <row r="440" spans="1:5" ht="15" thickBot="1">
      <c r="A440" s="3" t="s">
        <v>442</v>
      </c>
      <c r="B440" s="3" t="s">
        <v>941</v>
      </c>
      <c r="C440" s="3" t="s">
        <v>1004</v>
      </c>
      <c r="D440" s="13">
        <v>59750</v>
      </c>
      <c r="E440" s="6" t="s">
        <v>1267</v>
      </c>
    </row>
    <row r="441" spans="1:5" ht="15" thickBot="1">
      <c r="A441" s="3" t="s">
        <v>443</v>
      </c>
      <c r="B441" s="3" t="s">
        <v>942</v>
      </c>
      <c r="C441" s="3" t="s">
        <v>1008</v>
      </c>
      <c r="D441" s="13">
        <v>68573</v>
      </c>
      <c r="E441" s="6" t="s">
        <v>1268</v>
      </c>
    </row>
    <row r="442" spans="1:5" ht="15" thickBot="1">
      <c r="A442" s="3" t="s">
        <v>444</v>
      </c>
      <c r="B442" s="3" t="s">
        <v>943</v>
      </c>
      <c r="C442" s="3" t="s">
        <v>1008</v>
      </c>
      <c r="D442" s="13">
        <v>59151</v>
      </c>
      <c r="E442" s="6" t="s">
        <v>1269</v>
      </c>
    </row>
    <row r="443" spans="1:5" ht="15" thickBot="1">
      <c r="A443" s="3" t="s">
        <v>445</v>
      </c>
      <c r="B443" s="3" t="s">
        <v>944</v>
      </c>
      <c r="C443" s="3" t="s">
        <v>1006</v>
      </c>
      <c r="D443" s="13">
        <v>37982</v>
      </c>
      <c r="E443" s="6" t="s">
        <v>1270</v>
      </c>
    </row>
    <row r="444" spans="1:5" ht="15" thickBot="1">
      <c r="A444" s="3" t="s">
        <v>446</v>
      </c>
      <c r="B444" s="3" t="s">
        <v>945</v>
      </c>
      <c r="C444" s="3" t="s">
        <v>1005</v>
      </c>
      <c r="D444" s="13">
        <v>80834</v>
      </c>
      <c r="E444" s="6" t="s">
        <v>1271</v>
      </c>
    </row>
    <row r="445" spans="1:5" ht="15" thickBot="1">
      <c r="A445" s="3" t="s">
        <v>447</v>
      </c>
      <c r="B445" s="3" t="s">
        <v>946</v>
      </c>
      <c r="C445" s="3" t="s">
        <v>1006</v>
      </c>
      <c r="D445" s="13">
        <v>87672</v>
      </c>
      <c r="E445" s="6" t="s">
        <v>1272</v>
      </c>
    </row>
    <row r="446" spans="1:5" ht="15" thickBot="1">
      <c r="A446" s="3" t="s">
        <v>448</v>
      </c>
      <c r="B446" s="3" t="s">
        <v>947</v>
      </c>
      <c r="C446" s="3" t="s">
        <v>1005</v>
      </c>
      <c r="D446" s="13">
        <v>35779</v>
      </c>
      <c r="E446" s="6" t="s">
        <v>1273</v>
      </c>
    </row>
    <row r="447" spans="1:5" ht="15" thickBot="1">
      <c r="A447" s="3" t="s">
        <v>449</v>
      </c>
      <c r="B447" s="3" t="s">
        <v>948</v>
      </c>
      <c r="C447" s="3" t="s">
        <v>1006</v>
      </c>
      <c r="D447" s="13">
        <v>79972</v>
      </c>
      <c r="E447" s="6" t="s">
        <v>1274</v>
      </c>
    </row>
    <row r="448" spans="1:5" ht="15" thickBot="1">
      <c r="A448" s="3" t="s">
        <v>450</v>
      </c>
      <c r="B448" s="3" t="s">
        <v>949</v>
      </c>
      <c r="C448" s="3" t="s">
        <v>1008</v>
      </c>
      <c r="D448" s="13">
        <v>86578</v>
      </c>
      <c r="E448" s="6" t="s">
        <v>1275</v>
      </c>
    </row>
    <row r="449" spans="1:5" ht="15" thickBot="1">
      <c r="A449" s="3" t="s">
        <v>451</v>
      </c>
      <c r="B449" s="3" t="s">
        <v>950</v>
      </c>
      <c r="C449" s="3" t="s">
        <v>1005</v>
      </c>
      <c r="D449" s="13">
        <v>48744</v>
      </c>
      <c r="E449" s="6" t="s">
        <v>1276</v>
      </c>
    </row>
    <row r="450" spans="1:5" ht="15" thickBot="1">
      <c r="A450" s="4" t="s">
        <v>452</v>
      </c>
      <c r="B450" s="4" t="s">
        <v>951</v>
      </c>
      <c r="C450" s="4" t="s">
        <v>1007</v>
      </c>
      <c r="D450" s="14">
        <v>78409</v>
      </c>
      <c r="E450" s="8" t="s">
        <v>1277</v>
      </c>
    </row>
    <row r="451" spans="1:5" ht="15" thickBot="1">
      <c r="A451" s="3" t="s">
        <v>453</v>
      </c>
      <c r="B451" s="3" t="s">
        <v>952</v>
      </c>
      <c r="C451" s="3" t="s">
        <v>1004</v>
      </c>
      <c r="D451" s="13">
        <v>47211</v>
      </c>
      <c r="E451" s="6" t="s">
        <v>1278</v>
      </c>
    </row>
    <row r="452" spans="1:5" ht="15" thickBot="1">
      <c r="A452" s="3" t="s">
        <v>454</v>
      </c>
      <c r="B452" s="3" t="s">
        <v>953</v>
      </c>
      <c r="C452" s="3" t="s">
        <v>1004</v>
      </c>
      <c r="D452" s="13">
        <v>85497</v>
      </c>
      <c r="E452" s="6" t="s">
        <v>1279</v>
      </c>
    </row>
    <row r="453" spans="1:5" ht="15" thickBot="1">
      <c r="A453" s="4" t="s">
        <v>455</v>
      </c>
      <c r="B453" s="4" t="s">
        <v>954</v>
      </c>
      <c r="C453" s="4" t="s">
        <v>1007</v>
      </c>
      <c r="D453" s="14">
        <v>44735</v>
      </c>
      <c r="E453" s="8" t="s">
        <v>1280</v>
      </c>
    </row>
    <row r="454" spans="1:5" ht="15" thickBot="1">
      <c r="A454" s="3" t="s">
        <v>456</v>
      </c>
      <c r="B454" s="3" t="s">
        <v>955</v>
      </c>
      <c r="C454" s="3" t="s">
        <v>1005</v>
      </c>
      <c r="D454" s="13">
        <v>50886</v>
      </c>
      <c r="E454" s="6" t="s">
        <v>1281</v>
      </c>
    </row>
    <row r="455" spans="1:5" ht="15" thickBot="1">
      <c r="A455" s="4" t="s">
        <v>457</v>
      </c>
      <c r="B455" s="4" t="s">
        <v>956</v>
      </c>
      <c r="C455" s="4" t="s">
        <v>1007</v>
      </c>
      <c r="D455" s="14">
        <v>92147</v>
      </c>
      <c r="E455" s="8" t="s">
        <v>1282</v>
      </c>
    </row>
    <row r="456" spans="1:5" ht="15" thickBot="1">
      <c r="A456" s="3" t="s">
        <v>458</v>
      </c>
      <c r="B456" s="3" t="s">
        <v>957</v>
      </c>
      <c r="C456" s="3" t="s">
        <v>1006</v>
      </c>
      <c r="D456" s="13">
        <v>48965</v>
      </c>
      <c r="E456" s="6" t="s">
        <v>1283</v>
      </c>
    </row>
    <row r="457" spans="1:5" ht="15" thickBot="1">
      <c r="A457" s="3" t="s">
        <v>459</v>
      </c>
      <c r="B457" s="3" t="s">
        <v>958</v>
      </c>
      <c r="C457" s="3" t="s">
        <v>1004</v>
      </c>
      <c r="D457" s="13">
        <v>57751</v>
      </c>
      <c r="E457" s="6" t="s">
        <v>1284</v>
      </c>
    </row>
    <row r="458" spans="1:5" ht="15" thickBot="1">
      <c r="A458" s="3" t="s">
        <v>460</v>
      </c>
      <c r="B458" s="3" t="s">
        <v>959</v>
      </c>
      <c r="C458" s="3" t="s">
        <v>1004</v>
      </c>
      <c r="D458" s="13">
        <v>36489</v>
      </c>
      <c r="E458" s="6">
        <v>44200</v>
      </c>
    </row>
    <row r="459" spans="1:5" ht="15" thickBot="1">
      <c r="A459" s="3" t="s">
        <v>461</v>
      </c>
      <c r="B459" s="3" t="s">
        <v>960</v>
      </c>
      <c r="C459" s="3" t="s">
        <v>1004</v>
      </c>
      <c r="D459" s="13">
        <v>56436</v>
      </c>
      <c r="E459" s="6">
        <v>44231</v>
      </c>
    </row>
    <row r="460" spans="1:5" ht="15" thickBot="1">
      <c r="A460" s="3" t="s">
        <v>462</v>
      </c>
      <c r="B460" s="3" t="s">
        <v>961</v>
      </c>
      <c r="C460" s="3" t="s">
        <v>1005</v>
      </c>
      <c r="D460" s="13">
        <v>45575</v>
      </c>
      <c r="E460" s="6">
        <v>44259</v>
      </c>
    </row>
    <row r="461" spans="1:5" ht="15" thickBot="1">
      <c r="A461" s="4" t="s">
        <v>463</v>
      </c>
      <c r="B461" s="4" t="s">
        <v>962</v>
      </c>
      <c r="C461" s="4" t="s">
        <v>1007</v>
      </c>
      <c r="D461" s="14">
        <v>80798</v>
      </c>
      <c r="E461" s="8">
        <v>44290</v>
      </c>
    </row>
    <row r="462" spans="1:5" ht="15" thickBot="1">
      <c r="A462" s="3" t="s">
        <v>464</v>
      </c>
      <c r="B462" s="3" t="s">
        <v>963</v>
      </c>
      <c r="C462" s="3" t="s">
        <v>1005</v>
      </c>
      <c r="D462" s="13">
        <v>31399</v>
      </c>
      <c r="E462" s="6">
        <v>44320</v>
      </c>
    </row>
    <row r="463" spans="1:5" ht="15" thickBot="1">
      <c r="A463" s="3" t="s">
        <v>465</v>
      </c>
      <c r="B463" s="3" t="s">
        <v>964</v>
      </c>
      <c r="C463" s="3" t="s">
        <v>1005</v>
      </c>
      <c r="D463" s="13">
        <v>70773</v>
      </c>
      <c r="E463" s="6">
        <v>44351</v>
      </c>
    </row>
    <row r="464" spans="1:5" ht="15" thickBot="1">
      <c r="A464" s="3" t="s">
        <v>466</v>
      </c>
      <c r="B464" s="3" t="s">
        <v>965</v>
      </c>
      <c r="C464" s="3" t="s">
        <v>1006</v>
      </c>
      <c r="D464" s="13">
        <v>88183</v>
      </c>
      <c r="E464" s="6">
        <v>44381</v>
      </c>
    </row>
    <row r="465" spans="1:5" ht="15" thickBot="1">
      <c r="A465" s="3" t="s">
        <v>467</v>
      </c>
      <c r="B465" s="3" t="s">
        <v>966</v>
      </c>
      <c r="C465" s="3" t="s">
        <v>1005</v>
      </c>
      <c r="D465" s="13">
        <v>64999</v>
      </c>
      <c r="E465" s="6">
        <v>44412</v>
      </c>
    </row>
    <row r="466" spans="1:5" ht="15" thickBot="1">
      <c r="A466" s="4" t="s">
        <v>468</v>
      </c>
      <c r="B466" s="4" t="s">
        <v>967</v>
      </c>
      <c r="C466" s="4" t="s">
        <v>1007</v>
      </c>
      <c r="D466" s="14">
        <v>45053</v>
      </c>
      <c r="E466" s="8">
        <v>44443</v>
      </c>
    </row>
    <row r="467" spans="1:5" ht="15" thickBot="1">
      <c r="A467" s="3" t="s">
        <v>469</v>
      </c>
      <c r="B467" s="3" t="s">
        <v>968</v>
      </c>
      <c r="C467" s="3" t="s">
        <v>1004</v>
      </c>
      <c r="D467" s="13">
        <v>35467</v>
      </c>
      <c r="E467" s="6">
        <v>44473</v>
      </c>
    </row>
    <row r="468" spans="1:5" ht="15" thickBot="1">
      <c r="A468" s="3" t="s">
        <v>470</v>
      </c>
      <c r="B468" s="3" t="s">
        <v>969</v>
      </c>
      <c r="C468" s="3" t="s">
        <v>1008</v>
      </c>
      <c r="D468" s="13">
        <v>95512</v>
      </c>
      <c r="E468" s="6">
        <v>44504</v>
      </c>
    </row>
    <row r="469" spans="1:5" ht="15" thickBot="1">
      <c r="A469" s="3" t="s">
        <v>471</v>
      </c>
      <c r="B469" s="3" t="s">
        <v>970</v>
      </c>
      <c r="C469" s="3" t="s">
        <v>1004</v>
      </c>
      <c r="D469" s="13">
        <v>46595</v>
      </c>
      <c r="E469" s="6">
        <v>44534</v>
      </c>
    </row>
    <row r="470" spans="1:5" ht="15" thickBot="1">
      <c r="A470" s="3" t="s">
        <v>472</v>
      </c>
      <c r="B470" s="3" t="s">
        <v>971</v>
      </c>
      <c r="C470" s="3" t="s">
        <v>1005</v>
      </c>
      <c r="D470" s="13">
        <v>35544</v>
      </c>
      <c r="E470" s="6" t="s">
        <v>1285</v>
      </c>
    </row>
    <row r="471" spans="1:5" ht="15" thickBot="1">
      <c r="A471" s="4" t="s">
        <v>473</v>
      </c>
      <c r="B471" s="4" t="s">
        <v>972</v>
      </c>
      <c r="C471" s="4" t="s">
        <v>1007</v>
      </c>
      <c r="D471" s="14">
        <v>72510</v>
      </c>
      <c r="E471" s="8" t="s">
        <v>1286</v>
      </c>
    </row>
    <row r="472" spans="1:5" ht="15" thickBot="1">
      <c r="A472" s="3" t="s">
        <v>474</v>
      </c>
      <c r="B472" s="3" t="s">
        <v>973</v>
      </c>
      <c r="C472" s="3" t="s">
        <v>1004</v>
      </c>
      <c r="D472" s="13">
        <v>64091</v>
      </c>
      <c r="E472" s="6" t="s">
        <v>1287</v>
      </c>
    </row>
    <row r="473" spans="1:5" ht="15" thickBot="1">
      <c r="A473" s="3" t="s">
        <v>475</v>
      </c>
      <c r="B473" s="3" t="s">
        <v>974</v>
      </c>
      <c r="C473" s="3" t="s">
        <v>1006</v>
      </c>
      <c r="D473" s="13">
        <v>85324</v>
      </c>
      <c r="E473" s="6" t="s">
        <v>1288</v>
      </c>
    </row>
    <row r="474" spans="1:5" ht="15" thickBot="1">
      <c r="A474" s="3" t="s">
        <v>476</v>
      </c>
      <c r="B474" s="3" t="s">
        <v>975</v>
      </c>
      <c r="C474" s="3" t="s">
        <v>1005</v>
      </c>
      <c r="D474" s="13">
        <v>43518</v>
      </c>
      <c r="E474" s="6" t="s">
        <v>1289</v>
      </c>
    </row>
    <row r="475" spans="1:5" ht="15" thickBot="1">
      <c r="A475" s="3" t="s">
        <v>477</v>
      </c>
      <c r="B475" s="3" t="s">
        <v>976</v>
      </c>
      <c r="C475" s="3" t="s">
        <v>1006</v>
      </c>
      <c r="D475" s="13">
        <v>67003</v>
      </c>
      <c r="E475" s="6" t="s">
        <v>1290</v>
      </c>
    </row>
    <row r="476" spans="1:5" ht="15" thickBot="1">
      <c r="A476" s="3" t="s">
        <v>478</v>
      </c>
      <c r="B476" s="3" t="s">
        <v>977</v>
      </c>
      <c r="C476" s="3" t="s">
        <v>1005</v>
      </c>
      <c r="D476" s="13">
        <v>67870</v>
      </c>
      <c r="E476" s="6" t="s">
        <v>1291</v>
      </c>
    </row>
    <row r="477" spans="1:5" ht="15" thickBot="1">
      <c r="A477" s="3" t="s">
        <v>479</v>
      </c>
      <c r="B477" s="3" t="s">
        <v>978</v>
      </c>
      <c r="C477" s="3" t="s">
        <v>1004</v>
      </c>
      <c r="D477" s="13">
        <v>95338</v>
      </c>
      <c r="E477" s="6" t="s">
        <v>1292</v>
      </c>
    </row>
    <row r="478" spans="1:5" ht="15" thickBot="1">
      <c r="A478" s="3" t="s">
        <v>480</v>
      </c>
      <c r="B478" s="3" t="s">
        <v>979</v>
      </c>
      <c r="C478" s="3" t="s">
        <v>1006</v>
      </c>
      <c r="D478" s="13">
        <v>69281</v>
      </c>
      <c r="E478" s="6" t="s">
        <v>1293</v>
      </c>
    </row>
    <row r="479" spans="1:5" ht="15" thickBot="1">
      <c r="A479" s="3" t="s">
        <v>481</v>
      </c>
      <c r="B479" s="3" t="s">
        <v>980</v>
      </c>
      <c r="C479" s="3" t="s">
        <v>1005</v>
      </c>
      <c r="D479" s="13">
        <v>62086</v>
      </c>
      <c r="E479" s="6" t="s">
        <v>1294</v>
      </c>
    </row>
    <row r="480" spans="1:5" ht="15" thickBot="1">
      <c r="A480" s="3" t="s">
        <v>482</v>
      </c>
      <c r="B480" s="3" t="s">
        <v>981</v>
      </c>
      <c r="C480" s="3" t="s">
        <v>1004</v>
      </c>
      <c r="D480" s="13">
        <v>62071</v>
      </c>
      <c r="E480" s="6" t="s">
        <v>1295</v>
      </c>
    </row>
    <row r="481" spans="1:5" ht="15" thickBot="1">
      <c r="A481" s="4" t="s">
        <v>483</v>
      </c>
      <c r="B481" s="4" t="s">
        <v>982</v>
      </c>
      <c r="C481" s="4" t="s">
        <v>1007</v>
      </c>
      <c r="D481" s="14">
        <v>76104</v>
      </c>
      <c r="E481" s="8" t="s">
        <v>1296</v>
      </c>
    </row>
    <row r="482" spans="1:5" ht="15" thickBot="1">
      <c r="A482" s="3" t="s">
        <v>484</v>
      </c>
      <c r="B482" s="3" t="s">
        <v>983</v>
      </c>
      <c r="C482" s="3" t="s">
        <v>1004</v>
      </c>
      <c r="D482" s="13">
        <v>89119</v>
      </c>
      <c r="E482" s="6" t="s">
        <v>1297</v>
      </c>
    </row>
    <row r="483" spans="1:5" ht="15" thickBot="1">
      <c r="A483" s="3" t="s">
        <v>485</v>
      </c>
      <c r="B483" s="3" t="s">
        <v>984</v>
      </c>
      <c r="C483" s="3" t="s">
        <v>1005</v>
      </c>
      <c r="D483" s="13">
        <v>66700</v>
      </c>
      <c r="E483" s="6" t="s">
        <v>1298</v>
      </c>
    </row>
    <row r="484" spans="1:5" ht="15" thickBot="1">
      <c r="A484" s="3" t="s">
        <v>486</v>
      </c>
      <c r="B484" s="3" t="s">
        <v>985</v>
      </c>
      <c r="C484" s="3" t="s">
        <v>1008</v>
      </c>
      <c r="D484" s="13">
        <v>52412</v>
      </c>
      <c r="E484" s="6" t="s">
        <v>1299</v>
      </c>
    </row>
    <row r="485" spans="1:5" ht="15" thickBot="1">
      <c r="A485" s="4" t="s">
        <v>487</v>
      </c>
      <c r="B485" s="4" t="s">
        <v>986</v>
      </c>
      <c r="C485" s="4" t="s">
        <v>1007</v>
      </c>
      <c r="D485" s="14">
        <v>39107</v>
      </c>
      <c r="E485" s="8" t="s">
        <v>1300</v>
      </c>
    </row>
    <row r="486" spans="1:5" ht="15" thickBot="1">
      <c r="A486" s="3" t="s">
        <v>488</v>
      </c>
      <c r="B486" s="3" t="s">
        <v>987</v>
      </c>
      <c r="C486" s="3" t="s">
        <v>1005</v>
      </c>
      <c r="D486" s="13">
        <v>74753</v>
      </c>
      <c r="E486" s="6" t="s">
        <v>1301</v>
      </c>
    </row>
    <row r="487" spans="1:5" ht="15" thickBot="1">
      <c r="A487" s="3" t="s">
        <v>489</v>
      </c>
      <c r="B487" s="3" t="s">
        <v>988</v>
      </c>
      <c r="C487" s="3" t="s">
        <v>1006</v>
      </c>
      <c r="D487" s="13">
        <v>34451</v>
      </c>
      <c r="E487" s="6" t="s">
        <v>1302</v>
      </c>
    </row>
    <row r="488" spans="1:5" ht="15" thickBot="1">
      <c r="A488" s="3" t="s">
        <v>490</v>
      </c>
      <c r="B488" s="3" t="s">
        <v>989</v>
      </c>
      <c r="C488" s="3" t="s">
        <v>1006</v>
      </c>
      <c r="D488" s="13">
        <v>85559</v>
      </c>
      <c r="E488" s="6">
        <v>44201</v>
      </c>
    </row>
    <row r="489" spans="1:5" ht="15" thickBot="1">
      <c r="A489" s="3" t="s">
        <v>491</v>
      </c>
      <c r="B489" s="3" t="s">
        <v>990</v>
      </c>
      <c r="C489" s="3" t="s">
        <v>1004</v>
      </c>
      <c r="D489" s="13">
        <v>91259</v>
      </c>
      <c r="E489" s="6">
        <v>44232</v>
      </c>
    </row>
    <row r="490" spans="1:5" ht="15" thickBot="1">
      <c r="A490" s="3" t="s">
        <v>492</v>
      </c>
      <c r="B490" s="3" t="s">
        <v>991</v>
      </c>
      <c r="C490" s="3" t="s">
        <v>1006</v>
      </c>
      <c r="D490" s="13">
        <v>49004</v>
      </c>
      <c r="E490" s="6">
        <v>44260</v>
      </c>
    </row>
    <row r="491" spans="1:5" ht="15" thickBot="1">
      <c r="A491" s="4" t="s">
        <v>493</v>
      </c>
      <c r="B491" s="4" t="s">
        <v>992</v>
      </c>
      <c r="C491" s="4" t="s">
        <v>1007</v>
      </c>
      <c r="D491" s="14">
        <v>62548</v>
      </c>
      <c r="E491" s="8">
        <v>44291</v>
      </c>
    </row>
    <row r="492" spans="1:5" ht="15" thickBot="1">
      <c r="A492" s="3" t="s">
        <v>494</v>
      </c>
      <c r="B492" s="3" t="s">
        <v>993</v>
      </c>
      <c r="C492" s="3" t="s">
        <v>1006</v>
      </c>
      <c r="D492" s="13">
        <v>33517</v>
      </c>
      <c r="E492" s="6">
        <v>44321</v>
      </c>
    </row>
    <row r="493" spans="1:5" ht="15" thickBot="1">
      <c r="A493" s="3" t="s">
        <v>495</v>
      </c>
      <c r="B493" s="3" t="s">
        <v>994</v>
      </c>
      <c r="C493" s="3" t="s">
        <v>1004</v>
      </c>
      <c r="D493" s="13">
        <v>40156</v>
      </c>
      <c r="E493" s="6">
        <v>44352</v>
      </c>
    </row>
    <row r="494" spans="1:5" ht="15" thickBot="1">
      <c r="A494" s="3" t="s">
        <v>496</v>
      </c>
      <c r="B494" s="3" t="s">
        <v>995</v>
      </c>
      <c r="C494" s="3" t="s">
        <v>1006</v>
      </c>
      <c r="D494" s="13">
        <v>74450</v>
      </c>
      <c r="E494" s="6">
        <v>44382</v>
      </c>
    </row>
    <row r="495" spans="1:5" ht="15" thickBot="1">
      <c r="A495" s="3" t="s">
        <v>497</v>
      </c>
      <c r="B495" s="3" t="s">
        <v>996</v>
      </c>
      <c r="C495" s="3" t="s">
        <v>1008</v>
      </c>
      <c r="D495" s="13">
        <v>80523</v>
      </c>
      <c r="E495" s="6">
        <v>44413</v>
      </c>
    </row>
    <row r="496" spans="1:5" ht="15" thickBot="1">
      <c r="A496" s="4" t="s">
        <v>498</v>
      </c>
      <c r="B496" s="4" t="s">
        <v>997</v>
      </c>
      <c r="C496" s="4" t="s">
        <v>1007</v>
      </c>
      <c r="D496" s="14">
        <v>60266</v>
      </c>
      <c r="E496" s="8">
        <v>44444</v>
      </c>
    </row>
    <row r="497" spans="1:5" ht="15" thickBot="1">
      <c r="A497" s="3" t="s">
        <v>499</v>
      </c>
      <c r="B497" s="3" t="s">
        <v>998</v>
      </c>
      <c r="C497" s="3" t="s">
        <v>1005</v>
      </c>
      <c r="D497" s="13">
        <v>43477</v>
      </c>
      <c r="E497" s="6">
        <v>44474</v>
      </c>
    </row>
    <row r="498" spans="1:5" ht="15" thickBot="1">
      <c r="A498" s="3" t="s">
        <v>500</v>
      </c>
      <c r="B498" s="3" t="s">
        <v>999</v>
      </c>
      <c r="C498" s="3" t="s">
        <v>1006</v>
      </c>
      <c r="D498" s="13">
        <v>92915</v>
      </c>
      <c r="E498" s="6">
        <v>44505</v>
      </c>
    </row>
    <row r="499" spans="1:5" ht="15" thickBot="1">
      <c r="A499" s="4" t="s">
        <v>501</v>
      </c>
      <c r="B499" s="4" t="s">
        <v>1000</v>
      </c>
      <c r="C499" s="4" t="s">
        <v>1007</v>
      </c>
      <c r="D499" s="14">
        <v>76666</v>
      </c>
      <c r="E499" s="8">
        <v>44535</v>
      </c>
    </row>
    <row r="500" spans="1:5" ht="15" thickBot="1">
      <c r="A500" s="3" t="s">
        <v>502</v>
      </c>
      <c r="B500" s="3" t="s">
        <v>1001</v>
      </c>
      <c r="C500" s="3" t="s">
        <v>1004</v>
      </c>
      <c r="D500" s="13">
        <v>67908</v>
      </c>
      <c r="E500" s="6" t="s">
        <v>1303</v>
      </c>
    </row>
    <row r="501" spans="1:5" ht="15" thickBot="1">
      <c r="A501" s="3" t="s">
        <v>503</v>
      </c>
      <c r="B501" s="3" t="s">
        <v>1002</v>
      </c>
      <c r="C501" s="3" t="s">
        <v>1005</v>
      </c>
      <c r="D501" s="13">
        <v>47209</v>
      </c>
      <c r="E501" s="6" t="s">
        <v>1304</v>
      </c>
    </row>
  </sheetData>
  <phoneticPr fontId="3" type="noConversion"/>
  <conditionalFormatting sqref="A2:E501">
    <cfRule type="expression" dxfId="2" priority="1">
      <formula>$C2="Sales"</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124A3-45DB-4BCC-8EA8-FB3E7438735F}">
  <sheetPr codeName="Sheet2"/>
  <dimension ref="A1:J10"/>
  <sheetViews>
    <sheetView workbookViewId="0">
      <selection activeCell="I13" sqref="I13"/>
    </sheetView>
  </sheetViews>
  <sheetFormatPr defaultRowHeight="14.5"/>
  <cols>
    <col min="1" max="1" width="12.54296875" customWidth="1"/>
    <col min="2" max="2" width="19.7265625" customWidth="1"/>
    <col min="3" max="4" width="15.36328125" style="17" customWidth="1"/>
    <col min="5" max="5" width="8.7265625" style="17" customWidth="1"/>
    <col min="6" max="6" width="8.54296875" customWidth="1"/>
    <col min="7" max="7" width="7.7265625" customWidth="1"/>
    <col min="8" max="8" width="18.54296875" customWidth="1"/>
    <col min="10" max="10" width="12.1796875" customWidth="1"/>
  </cols>
  <sheetData>
    <row r="1" spans="1:10" ht="15" thickBot="1">
      <c r="A1" s="27" t="s">
        <v>1314</v>
      </c>
      <c r="B1" s="28" t="s">
        <v>1315</v>
      </c>
      <c r="C1" s="28" t="s">
        <v>1316</v>
      </c>
      <c r="D1" s="28" t="s">
        <v>1338</v>
      </c>
      <c r="E1" s="28" t="s">
        <v>1337</v>
      </c>
      <c r="F1" s="29" t="s">
        <v>1317</v>
      </c>
      <c r="G1" s="29" t="s">
        <v>1318</v>
      </c>
      <c r="H1" s="29" t="s">
        <v>1319</v>
      </c>
      <c r="I1" s="29" t="s">
        <v>1320</v>
      </c>
      <c r="J1" s="29" t="s">
        <v>1321</v>
      </c>
    </row>
    <row r="2" spans="1:10" ht="15" thickBot="1">
      <c r="A2" s="19">
        <v>101</v>
      </c>
      <c r="B2" s="20" t="s">
        <v>1322</v>
      </c>
      <c r="C2" s="21" t="s">
        <v>1334</v>
      </c>
      <c r="D2" s="21" t="str">
        <f>TRIM(C2)</f>
        <v>Mobile</v>
      </c>
      <c r="E2" s="21">
        <f>LEN(D2)</f>
        <v>6</v>
      </c>
      <c r="F2" s="19">
        <v>10</v>
      </c>
      <c r="G2" s="20">
        <v>799</v>
      </c>
      <c r="H2" s="16">
        <v>50</v>
      </c>
      <c r="I2" s="16">
        <v>4.5</v>
      </c>
      <c r="J2" s="18" t="s">
        <v>1329</v>
      </c>
    </row>
    <row r="3" spans="1:10" ht="15" thickBot="1">
      <c r="A3" s="19">
        <v>102</v>
      </c>
      <c r="B3" s="20" t="s">
        <v>1323</v>
      </c>
      <c r="C3" s="22" t="s">
        <v>1334</v>
      </c>
      <c r="D3" s="21" t="str">
        <f t="shared" ref="D3:D10" si="0">TRIM(C3)</f>
        <v>Mobile</v>
      </c>
      <c r="E3" s="21">
        <f t="shared" ref="E3:E10" si="1">LEN(D3)</f>
        <v>6</v>
      </c>
      <c r="F3" s="19">
        <v>13</v>
      </c>
      <c r="G3" s="1">
        <v>999</v>
      </c>
      <c r="H3" s="16">
        <v>30</v>
      </c>
      <c r="I3" s="16">
        <v>4.7</v>
      </c>
      <c r="J3" s="18" t="s">
        <v>1330</v>
      </c>
    </row>
    <row r="4" spans="1:10" ht="15" thickBot="1">
      <c r="A4" s="19">
        <v>103</v>
      </c>
      <c r="B4" s="20" t="s">
        <v>1324</v>
      </c>
      <c r="C4" s="22" t="s">
        <v>1335</v>
      </c>
      <c r="D4" s="21" t="str">
        <f t="shared" si="0"/>
        <v>Headphones</v>
      </c>
      <c r="E4" s="21">
        <f t="shared" si="1"/>
        <v>10</v>
      </c>
      <c r="F4" s="19">
        <v>13</v>
      </c>
      <c r="G4" s="1">
        <v>399</v>
      </c>
      <c r="H4" s="16">
        <v>15</v>
      </c>
      <c r="I4" s="16">
        <v>4.5999999999999996</v>
      </c>
      <c r="J4" s="18" t="s">
        <v>1331</v>
      </c>
    </row>
    <row r="5" spans="1:10" ht="15" thickBot="1">
      <c r="A5" s="19">
        <v>104</v>
      </c>
      <c r="B5" s="20" t="s">
        <v>1325</v>
      </c>
      <c r="C5" s="22" t="s">
        <v>1336</v>
      </c>
      <c r="D5" s="21" t="str">
        <f t="shared" si="0"/>
        <v>Laptop</v>
      </c>
      <c r="E5" s="21">
        <f t="shared" si="1"/>
        <v>6</v>
      </c>
      <c r="F5" s="19">
        <v>12</v>
      </c>
      <c r="G5" s="1">
        <v>1249</v>
      </c>
      <c r="H5" s="16">
        <v>10</v>
      </c>
      <c r="I5" s="16">
        <v>4.8</v>
      </c>
      <c r="J5" s="18" t="s">
        <v>1332</v>
      </c>
    </row>
    <row r="6" spans="1:10" ht="15" thickBot="1">
      <c r="A6" s="19">
        <v>101</v>
      </c>
      <c r="B6" s="20" t="s">
        <v>1322</v>
      </c>
      <c r="C6" s="22" t="s">
        <v>1334</v>
      </c>
      <c r="D6" s="21" t="str">
        <f t="shared" si="0"/>
        <v>Mobile</v>
      </c>
      <c r="E6" s="21">
        <f t="shared" si="1"/>
        <v>6</v>
      </c>
      <c r="F6" s="19">
        <v>11</v>
      </c>
      <c r="G6" s="1">
        <v>799</v>
      </c>
      <c r="H6" s="16">
        <v>50</v>
      </c>
      <c r="I6" s="16">
        <v>4.5</v>
      </c>
      <c r="J6" s="18" t="s">
        <v>1329</v>
      </c>
    </row>
    <row r="7" spans="1:10" ht="15" thickBot="1">
      <c r="A7" s="19">
        <v>105</v>
      </c>
      <c r="B7" s="20" t="s">
        <v>1326</v>
      </c>
      <c r="C7" s="22" t="s">
        <v>1336</v>
      </c>
      <c r="D7" s="21" t="str">
        <f t="shared" si="0"/>
        <v>Laptop</v>
      </c>
      <c r="E7" s="21">
        <f t="shared" si="1"/>
        <v>6</v>
      </c>
      <c r="F7" s="19">
        <v>8</v>
      </c>
      <c r="G7" s="1">
        <v>1349</v>
      </c>
      <c r="H7" s="16">
        <v>8</v>
      </c>
      <c r="I7" s="16">
        <v>4.7</v>
      </c>
      <c r="J7" s="18" t="s">
        <v>1333</v>
      </c>
    </row>
    <row r="8" spans="1:10" ht="15" thickBot="1">
      <c r="A8" s="19">
        <v>106</v>
      </c>
      <c r="B8" s="20" t="s">
        <v>1327</v>
      </c>
      <c r="C8" s="22" t="s">
        <v>1335</v>
      </c>
      <c r="D8" s="21" t="str">
        <f t="shared" si="0"/>
        <v>Headphones</v>
      </c>
      <c r="E8" s="21">
        <f t="shared" si="1"/>
        <v>10</v>
      </c>
      <c r="F8" s="19">
        <v>12</v>
      </c>
      <c r="G8" s="1">
        <v>329</v>
      </c>
      <c r="H8" s="16">
        <v>25</v>
      </c>
      <c r="I8" s="16">
        <v>4.4000000000000004</v>
      </c>
      <c r="J8" s="18" t="s">
        <v>1331</v>
      </c>
    </row>
    <row r="9" spans="1:10" ht="15" thickBot="1">
      <c r="A9" s="19">
        <v>107</v>
      </c>
      <c r="B9" s="20" t="s">
        <v>1324</v>
      </c>
      <c r="C9" s="22" t="s">
        <v>1335</v>
      </c>
      <c r="D9" s="21" t="str">
        <f t="shared" si="0"/>
        <v>Headphones</v>
      </c>
      <c r="E9" s="21">
        <f t="shared" si="1"/>
        <v>10</v>
      </c>
      <c r="F9" s="19">
        <v>18</v>
      </c>
      <c r="G9" s="1">
        <v>399</v>
      </c>
      <c r="H9" s="16">
        <v>15</v>
      </c>
      <c r="I9" s="16">
        <v>4.5999999999999996</v>
      </c>
      <c r="J9" s="18" t="s">
        <v>1331</v>
      </c>
    </row>
    <row r="10" spans="1:10" ht="15" thickBot="1">
      <c r="A10" s="19">
        <v>108</v>
      </c>
      <c r="B10" s="20" t="s">
        <v>1328</v>
      </c>
      <c r="C10" s="22" t="s">
        <v>1336</v>
      </c>
      <c r="D10" s="21" t="str">
        <f t="shared" si="0"/>
        <v>Laptop</v>
      </c>
      <c r="E10" s="21">
        <f t="shared" si="1"/>
        <v>6</v>
      </c>
      <c r="F10" s="19">
        <v>8</v>
      </c>
      <c r="G10" s="1">
        <v>1299</v>
      </c>
      <c r="H10" s="16">
        <v>6</v>
      </c>
      <c r="I10" s="16">
        <v>4.8</v>
      </c>
      <c r="J10" s="18" t="s">
        <v>1332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B344A-8B0B-4DA5-A7DC-092D5A32B7DF}">
  <sheetPr codeName="Sheet3"/>
  <dimension ref="A1:F22"/>
  <sheetViews>
    <sheetView workbookViewId="0">
      <selection activeCell="B2" sqref="B2"/>
    </sheetView>
  </sheetViews>
  <sheetFormatPr defaultRowHeight="14.5"/>
  <cols>
    <col min="1" max="3" width="20.6328125" customWidth="1"/>
    <col min="4" max="4" width="18.6328125" customWidth="1"/>
    <col min="5" max="5" width="20.7265625" customWidth="1"/>
    <col min="6" max="6" width="23.6328125" customWidth="1"/>
  </cols>
  <sheetData>
    <row r="1" spans="1:6" ht="15" thickBot="1">
      <c r="A1" s="23" t="s">
        <v>1339</v>
      </c>
      <c r="B1" s="23" t="s">
        <v>1365</v>
      </c>
      <c r="C1" s="23" t="s">
        <v>1364</v>
      </c>
      <c r="D1" s="23" t="s">
        <v>1363</v>
      </c>
      <c r="E1" s="23" t="s">
        <v>1361</v>
      </c>
      <c r="F1" s="23" t="s">
        <v>1362</v>
      </c>
    </row>
    <row r="2" spans="1:6" ht="15" thickBot="1">
      <c r="A2" s="24" t="s">
        <v>1340</v>
      </c>
      <c r="B2" s="26" t="str">
        <f>SUBSTITUTE(A2,CHAR(160),"")</f>
        <v>WH1881NL01</v>
      </c>
      <c r="C2" s="26">
        <f>LEN(B2)</f>
        <v>10</v>
      </c>
      <c r="D2">
        <f>LEN(A2)</f>
        <v>19</v>
      </c>
      <c r="E2" t="str">
        <f>TRIM(A2)</f>
        <v>WH1881NL01         </v>
      </c>
      <c r="F2">
        <f>LEN(E2)</f>
        <v>19</v>
      </c>
    </row>
    <row r="3" spans="1:6" ht="15" thickBot="1">
      <c r="A3" s="25" t="s">
        <v>1341</v>
      </c>
      <c r="B3" s="26" t="str">
        <f t="shared" ref="B3:B22" si="0">SUBSTITUTE(A3,CHAR(160),"")</f>
        <v>WH10017QM01</v>
      </c>
      <c r="C3" s="26">
        <f t="shared" ref="C3:C22" si="1">LEN(B3)</f>
        <v>11</v>
      </c>
      <c r="D3">
        <f t="shared" ref="D3:D22" si="2">LEN(A3)</f>
        <v>19</v>
      </c>
      <c r="E3" t="str">
        <f t="shared" ref="E3:E22" si="3">TRIM(A3)</f>
        <v>WH10017QM01        </v>
      </c>
      <c r="F3">
        <f t="shared" ref="F3:F22" si="4">LEN(E3)</f>
        <v>19</v>
      </c>
    </row>
    <row r="4" spans="1:6" ht="15" thickBot="1">
      <c r="A4" s="25" t="s">
        <v>1342</v>
      </c>
      <c r="B4" s="26" t="str">
        <f t="shared" si="0"/>
        <v>WH10017SL01</v>
      </c>
      <c r="C4" s="26">
        <f t="shared" si="1"/>
        <v>11</v>
      </c>
      <c r="D4">
        <f t="shared" si="2"/>
        <v>19</v>
      </c>
      <c r="E4" t="str">
        <f t="shared" si="3"/>
        <v>WH10017SL01        </v>
      </c>
      <c r="F4">
        <f t="shared" si="4"/>
        <v>19</v>
      </c>
    </row>
    <row r="5" spans="1:6" ht="15" thickBot="1">
      <c r="A5" s="25" t="s">
        <v>1343</v>
      </c>
      <c r="B5" s="26" t="str">
        <f t="shared" si="0"/>
        <v>WH1043NM01</v>
      </c>
      <c r="C5" s="26">
        <f t="shared" si="1"/>
        <v>10</v>
      </c>
      <c r="D5">
        <f t="shared" si="2"/>
        <v>19</v>
      </c>
      <c r="E5" t="str">
        <f t="shared" si="3"/>
        <v>WH1043NM01         </v>
      </c>
      <c r="F5">
        <f t="shared" si="4"/>
        <v>19</v>
      </c>
    </row>
    <row r="6" spans="1:6" ht="15" thickBot="1">
      <c r="A6" s="25" t="s">
        <v>1344</v>
      </c>
      <c r="B6" s="26" t="str">
        <f t="shared" si="0"/>
        <v>WH1043YL05</v>
      </c>
      <c r="C6" s="26">
        <f t="shared" si="1"/>
        <v>10</v>
      </c>
      <c r="D6">
        <f t="shared" si="2"/>
        <v>19</v>
      </c>
      <c r="E6" t="str">
        <f t="shared" si="3"/>
        <v>WH1043YL05         </v>
      </c>
      <c r="F6">
        <f t="shared" si="4"/>
        <v>19</v>
      </c>
    </row>
    <row r="7" spans="1:6" ht="15" thickBot="1">
      <c r="A7" s="25" t="s">
        <v>1345</v>
      </c>
      <c r="B7" s="26" t="str">
        <f t="shared" si="0"/>
        <v>WH1043YM01</v>
      </c>
      <c r="C7" s="26">
        <f t="shared" si="1"/>
        <v>10</v>
      </c>
      <c r="D7">
        <f t="shared" si="2"/>
        <v>19</v>
      </c>
      <c r="E7" t="str">
        <f t="shared" si="3"/>
        <v>WH1043YM01         </v>
      </c>
      <c r="F7">
        <f t="shared" si="4"/>
        <v>19</v>
      </c>
    </row>
    <row r="8" spans="1:6" ht="15" thickBot="1">
      <c r="A8" s="25" t="s">
        <v>1346</v>
      </c>
      <c r="B8" s="26" t="str">
        <f t="shared" si="0"/>
        <v>WH1044YM07</v>
      </c>
      <c r="C8" s="26">
        <f t="shared" si="1"/>
        <v>10</v>
      </c>
      <c r="D8">
        <f t="shared" si="2"/>
        <v>19</v>
      </c>
      <c r="E8" t="str">
        <f t="shared" si="3"/>
        <v>WH1044YM07         </v>
      </c>
      <c r="F8">
        <f t="shared" si="4"/>
        <v>19</v>
      </c>
    </row>
    <row r="9" spans="1:6" ht="28.5" thickBot="1">
      <c r="A9" s="25" t="s">
        <v>1347</v>
      </c>
      <c r="B9" s="26" t="str">
        <f t="shared" si="0"/>
        <v>WH15952655WL01</v>
      </c>
      <c r="C9" s="26">
        <f t="shared" si="1"/>
        <v>14</v>
      </c>
      <c r="D9">
        <f t="shared" si="2"/>
        <v>19</v>
      </c>
      <c r="E9" t="str">
        <f t="shared" si="3"/>
        <v>WH15952655WL01     </v>
      </c>
      <c r="F9">
        <f t="shared" si="4"/>
        <v>19</v>
      </c>
    </row>
    <row r="10" spans="1:6" ht="15" thickBot="1">
      <c r="A10" s="25" t="s">
        <v>1348</v>
      </c>
      <c r="B10" s="26" t="str">
        <f t="shared" si="0"/>
        <v>WH1595NL01</v>
      </c>
      <c r="C10" s="26">
        <f t="shared" si="1"/>
        <v>10</v>
      </c>
      <c r="D10">
        <f t="shared" si="2"/>
        <v>19</v>
      </c>
      <c r="E10" t="str">
        <f t="shared" si="3"/>
        <v>WH1595NL01         </v>
      </c>
      <c r="F10">
        <f t="shared" si="4"/>
        <v>19</v>
      </c>
    </row>
    <row r="11" spans="1:6" ht="15" thickBot="1">
      <c r="A11" s="25" t="s">
        <v>1349</v>
      </c>
      <c r="B11" s="26" t="str">
        <f t="shared" si="0"/>
        <v>WH1595NM01</v>
      </c>
      <c r="C11" s="26">
        <f t="shared" si="1"/>
        <v>10</v>
      </c>
      <c r="D11">
        <f t="shared" si="2"/>
        <v>19</v>
      </c>
      <c r="E11" t="str">
        <f t="shared" si="3"/>
        <v>WH1595NM01         </v>
      </c>
      <c r="F11">
        <f t="shared" si="4"/>
        <v>19</v>
      </c>
    </row>
    <row r="12" spans="1:6" ht="15" thickBot="1">
      <c r="A12" s="25" t="s">
        <v>1350</v>
      </c>
      <c r="B12" s="26" t="str">
        <f t="shared" si="0"/>
        <v>WH1595SL03</v>
      </c>
      <c r="C12" s="26">
        <f t="shared" si="1"/>
        <v>10</v>
      </c>
      <c r="D12">
        <f t="shared" si="2"/>
        <v>19</v>
      </c>
      <c r="E12" t="str">
        <f t="shared" si="3"/>
        <v>WH1595SL03         </v>
      </c>
      <c r="F12">
        <f t="shared" si="4"/>
        <v>19</v>
      </c>
    </row>
    <row r="13" spans="1:6" ht="15" thickBot="1">
      <c r="A13" s="25" t="s">
        <v>1351</v>
      </c>
      <c r="B13" s="26" t="str">
        <f t="shared" si="0"/>
        <v>WH1595SL06</v>
      </c>
      <c r="C13" s="26">
        <f t="shared" si="1"/>
        <v>10</v>
      </c>
      <c r="D13">
        <f t="shared" si="2"/>
        <v>19</v>
      </c>
      <c r="E13" t="str">
        <f t="shared" si="3"/>
        <v>WH1595SL06         </v>
      </c>
      <c r="F13">
        <f t="shared" si="4"/>
        <v>19</v>
      </c>
    </row>
    <row r="14" spans="1:6" ht="15" thickBot="1">
      <c r="A14" s="25" t="s">
        <v>1352</v>
      </c>
      <c r="B14" s="26" t="str">
        <f t="shared" si="0"/>
        <v>WH1595SL505</v>
      </c>
      <c r="C14" s="26">
        <f t="shared" si="1"/>
        <v>11</v>
      </c>
      <c r="D14">
        <f t="shared" si="2"/>
        <v>19</v>
      </c>
      <c r="E14" t="str">
        <f t="shared" si="3"/>
        <v>WH1595SL505        </v>
      </c>
      <c r="F14">
        <f t="shared" si="4"/>
        <v>19</v>
      </c>
    </row>
    <row r="15" spans="1:6" ht="15" thickBot="1">
      <c r="A15" s="25" t="s">
        <v>1353</v>
      </c>
      <c r="B15" s="26" t="str">
        <f t="shared" si="0"/>
        <v>WH1595WL01</v>
      </c>
      <c r="C15" s="26">
        <f t="shared" si="1"/>
        <v>10</v>
      </c>
      <c r="D15">
        <f t="shared" si="2"/>
        <v>19</v>
      </c>
      <c r="E15" t="str">
        <f t="shared" si="3"/>
        <v>WH1595WL01         </v>
      </c>
      <c r="F15">
        <f t="shared" si="4"/>
        <v>19</v>
      </c>
    </row>
    <row r="16" spans="1:6" ht="15" thickBot="1">
      <c r="A16" s="25" t="s">
        <v>1354</v>
      </c>
      <c r="B16" s="26" t="str">
        <f t="shared" si="0"/>
        <v>WH1595WL09</v>
      </c>
      <c r="C16" s="26">
        <f t="shared" si="1"/>
        <v>10</v>
      </c>
      <c r="D16">
        <f t="shared" si="2"/>
        <v>19</v>
      </c>
      <c r="E16" t="str">
        <f t="shared" si="3"/>
        <v>WH1595WL09         </v>
      </c>
      <c r="F16">
        <f t="shared" si="4"/>
        <v>19</v>
      </c>
    </row>
    <row r="17" spans="1:6" ht="15" thickBot="1">
      <c r="A17" s="25" t="s">
        <v>1355</v>
      </c>
      <c r="B17" s="26" t="str">
        <f t="shared" si="0"/>
        <v>WH1595WM01</v>
      </c>
      <c r="C17" s="26">
        <f t="shared" si="1"/>
        <v>10</v>
      </c>
      <c r="D17">
        <f t="shared" si="2"/>
        <v>19</v>
      </c>
      <c r="E17" t="str">
        <f>TRIM(A17)</f>
        <v>WH1595WM01         </v>
      </c>
      <c r="F17">
        <f t="shared" si="4"/>
        <v>19</v>
      </c>
    </row>
    <row r="18" spans="1:6" ht="15" thickBot="1">
      <c r="A18" s="25" t="s">
        <v>1356</v>
      </c>
      <c r="B18" s="26" t="str">
        <f t="shared" si="0"/>
        <v>WH1596NL01</v>
      </c>
      <c r="C18" s="26">
        <f t="shared" si="1"/>
        <v>10</v>
      </c>
      <c r="D18">
        <f t="shared" si="2"/>
        <v>19</v>
      </c>
      <c r="E18" t="str">
        <f t="shared" si="3"/>
        <v>WH1596NL01         </v>
      </c>
      <c r="F18">
        <f t="shared" si="4"/>
        <v>19</v>
      </c>
    </row>
    <row r="19" spans="1:6" ht="15" thickBot="1">
      <c r="A19" s="25" t="s">
        <v>1357</v>
      </c>
      <c r="B19" s="26" t="str">
        <f t="shared" si="0"/>
        <v>WH1843NM01</v>
      </c>
      <c r="C19" s="26">
        <f t="shared" si="1"/>
        <v>10</v>
      </c>
      <c r="D19">
        <f t="shared" si="2"/>
        <v>19</v>
      </c>
      <c r="E19" t="str">
        <f t="shared" si="3"/>
        <v>WH1843NM01         </v>
      </c>
      <c r="F19">
        <f t="shared" si="4"/>
        <v>19</v>
      </c>
    </row>
    <row r="20" spans="1:6" ht="15" thickBot="1">
      <c r="A20" s="25" t="s">
        <v>1358</v>
      </c>
      <c r="B20" s="26" t="str">
        <f t="shared" si="0"/>
        <v>WH1843QM02</v>
      </c>
      <c r="C20" s="26">
        <f t="shared" si="1"/>
        <v>10</v>
      </c>
      <c r="D20">
        <f t="shared" si="2"/>
        <v>19</v>
      </c>
      <c r="E20" t="str">
        <f t="shared" si="3"/>
        <v>WH1843QM02         </v>
      </c>
      <c r="F20">
        <f t="shared" si="4"/>
        <v>19</v>
      </c>
    </row>
    <row r="21" spans="1:6" ht="15" thickBot="1">
      <c r="A21" s="25" t="s">
        <v>1359</v>
      </c>
      <c r="B21" s="26" t="str">
        <f t="shared" si="0"/>
        <v>WH1843WL01</v>
      </c>
      <c r="C21" s="26">
        <f t="shared" si="1"/>
        <v>10</v>
      </c>
      <c r="D21">
        <f t="shared" si="2"/>
        <v>19</v>
      </c>
      <c r="E21" t="str">
        <f t="shared" si="3"/>
        <v>WH1843WL01         </v>
      </c>
      <c r="F21">
        <f t="shared" si="4"/>
        <v>19</v>
      </c>
    </row>
    <row r="22" spans="1:6" ht="15" thickBot="1">
      <c r="A22" s="25" t="s">
        <v>1360</v>
      </c>
      <c r="B22" s="26" t="str">
        <f t="shared" si="0"/>
        <v>WH2654WM01</v>
      </c>
      <c r="C22" s="26">
        <f t="shared" si="1"/>
        <v>10</v>
      </c>
      <c r="D22">
        <f t="shared" si="2"/>
        <v>19</v>
      </c>
      <c r="E22" t="str">
        <f t="shared" si="3"/>
        <v>WH2654WM01         </v>
      </c>
      <c r="F22">
        <f t="shared" si="4"/>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A0666-BB86-4E72-B7ED-857F4092E465}">
  <sheetPr codeName="Sheet4"/>
  <dimension ref="A1:J501"/>
  <sheetViews>
    <sheetView workbookViewId="0">
      <selection activeCell="G2" sqref="G2"/>
    </sheetView>
  </sheetViews>
  <sheetFormatPr defaultRowHeight="14.5"/>
  <cols>
    <col min="1" max="1" width="13.36328125" customWidth="1"/>
    <col min="2" max="2" width="15.90625" customWidth="1"/>
    <col min="3" max="3" width="13" customWidth="1"/>
    <col min="4" max="4" width="10.81640625" customWidth="1"/>
    <col min="7" max="7" width="10.7265625" customWidth="1"/>
    <col min="8" max="8" width="73.453125" customWidth="1"/>
  </cols>
  <sheetData>
    <row r="1" spans="1:10" ht="15" thickBot="1">
      <c r="A1" s="33" t="s">
        <v>1366</v>
      </c>
      <c r="B1" s="33" t="s">
        <v>1367</v>
      </c>
      <c r="C1" s="33" t="s">
        <v>1316</v>
      </c>
      <c r="D1" s="33" t="s">
        <v>2388</v>
      </c>
      <c r="E1" s="33" t="s">
        <v>1318</v>
      </c>
      <c r="F1" s="33" t="s">
        <v>1368</v>
      </c>
      <c r="G1" s="33" t="s">
        <v>2389</v>
      </c>
      <c r="H1" s="33" t="s">
        <v>2377</v>
      </c>
    </row>
    <row r="2" spans="1:10" ht="15" thickBot="1">
      <c r="A2" s="30" t="s">
        <v>1369</v>
      </c>
      <c r="B2" s="30" t="s">
        <v>1869</v>
      </c>
      <c r="C2" s="30" t="s">
        <v>2369</v>
      </c>
      <c r="D2" s="30" t="str">
        <f>PROPER(C2)</f>
        <v>Electronics</v>
      </c>
      <c r="E2" s="31">
        <v>363.54</v>
      </c>
      <c r="F2" s="31">
        <v>-3</v>
      </c>
      <c r="G2" s="31">
        <f>IF(F2&lt;0,0,F2)</f>
        <v>0</v>
      </c>
      <c r="H2" s="30" t="s">
        <v>2378</v>
      </c>
    </row>
    <row r="3" spans="1:10" ht="15" thickBot="1">
      <c r="A3" s="30" t="s">
        <v>1370</v>
      </c>
      <c r="B3" s="30" t="s">
        <v>1870</v>
      </c>
      <c r="C3" s="30" t="s">
        <v>2370</v>
      </c>
      <c r="D3" s="30" t="str">
        <f t="shared" ref="D3:D66" si="0">PROPER(C3)</f>
        <v>Electronics</v>
      </c>
      <c r="E3" s="31">
        <v>906.15</v>
      </c>
      <c r="F3" s="31">
        <v>40</v>
      </c>
      <c r="G3" s="31">
        <f t="shared" ref="G3:G66" si="1">IF(F3&lt;0,0,F3)</f>
        <v>40</v>
      </c>
      <c r="H3" s="30" t="s">
        <v>2379</v>
      </c>
    </row>
    <row r="4" spans="1:10" ht="15" thickBot="1">
      <c r="A4" s="30" t="s">
        <v>1371</v>
      </c>
      <c r="B4" s="30" t="s">
        <v>1871</v>
      </c>
      <c r="C4" s="30" t="s">
        <v>2371</v>
      </c>
      <c r="D4" s="30" t="str">
        <f t="shared" si="0"/>
        <v>Food</v>
      </c>
      <c r="E4" s="31">
        <v>234.14</v>
      </c>
      <c r="F4" s="31">
        <v>26</v>
      </c>
      <c r="G4" s="31">
        <f t="shared" si="1"/>
        <v>26</v>
      </c>
      <c r="H4" s="30" t="s">
        <v>2380</v>
      </c>
    </row>
    <row r="5" spans="1:10" ht="15" thickBot="1">
      <c r="A5" s="30" t="s">
        <v>1372</v>
      </c>
      <c r="B5" s="30" t="s">
        <v>1872</v>
      </c>
      <c r="C5" s="30" t="s">
        <v>2372</v>
      </c>
      <c r="D5" s="30" t="str">
        <f t="shared" si="0"/>
        <v>Clothing</v>
      </c>
      <c r="E5" s="31">
        <v>903.5</v>
      </c>
      <c r="F5" s="31">
        <v>69</v>
      </c>
      <c r="G5" s="31">
        <f t="shared" si="1"/>
        <v>69</v>
      </c>
      <c r="H5" s="30" t="s">
        <v>2381</v>
      </c>
    </row>
    <row r="6" spans="1:10" ht="15" thickBot="1">
      <c r="A6" s="30" t="s">
        <v>1373</v>
      </c>
      <c r="B6" s="30" t="s">
        <v>1873</v>
      </c>
      <c r="C6" s="30" t="s">
        <v>2373</v>
      </c>
      <c r="D6" s="30" t="str">
        <f t="shared" si="0"/>
        <v>Furniture</v>
      </c>
      <c r="E6" s="31">
        <v>352.9</v>
      </c>
      <c r="F6" s="31">
        <v>87</v>
      </c>
      <c r="G6" s="31">
        <f t="shared" si="1"/>
        <v>87</v>
      </c>
      <c r="H6" s="30" t="s">
        <v>2382</v>
      </c>
      <c r="J6" s="17"/>
    </row>
    <row r="7" spans="1:10" ht="15" thickBot="1">
      <c r="A7" s="30" t="s">
        <v>1374</v>
      </c>
      <c r="B7" s="30" t="s">
        <v>1874</v>
      </c>
      <c r="C7" s="30" t="s">
        <v>2369</v>
      </c>
      <c r="D7" s="30" t="str">
        <f t="shared" si="0"/>
        <v>Electronics</v>
      </c>
      <c r="E7" s="31">
        <v>549.17999999999995</v>
      </c>
      <c r="F7" s="31">
        <v>31</v>
      </c>
      <c r="G7" s="31">
        <f t="shared" si="1"/>
        <v>31</v>
      </c>
      <c r="H7" s="30" t="s">
        <v>2383</v>
      </c>
    </row>
    <row r="8" spans="1:10" ht="15" thickBot="1">
      <c r="A8" s="30" t="s">
        <v>1375</v>
      </c>
      <c r="B8" s="30" t="s">
        <v>1875</v>
      </c>
      <c r="C8" s="30" t="s">
        <v>2371</v>
      </c>
      <c r="D8" s="30" t="str">
        <f t="shared" si="0"/>
        <v>Food</v>
      </c>
      <c r="E8" s="31">
        <v>222.56</v>
      </c>
      <c r="F8" s="31">
        <v>59</v>
      </c>
      <c r="G8" s="31">
        <f t="shared" si="1"/>
        <v>59</v>
      </c>
      <c r="H8" s="30" t="s">
        <v>2384</v>
      </c>
    </row>
    <row r="9" spans="1:10" ht="15" thickBot="1">
      <c r="A9" s="30" t="s">
        <v>1376</v>
      </c>
      <c r="B9" s="30" t="s">
        <v>1876</v>
      </c>
      <c r="C9" s="30" t="s">
        <v>2370</v>
      </c>
      <c r="D9" s="30" t="str">
        <f t="shared" si="0"/>
        <v>Electronics</v>
      </c>
      <c r="E9" s="31">
        <v>969.7</v>
      </c>
      <c r="F9" s="31">
        <v>78</v>
      </c>
      <c r="G9" s="31">
        <f t="shared" si="1"/>
        <v>78</v>
      </c>
      <c r="H9" s="32" t="s">
        <v>2385</v>
      </c>
    </row>
    <row r="10" spans="1:10" ht="15" thickBot="1">
      <c r="A10" s="30" t="s">
        <v>1377</v>
      </c>
      <c r="B10" s="30" t="s">
        <v>1877</v>
      </c>
      <c r="C10" s="30" t="s">
        <v>2374</v>
      </c>
      <c r="D10" s="30" t="str">
        <f t="shared" si="0"/>
        <v>Stationery</v>
      </c>
      <c r="E10" s="31">
        <v>321.88</v>
      </c>
      <c r="F10" s="31">
        <v>92</v>
      </c>
      <c r="G10" s="31">
        <f t="shared" si="1"/>
        <v>92</v>
      </c>
      <c r="H10" s="30" t="s">
        <v>2386</v>
      </c>
    </row>
    <row r="11" spans="1:10" ht="15" thickBot="1">
      <c r="A11" s="30" t="s">
        <v>1378</v>
      </c>
      <c r="B11" s="30" t="s">
        <v>1878</v>
      </c>
      <c r="C11" s="30" t="s">
        <v>2371</v>
      </c>
      <c r="D11" s="30" t="str">
        <f t="shared" si="0"/>
        <v>Food</v>
      </c>
      <c r="E11" s="31">
        <v>230.28</v>
      </c>
      <c r="F11" s="31">
        <v>-5</v>
      </c>
      <c r="G11" s="31">
        <f t="shared" si="1"/>
        <v>0</v>
      </c>
      <c r="H11" s="30" t="s">
        <v>2387</v>
      </c>
    </row>
    <row r="12" spans="1:10" ht="15" thickBot="1">
      <c r="A12" s="30" t="s">
        <v>1379</v>
      </c>
      <c r="B12" s="30" t="s">
        <v>1879</v>
      </c>
      <c r="C12" s="30" t="s">
        <v>2371</v>
      </c>
      <c r="D12" s="30" t="str">
        <f t="shared" si="0"/>
        <v>Food</v>
      </c>
      <c r="E12" s="31">
        <v>763.66</v>
      </c>
      <c r="F12" s="31">
        <v>22</v>
      </c>
      <c r="G12" s="31">
        <f t="shared" si="1"/>
        <v>22</v>
      </c>
      <c r="H12" s="30" t="s">
        <v>2378</v>
      </c>
    </row>
    <row r="13" spans="1:10" ht="15" thickBot="1">
      <c r="A13" s="30" t="s">
        <v>1380</v>
      </c>
      <c r="B13" s="30" t="s">
        <v>1880</v>
      </c>
      <c r="C13" s="30" t="s">
        <v>2370</v>
      </c>
      <c r="D13" s="30" t="str">
        <f t="shared" si="0"/>
        <v>Electronics</v>
      </c>
      <c r="E13" s="31">
        <v>368.76</v>
      </c>
      <c r="F13" s="31">
        <v>45</v>
      </c>
      <c r="G13" s="31">
        <f t="shared" si="1"/>
        <v>45</v>
      </c>
      <c r="H13" s="30" t="s">
        <v>2379</v>
      </c>
    </row>
    <row r="14" spans="1:10" ht="15" thickBot="1">
      <c r="A14" s="30" t="s">
        <v>1381</v>
      </c>
      <c r="B14" s="30" t="s">
        <v>1881</v>
      </c>
      <c r="C14" s="30" t="s">
        <v>2375</v>
      </c>
      <c r="D14" s="30" t="str">
        <f t="shared" si="0"/>
        <v>Stationery</v>
      </c>
      <c r="E14" s="31">
        <v>669.92</v>
      </c>
      <c r="F14" s="31">
        <v>87</v>
      </c>
      <c r="G14" s="31">
        <f t="shared" si="1"/>
        <v>87</v>
      </c>
      <c r="H14" s="30" t="s">
        <v>2380</v>
      </c>
    </row>
    <row r="15" spans="1:10" ht="15" thickBot="1">
      <c r="A15" s="30" t="s">
        <v>1382</v>
      </c>
      <c r="B15" s="30" t="s">
        <v>1882</v>
      </c>
      <c r="C15" s="30" t="s">
        <v>2371</v>
      </c>
      <c r="D15" s="30" t="str">
        <f t="shared" si="0"/>
        <v>Food</v>
      </c>
      <c r="E15" s="31">
        <v>914.74</v>
      </c>
      <c r="F15" s="31">
        <v>-1</v>
      </c>
      <c r="G15" s="31">
        <f t="shared" si="1"/>
        <v>0</v>
      </c>
      <c r="H15" s="30" t="s">
        <v>2381</v>
      </c>
    </row>
    <row r="16" spans="1:10" ht="15" thickBot="1">
      <c r="A16" s="30" t="s">
        <v>1383</v>
      </c>
      <c r="B16" s="30" t="s">
        <v>1883</v>
      </c>
      <c r="C16" s="30" t="s">
        <v>2374</v>
      </c>
      <c r="D16" s="30" t="str">
        <f t="shared" si="0"/>
        <v>Stationery</v>
      </c>
      <c r="E16" s="31">
        <v>137.79</v>
      </c>
      <c r="F16" s="31">
        <v>78</v>
      </c>
      <c r="G16" s="31">
        <f t="shared" si="1"/>
        <v>78</v>
      </c>
      <c r="H16" s="30" t="s">
        <v>2382</v>
      </c>
    </row>
    <row r="17" spans="1:8" ht="15" thickBot="1">
      <c r="A17" s="30" t="s">
        <v>1384</v>
      </c>
      <c r="B17" s="30" t="s">
        <v>1884</v>
      </c>
      <c r="C17" s="30" t="s">
        <v>2373</v>
      </c>
      <c r="D17" s="30" t="str">
        <f t="shared" si="0"/>
        <v>Furniture</v>
      </c>
      <c r="E17" s="31">
        <v>840.84</v>
      </c>
      <c r="F17" s="31">
        <v>39</v>
      </c>
      <c r="G17" s="31">
        <f t="shared" si="1"/>
        <v>39</v>
      </c>
      <c r="H17" s="30" t="s">
        <v>2383</v>
      </c>
    </row>
    <row r="18" spans="1:8" ht="15" thickBot="1">
      <c r="A18" s="30" t="s">
        <v>1385</v>
      </c>
      <c r="B18" s="30" t="s">
        <v>1885</v>
      </c>
      <c r="C18" s="30" t="s">
        <v>2375</v>
      </c>
      <c r="D18" s="30" t="str">
        <f t="shared" si="0"/>
        <v>Stationery</v>
      </c>
      <c r="E18" s="31">
        <v>784.71</v>
      </c>
      <c r="F18" s="31">
        <v>96</v>
      </c>
      <c r="G18" s="31">
        <f t="shared" si="1"/>
        <v>96</v>
      </c>
      <c r="H18" s="30" t="s">
        <v>2384</v>
      </c>
    </row>
    <row r="19" spans="1:8" ht="15" thickBot="1">
      <c r="A19" s="30" t="s">
        <v>1386</v>
      </c>
      <c r="B19" s="30" t="s">
        <v>1886</v>
      </c>
      <c r="C19" s="30" t="s">
        <v>2370</v>
      </c>
      <c r="D19" s="30" t="str">
        <f t="shared" si="0"/>
        <v>Electronics</v>
      </c>
      <c r="E19" s="31">
        <v>588.75</v>
      </c>
      <c r="F19" s="31">
        <v>51</v>
      </c>
      <c r="G19" s="31">
        <f t="shared" si="1"/>
        <v>51</v>
      </c>
      <c r="H19" s="32" t="s">
        <v>2385</v>
      </c>
    </row>
    <row r="20" spans="1:8" ht="15" thickBot="1">
      <c r="A20" s="30" t="s">
        <v>1387</v>
      </c>
      <c r="B20" s="30" t="s">
        <v>1887</v>
      </c>
      <c r="C20" s="30" t="s">
        <v>2370</v>
      </c>
      <c r="D20" s="30" t="str">
        <f t="shared" si="0"/>
        <v>Electronics</v>
      </c>
      <c r="E20" s="31">
        <v>227.05</v>
      </c>
      <c r="F20" s="31">
        <v>8</v>
      </c>
      <c r="G20" s="31">
        <f t="shared" si="1"/>
        <v>8</v>
      </c>
      <c r="H20" s="30" t="s">
        <v>2386</v>
      </c>
    </row>
    <row r="21" spans="1:8" ht="15" thickBot="1">
      <c r="A21" s="30" t="s">
        <v>1388</v>
      </c>
      <c r="B21" s="30" t="s">
        <v>1888</v>
      </c>
      <c r="C21" s="30" t="s">
        <v>2375</v>
      </c>
      <c r="D21" s="30" t="str">
        <f t="shared" si="0"/>
        <v>Stationery</v>
      </c>
      <c r="E21" s="31">
        <v>944.43</v>
      </c>
      <c r="F21" s="31">
        <v>97</v>
      </c>
      <c r="G21" s="31">
        <f t="shared" si="1"/>
        <v>97</v>
      </c>
      <c r="H21" s="30" t="s">
        <v>2387</v>
      </c>
    </row>
    <row r="22" spans="1:8" ht="15" thickBot="1">
      <c r="A22" s="30" t="s">
        <v>1389</v>
      </c>
      <c r="B22" s="30" t="s">
        <v>1889</v>
      </c>
      <c r="C22" s="30" t="s">
        <v>2373</v>
      </c>
      <c r="D22" s="30" t="str">
        <f t="shared" si="0"/>
        <v>Furniture</v>
      </c>
      <c r="E22" s="31">
        <v>763.27</v>
      </c>
      <c r="F22" s="31">
        <v>85</v>
      </c>
      <c r="G22" s="31">
        <f t="shared" si="1"/>
        <v>85</v>
      </c>
      <c r="H22" s="30" t="s">
        <v>2378</v>
      </c>
    </row>
    <row r="23" spans="1:8" ht="15" thickBot="1">
      <c r="A23" s="30" t="s">
        <v>1390</v>
      </c>
      <c r="B23" s="30" t="s">
        <v>1890</v>
      </c>
      <c r="C23" s="30" t="s">
        <v>2372</v>
      </c>
      <c r="D23" s="30" t="str">
        <f t="shared" si="0"/>
        <v>Clothing</v>
      </c>
      <c r="E23" s="31">
        <v>262.69</v>
      </c>
      <c r="F23" s="31">
        <v>38</v>
      </c>
      <c r="G23" s="31">
        <f t="shared" si="1"/>
        <v>38</v>
      </c>
      <c r="H23" s="30" t="s">
        <v>2379</v>
      </c>
    </row>
    <row r="24" spans="1:8" ht="15" thickBot="1">
      <c r="A24" s="30" t="s">
        <v>1391</v>
      </c>
      <c r="B24" s="30" t="s">
        <v>1891</v>
      </c>
      <c r="C24" s="30" t="s">
        <v>2370</v>
      </c>
      <c r="D24" s="30" t="str">
        <f t="shared" si="0"/>
        <v>Electronics</v>
      </c>
      <c r="E24" s="31">
        <v>705.49</v>
      </c>
      <c r="F24" s="31">
        <v>40</v>
      </c>
      <c r="G24" s="31">
        <f t="shared" si="1"/>
        <v>40</v>
      </c>
      <c r="H24" s="30" t="s">
        <v>2380</v>
      </c>
    </row>
    <row r="25" spans="1:8" ht="15" thickBot="1">
      <c r="A25" s="30" t="s">
        <v>1392</v>
      </c>
      <c r="B25" s="30" t="s">
        <v>1892</v>
      </c>
      <c r="C25" s="30" t="s">
        <v>2374</v>
      </c>
      <c r="D25" s="30" t="str">
        <f t="shared" si="0"/>
        <v>Stationery</v>
      </c>
      <c r="E25" s="31">
        <v>531.58000000000004</v>
      </c>
      <c r="F25" s="31">
        <v>42</v>
      </c>
      <c r="G25" s="31">
        <f t="shared" si="1"/>
        <v>42</v>
      </c>
      <c r="H25" s="30" t="s">
        <v>2381</v>
      </c>
    </row>
    <row r="26" spans="1:8" ht="15" thickBot="1">
      <c r="A26" s="30" t="s">
        <v>1393</v>
      </c>
      <c r="B26" s="30" t="s">
        <v>1893</v>
      </c>
      <c r="C26" s="30" t="s">
        <v>2372</v>
      </c>
      <c r="D26" s="30" t="str">
        <f t="shared" si="0"/>
        <v>Clothing</v>
      </c>
      <c r="E26" s="31">
        <v>187.08</v>
      </c>
      <c r="F26" s="31">
        <v>34</v>
      </c>
      <c r="G26" s="31">
        <f t="shared" si="1"/>
        <v>34</v>
      </c>
      <c r="H26" s="30" t="s">
        <v>2382</v>
      </c>
    </row>
    <row r="27" spans="1:8" ht="15" thickBot="1">
      <c r="A27" s="30" t="s">
        <v>1394</v>
      </c>
      <c r="B27" s="30" t="s">
        <v>1894</v>
      </c>
      <c r="C27" s="30" t="s">
        <v>2374</v>
      </c>
      <c r="D27" s="30" t="str">
        <f t="shared" si="0"/>
        <v>Stationery</v>
      </c>
      <c r="E27" s="31">
        <v>843.67</v>
      </c>
      <c r="F27" s="31">
        <v>46</v>
      </c>
      <c r="G27" s="31">
        <f t="shared" si="1"/>
        <v>46</v>
      </c>
      <c r="H27" s="30" t="s">
        <v>2383</v>
      </c>
    </row>
    <row r="28" spans="1:8" ht="15" thickBot="1">
      <c r="A28" s="30" t="s">
        <v>1395</v>
      </c>
      <c r="B28" s="30" t="s">
        <v>1895</v>
      </c>
      <c r="C28" s="30" t="s">
        <v>2374</v>
      </c>
      <c r="D28" s="30" t="str">
        <f t="shared" si="0"/>
        <v>Stationery</v>
      </c>
      <c r="E28" s="31">
        <v>434</v>
      </c>
      <c r="F28" s="31">
        <v>74</v>
      </c>
      <c r="G28" s="31">
        <f t="shared" si="1"/>
        <v>74</v>
      </c>
      <c r="H28" s="30" t="s">
        <v>2384</v>
      </c>
    </row>
    <row r="29" spans="1:8" ht="15" thickBot="1">
      <c r="A29" s="30" t="s">
        <v>1396</v>
      </c>
      <c r="B29" s="30" t="s">
        <v>1896</v>
      </c>
      <c r="C29" s="30" t="s">
        <v>2376</v>
      </c>
      <c r="D29" s="30" t="str">
        <f t="shared" si="0"/>
        <v>Food</v>
      </c>
      <c r="E29" s="31">
        <v>566.44000000000005</v>
      </c>
      <c r="F29" s="31">
        <v>11</v>
      </c>
      <c r="G29" s="31">
        <f t="shared" si="1"/>
        <v>11</v>
      </c>
      <c r="H29" s="32" t="s">
        <v>2385</v>
      </c>
    </row>
    <row r="30" spans="1:8" ht="15" thickBot="1">
      <c r="A30" s="30" t="s">
        <v>1397</v>
      </c>
      <c r="B30" s="30" t="s">
        <v>1897</v>
      </c>
      <c r="C30" s="30" t="s">
        <v>2376</v>
      </c>
      <c r="D30" s="30" t="str">
        <f t="shared" si="0"/>
        <v>Food</v>
      </c>
      <c r="E30" s="31">
        <v>448.08</v>
      </c>
      <c r="F30" s="31">
        <v>77</v>
      </c>
      <c r="G30" s="31">
        <f t="shared" si="1"/>
        <v>77</v>
      </c>
      <c r="H30" s="30" t="s">
        <v>2386</v>
      </c>
    </row>
    <row r="31" spans="1:8" ht="15" thickBot="1">
      <c r="A31" s="30" t="s">
        <v>1398</v>
      </c>
      <c r="B31" s="30" t="s">
        <v>1898</v>
      </c>
      <c r="C31" s="30" t="s">
        <v>2376</v>
      </c>
      <c r="D31" s="30" t="str">
        <f t="shared" si="0"/>
        <v>Food</v>
      </c>
      <c r="E31" s="31">
        <v>142.6</v>
      </c>
      <c r="F31" s="31">
        <v>64</v>
      </c>
      <c r="G31" s="31">
        <f t="shared" si="1"/>
        <v>64</v>
      </c>
      <c r="H31" s="30" t="s">
        <v>2387</v>
      </c>
    </row>
    <row r="32" spans="1:8" ht="15" thickBot="1">
      <c r="A32" s="30" t="s">
        <v>1399</v>
      </c>
      <c r="B32" s="30" t="s">
        <v>1899</v>
      </c>
      <c r="C32" s="30" t="s">
        <v>2370</v>
      </c>
      <c r="D32" s="30" t="str">
        <f t="shared" si="0"/>
        <v>Electronics</v>
      </c>
      <c r="E32" s="31">
        <v>430.97</v>
      </c>
      <c r="F32" s="31">
        <v>0</v>
      </c>
      <c r="G32" s="31">
        <f t="shared" si="1"/>
        <v>0</v>
      </c>
      <c r="H32" s="30" t="s">
        <v>2378</v>
      </c>
    </row>
    <row r="33" spans="1:8" ht="15" thickBot="1">
      <c r="A33" s="30" t="s">
        <v>1400</v>
      </c>
      <c r="B33" s="30" t="s">
        <v>1900</v>
      </c>
      <c r="C33" s="30" t="s">
        <v>2370</v>
      </c>
      <c r="D33" s="30" t="str">
        <f t="shared" si="0"/>
        <v>Electronics</v>
      </c>
      <c r="E33" s="31">
        <v>508.75</v>
      </c>
      <c r="F33" s="31">
        <v>40</v>
      </c>
      <c r="G33" s="31">
        <f t="shared" si="1"/>
        <v>40</v>
      </c>
      <c r="H33" s="30" t="s">
        <v>2379</v>
      </c>
    </row>
    <row r="34" spans="1:8" ht="15" thickBot="1">
      <c r="A34" s="30" t="s">
        <v>1401</v>
      </c>
      <c r="B34" s="30" t="s">
        <v>1901</v>
      </c>
      <c r="C34" s="30" t="s">
        <v>2372</v>
      </c>
      <c r="D34" s="30" t="str">
        <f t="shared" si="0"/>
        <v>Clothing</v>
      </c>
      <c r="E34" s="31">
        <v>421.87</v>
      </c>
      <c r="F34" s="31">
        <v>64</v>
      </c>
      <c r="G34" s="31">
        <f t="shared" si="1"/>
        <v>64</v>
      </c>
      <c r="H34" s="30" t="s">
        <v>2380</v>
      </c>
    </row>
    <row r="35" spans="1:8" ht="15" thickBot="1">
      <c r="A35" s="30" t="s">
        <v>1402</v>
      </c>
      <c r="B35" s="30" t="s">
        <v>1902</v>
      </c>
      <c r="C35" s="30" t="s">
        <v>2373</v>
      </c>
      <c r="D35" s="30" t="str">
        <f t="shared" si="0"/>
        <v>Furniture</v>
      </c>
      <c r="E35" s="31">
        <v>736</v>
      </c>
      <c r="F35" s="31">
        <v>74</v>
      </c>
      <c r="G35" s="31">
        <f t="shared" si="1"/>
        <v>74</v>
      </c>
      <c r="H35" s="30" t="s">
        <v>2381</v>
      </c>
    </row>
    <row r="36" spans="1:8" ht="15" thickBot="1">
      <c r="A36" s="30" t="s">
        <v>1403</v>
      </c>
      <c r="B36" s="30" t="s">
        <v>1903</v>
      </c>
      <c r="C36" s="30" t="s">
        <v>2373</v>
      </c>
      <c r="D36" s="30" t="str">
        <f t="shared" si="0"/>
        <v>Furniture</v>
      </c>
      <c r="E36" s="31">
        <v>269.37</v>
      </c>
      <c r="F36" s="31">
        <v>8</v>
      </c>
      <c r="G36" s="31">
        <f t="shared" si="1"/>
        <v>8</v>
      </c>
      <c r="H36" s="30" t="s">
        <v>2382</v>
      </c>
    </row>
    <row r="37" spans="1:8" ht="15" thickBot="1">
      <c r="A37" s="30" t="s">
        <v>1404</v>
      </c>
      <c r="B37" s="30" t="s">
        <v>1904</v>
      </c>
      <c r="C37" s="30" t="s">
        <v>2374</v>
      </c>
      <c r="D37" s="30" t="str">
        <f t="shared" si="0"/>
        <v>Stationery</v>
      </c>
      <c r="E37" s="31">
        <v>79.55</v>
      </c>
      <c r="F37" s="31">
        <v>18</v>
      </c>
      <c r="G37" s="31">
        <f t="shared" si="1"/>
        <v>18</v>
      </c>
      <c r="H37" s="30" t="s">
        <v>2383</v>
      </c>
    </row>
    <row r="38" spans="1:8" ht="15" thickBot="1">
      <c r="A38" s="30" t="s">
        <v>1405</v>
      </c>
      <c r="B38" s="30" t="s">
        <v>1905</v>
      </c>
      <c r="C38" s="30" t="s">
        <v>2370</v>
      </c>
      <c r="D38" s="30" t="str">
        <f t="shared" si="0"/>
        <v>Electronics</v>
      </c>
      <c r="E38" s="31">
        <v>319.07</v>
      </c>
      <c r="F38" s="31">
        <v>19</v>
      </c>
      <c r="G38" s="31">
        <f t="shared" si="1"/>
        <v>19</v>
      </c>
      <c r="H38" s="30" t="s">
        <v>2384</v>
      </c>
    </row>
    <row r="39" spans="1:8" ht="15" thickBot="1">
      <c r="A39" s="30" t="s">
        <v>1406</v>
      </c>
      <c r="B39" s="30" t="s">
        <v>1906</v>
      </c>
      <c r="C39" s="30" t="s">
        <v>2374</v>
      </c>
      <c r="D39" s="30" t="str">
        <f t="shared" si="0"/>
        <v>Stationery</v>
      </c>
      <c r="E39" s="31">
        <v>720.06</v>
      </c>
      <c r="F39" s="31">
        <v>95</v>
      </c>
      <c r="G39" s="31">
        <f t="shared" si="1"/>
        <v>95</v>
      </c>
      <c r="H39" s="32" t="s">
        <v>2385</v>
      </c>
    </row>
    <row r="40" spans="1:8" ht="15" thickBot="1">
      <c r="A40" s="30" t="s">
        <v>1407</v>
      </c>
      <c r="B40" s="30" t="s">
        <v>1907</v>
      </c>
      <c r="C40" s="30" t="s">
        <v>2373</v>
      </c>
      <c r="D40" s="30" t="str">
        <f t="shared" si="0"/>
        <v>Furniture</v>
      </c>
      <c r="E40" s="31">
        <v>760.24</v>
      </c>
      <c r="F40" s="31">
        <v>48</v>
      </c>
      <c r="G40" s="31">
        <f t="shared" si="1"/>
        <v>48</v>
      </c>
      <c r="H40" s="30" t="s">
        <v>2386</v>
      </c>
    </row>
    <row r="41" spans="1:8" ht="15" thickBot="1">
      <c r="A41" s="30" t="s">
        <v>1408</v>
      </c>
      <c r="B41" s="30" t="s">
        <v>1908</v>
      </c>
      <c r="C41" s="30" t="s">
        <v>2376</v>
      </c>
      <c r="D41" s="30" t="str">
        <f t="shared" si="0"/>
        <v>Food</v>
      </c>
      <c r="E41" s="31">
        <v>768.09</v>
      </c>
      <c r="F41" s="31">
        <v>-4</v>
      </c>
      <c r="G41" s="31">
        <f t="shared" si="1"/>
        <v>0</v>
      </c>
      <c r="H41" s="30" t="s">
        <v>2387</v>
      </c>
    </row>
    <row r="42" spans="1:8" ht="15" thickBot="1">
      <c r="A42" s="30" t="s">
        <v>1409</v>
      </c>
      <c r="B42" s="30" t="s">
        <v>1909</v>
      </c>
      <c r="C42" s="30" t="s">
        <v>2370</v>
      </c>
      <c r="D42" s="30" t="str">
        <f t="shared" si="0"/>
        <v>Electronics</v>
      </c>
      <c r="E42" s="31">
        <v>108.44</v>
      </c>
      <c r="F42" s="31">
        <v>-10</v>
      </c>
      <c r="G42" s="31">
        <f t="shared" si="1"/>
        <v>0</v>
      </c>
      <c r="H42" s="30" t="s">
        <v>2378</v>
      </c>
    </row>
    <row r="43" spans="1:8" ht="15" thickBot="1">
      <c r="A43" s="30" t="s">
        <v>1410</v>
      </c>
      <c r="B43" s="30" t="s">
        <v>1910</v>
      </c>
      <c r="C43" s="30" t="s">
        <v>2374</v>
      </c>
      <c r="D43" s="30" t="str">
        <f t="shared" si="0"/>
        <v>Stationery</v>
      </c>
      <c r="E43" s="31">
        <v>779.74</v>
      </c>
      <c r="F43" s="31">
        <v>53</v>
      </c>
      <c r="G43" s="31">
        <f t="shared" si="1"/>
        <v>53</v>
      </c>
      <c r="H43" s="30" t="s">
        <v>2379</v>
      </c>
    </row>
    <row r="44" spans="1:8" ht="15" thickBot="1">
      <c r="A44" s="30" t="s">
        <v>1411</v>
      </c>
      <c r="B44" s="30" t="s">
        <v>1911</v>
      </c>
      <c r="C44" s="30" t="s">
        <v>2373</v>
      </c>
      <c r="D44" s="30" t="str">
        <f t="shared" si="0"/>
        <v>Furniture</v>
      </c>
      <c r="E44" s="31">
        <v>636.39</v>
      </c>
      <c r="F44" s="31">
        <v>46</v>
      </c>
      <c r="G44" s="31">
        <f t="shared" si="1"/>
        <v>46</v>
      </c>
      <c r="H44" s="30" t="s">
        <v>2380</v>
      </c>
    </row>
    <row r="45" spans="1:8" ht="15" thickBot="1">
      <c r="A45" s="30" t="s">
        <v>1412</v>
      </c>
      <c r="B45" s="30" t="s">
        <v>1912</v>
      </c>
      <c r="C45" s="30" t="s">
        <v>2373</v>
      </c>
      <c r="D45" s="30" t="str">
        <f t="shared" si="0"/>
        <v>Furniture</v>
      </c>
      <c r="E45" s="31">
        <v>191.12</v>
      </c>
      <c r="F45" s="31">
        <v>40</v>
      </c>
      <c r="G45" s="31">
        <f t="shared" si="1"/>
        <v>40</v>
      </c>
      <c r="H45" s="30" t="s">
        <v>2381</v>
      </c>
    </row>
    <row r="46" spans="1:8" ht="15" thickBot="1">
      <c r="A46" s="30" t="s">
        <v>1413</v>
      </c>
      <c r="B46" s="30" t="s">
        <v>1913</v>
      </c>
      <c r="C46" s="30" t="s">
        <v>2372</v>
      </c>
      <c r="D46" s="30" t="str">
        <f t="shared" si="0"/>
        <v>Clothing</v>
      </c>
      <c r="E46" s="31">
        <v>990.39</v>
      </c>
      <c r="F46" s="31">
        <v>49</v>
      </c>
      <c r="G46" s="31">
        <f t="shared" si="1"/>
        <v>49</v>
      </c>
      <c r="H46" s="30" t="s">
        <v>2382</v>
      </c>
    </row>
    <row r="47" spans="1:8" ht="15" thickBot="1">
      <c r="A47" s="30" t="s">
        <v>1414</v>
      </c>
      <c r="B47" s="30" t="s">
        <v>1914</v>
      </c>
      <c r="C47" s="30" t="s">
        <v>2373</v>
      </c>
      <c r="D47" s="30" t="str">
        <f t="shared" si="0"/>
        <v>Furniture</v>
      </c>
      <c r="E47" s="31">
        <v>797.12</v>
      </c>
      <c r="F47" s="31">
        <v>63</v>
      </c>
      <c r="G47" s="31">
        <f t="shared" si="1"/>
        <v>63</v>
      </c>
      <c r="H47" s="30" t="s">
        <v>2383</v>
      </c>
    </row>
    <row r="48" spans="1:8" ht="15" thickBot="1">
      <c r="A48" s="30" t="s">
        <v>1415</v>
      </c>
      <c r="B48" s="30" t="s">
        <v>1915</v>
      </c>
      <c r="C48" s="30" t="s">
        <v>2376</v>
      </c>
      <c r="D48" s="30" t="str">
        <f t="shared" si="0"/>
        <v>Food</v>
      </c>
      <c r="E48" s="31">
        <v>635.09</v>
      </c>
      <c r="F48" s="31">
        <v>73</v>
      </c>
      <c r="G48" s="31">
        <f t="shared" si="1"/>
        <v>73</v>
      </c>
      <c r="H48" s="30" t="s">
        <v>2384</v>
      </c>
    </row>
    <row r="49" spans="1:8" ht="15" thickBot="1">
      <c r="A49" s="30" t="s">
        <v>1416</v>
      </c>
      <c r="B49" s="30" t="s">
        <v>1916</v>
      </c>
      <c r="C49" s="30" t="s">
        <v>2372</v>
      </c>
      <c r="D49" s="30" t="str">
        <f t="shared" si="0"/>
        <v>Clothing</v>
      </c>
      <c r="E49" s="31">
        <v>394.76</v>
      </c>
      <c r="F49" s="31">
        <v>15</v>
      </c>
      <c r="G49" s="31">
        <f t="shared" si="1"/>
        <v>15</v>
      </c>
      <c r="H49" s="32" t="s">
        <v>2385</v>
      </c>
    </row>
    <row r="50" spans="1:8" ht="15" thickBot="1">
      <c r="A50" s="30" t="s">
        <v>1417</v>
      </c>
      <c r="B50" s="30" t="s">
        <v>1917</v>
      </c>
      <c r="C50" s="30" t="s">
        <v>2372</v>
      </c>
      <c r="D50" s="30" t="str">
        <f t="shared" si="0"/>
        <v>Clothing</v>
      </c>
      <c r="E50" s="31">
        <v>291.57</v>
      </c>
      <c r="F50" s="31">
        <v>45</v>
      </c>
      <c r="G50" s="31">
        <f t="shared" si="1"/>
        <v>45</v>
      </c>
      <c r="H50" s="30" t="s">
        <v>2386</v>
      </c>
    </row>
    <row r="51" spans="1:8" ht="15" thickBot="1">
      <c r="A51" s="30" t="s">
        <v>1418</v>
      </c>
      <c r="B51" s="30" t="s">
        <v>1918</v>
      </c>
      <c r="C51" s="30" t="s">
        <v>2376</v>
      </c>
      <c r="D51" s="30" t="str">
        <f t="shared" si="0"/>
        <v>Food</v>
      </c>
      <c r="E51" s="31">
        <v>451.98</v>
      </c>
      <c r="F51" s="31">
        <v>16</v>
      </c>
      <c r="G51" s="31">
        <f t="shared" si="1"/>
        <v>16</v>
      </c>
      <c r="H51" s="30" t="s">
        <v>2387</v>
      </c>
    </row>
    <row r="52" spans="1:8" ht="15" thickBot="1">
      <c r="A52" s="30" t="s">
        <v>1419</v>
      </c>
      <c r="B52" s="30" t="s">
        <v>1919</v>
      </c>
      <c r="C52" s="30" t="s">
        <v>2370</v>
      </c>
      <c r="D52" s="30" t="str">
        <f t="shared" si="0"/>
        <v>Electronics</v>
      </c>
      <c r="E52" s="31">
        <v>699.79</v>
      </c>
      <c r="F52" s="31">
        <v>74</v>
      </c>
      <c r="G52" s="31">
        <f t="shared" si="1"/>
        <v>74</v>
      </c>
      <c r="H52" s="30" t="s">
        <v>2378</v>
      </c>
    </row>
    <row r="53" spans="1:8" ht="15" thickBot="1">
      <c r="A53" s="30" t="s">
        <v>1420</v>
      </c>
      <c r="B53" s="30" t="s">
        <v>1920</v>
      </c>
      <c r="C53" s="30" t="s">
        <v>2370</v>
      </c>
      <c r="D53" s="30" t="str">
        <f t="shared" si="0"/>
        <v>Electronics</v>
      </c>
      <c r="E53" s="31">
        <v>844.49</v>
      </c>
      <c r="F53" s="31">
        <v>42</v>
      </c>
      <c r="G53" s="31">
        <f t="shared" si="1"/>
        <v>42</v>
      </c>
      <c r="H53" s="30" t="s">
        <v>2379</v>
      </c>
    </row>
    <row r="54" spans="1:8" ht="15" thickBot="1">
      <c r="A54" s="30" t="s">
        <v>1421</v>
      </c>
      <c r="B54" s="30" t="s">
        <v>1921</v>
      </c>
      <c r="C54" s="30" t="s">
        <v>2376</v>
      </c>
      <c r="D54" s="30" t="str">
        <f t="shared" si="0"/>
        <v>Food</v>
      </c>
      <c r="E54" s="31">
        <v>733.54</v>
      </c>
      <c r="F54" s="31">
        <v>84</v>
      </c>
      <c r="G54" s="31">
        <f t="shared" si="1"/>
        <v>84</v>
      </c>
      <c r="H54" s="30" t="s">
        <v>2380</v>
      </c>
    </row>
    <row r="55" spans="1:8" ht="15" thickBot="1">
      <c r="A55" s="30" t="s">
        <v>1422</v>
      </c>
      <c r="B55" s="30" t="s">
        <v>1922</v>
      </c>
      <c r="C55" s="30" t="s">
        <v>2376</v>
      </c>
      <c r="D55" s="30" t="str">
        <f t="shared" si="0"/>
        <v>Food</v>
      </c>
      <c r="E55" s="31">
        <v>652.5</v>
      </c>
      <c r="F55" s="31">
        <v>97</v>
      </c>
      <c r="G55" s="31">
        <f t="shared" si="1"/>
        <v>97</v>
      </c>
      <c r="H55" s="30" t="s">
        <v>2381</v>
      </c>
    </row>
    <row r="56" spans="1:8" ht="15" thickBot="1">
      <c r="A56" s="30" t="s">
        <v>1423</v>
      </c>
      <c r="B56" s="30" t="s">
        <v>1923</v>
      </c>
      <c r="C56" s="30" t="s">
        <v>2372</v>
      </c>
      <c r="D56" s="30" t="str">
        <f t="shared" si="0"/>
        <v>Clothing</v>
      </c>
      <c r="E56" s="31">
        <v>195.42</v>
      </c>
      <c r="F56" s="31">
        <v>50</v>
      </c>
      <c r="G56" s="31">
        <f t="shared" si="1"/>
        <v>50</v>
      </c>
      <c r="H56" s="30" t="s">
        <v>2382</v>
      </c>
    </row>
    <row r="57" spans="1:8" ht="15" thickBot="1">
      <c r="A57" s="30" t="s">
        <v>1424</v>
      </c>
      <c r="B57" s="30" t="s">
        <v>1924</v>
      </c>
      <c r="C57" s="30" t="s">
        <v>2372</v>
      </c>
      <c r="D57" s="30" t="str">
        <f t="shared" si="0"/>
        <v>Clothing</v>
      </c>
      <c r="E57" s="31">
        <v>695.68</v>
      </c>
      <c r="F57" s="31">
        <v>28</v>
      </c>
      <c r="G57" s="31">
        <f t="shared" si="1"/>
        <v>28</v>
      </c>
      <c r="H57" s="30" t="s">
        <v>2383</v>
      </c>
    </row>
    <row r="58" spans="1:8" ht="15" thickBot="1">
      <c r="A58" s="30" t="s">
        <v>1425</v>
      </c>
      <c r="B58" s="30" t="s">
        <v>1925</v>
      </c>
      <c r="C58" s="30" t="s">
        <v>2374</v>
      </c>
      <c r="D58" s="30" t="str">
        <f t="shared" si="0"/>
        <v>Stationery</v>
      </c>
      <c r="E58" s="31">
        <v>585.20000000000005</v>
      </c>
      <c r="F58" s="31">
        <v>67</v>
      </c>
      <c r="G58" s="31">
        <f t="shared" si="1"/>
        <v>67</v>
      </c>
      <c r="H58" s="30" t="s">
        <v>2384</v>
      </c>
    </row>
    <row r="59" spans="1:8" ht="15" thickBot="1">
      <c r="A59" s="30" t="s">
        <v>1426</v>
      </c>
      <c r="B59" s="30" t="s">
        <v>1926</v>
      </c>
      <c r="C59" s="30" t="s">
        <v>2372</v>
      </c>
      <c r="D59" s="30" t="str">
        <f t="shared" si="0"/>
        <v>Clothing</v>
      </c>
      <c r="E59" s="31">
        <v>607.80999999999995</v>
      </c>
      <c r="F59" s="31">
        <v>76</v>
      </c>
      <c r="G59" s="31">
        <f t="shared" si="1"/>
        <v>76</v>
      </c>
      <c r="H59" s="32" t="s">
        <v>2385</v>
      </c>
    </row>
    <row r="60" spans="1:8" ht="15" thickBot="1">
      <c r="A60" s="30" t="s">
        <v>1427</v>
      </c>
      <c r="B60" s="30" t="s">
        <v>1927</v>
      </c>
      <c r="C60" s="30" t="s">
        <v>2373</v>
      </c>
      <c r="D60" s="30" t="str">
        <f t="shared" si="0"/>
        <v>Furniture</v>
      </c>
      <c r="E60" s="31">
        <v>367.37</v>
      </c>
      <c r="F60" s="31">
        <v>56</v>
      </c>
      <c r="G60" s="31">
        <f t="shared" si="1"/>
        <v>56</v>
      </c>
      <c r="H60" s="30" t="s">
        <v>2386</v>
      </c>
    </row>
    <row r="61" spans="1:8" ht="15" thickBot="1">
      <c r="A61" s="30" t="s">
        <v>1428</v>
      </c>
      <c r="B61" s="30" t="s">
        <v>1928</v>
      </c>
      <c r="C61" s="30" t="s">
        <v>2376</v>
      </c>
      <c r="D61" s="30" t="str">
        <f t="shared" si="0"/>
        <v>Food</v>
      </c>
      <c r="E61" s="31">
        <v>474</v>
      </c>
      <c r="F61" s="31">
        <v>48</v>
      </c>
      <c r="G61" s="31">
        <f t="shared" si="1"/>
        <v>48</v>
      </c>
      <c r="H61" s="30" t="s">
        <v>2387</v>
      </c>
    </row>
    <row r="62" spans="1:8" ht="15" thickBot="1">
      <c r="A62" s="30" t="s">
        <v>1429</v>
      </c>
      <c r="B62" s="30" t="s">
        <v>1929</v>
      </c>
      <c r="C62" s="30" t="s">
        <v>2374</v>
      </c>
      <c r="D62" s="30" t="str">
        <f t="shared" si="0"/>
        <v>Stationery</v>
      </c>
      <c r="E62" s="31">
        <v>679.73</v>
      </c>
      <c r="F62" s="31">
        <v>91</v>
      </c>
      <c r="G62" s="31">
        <f t="shared" si="1"/>
        <v>91</v>
      </c>
      <c r="H62" s="30" t="s">
        <v>2378</v>
      </c>
    </row>
    <row r="63" spans="1:8" ht="15" thickBot="1">
      <c r="A63" s="30" t="s">
        <v>1430</v>
      </c>
      <c r="B63" s="30" t="s">
        <v>1930</v>
      </c>
      <c r="C63" s="30" t="s">
        <v>2372</v>
      </c>
      <c r="D63" s="30" t="str">
        <f t="shared" si="0"/>
        <v>Clothing</v>
      </c>
      <c r="E63" s="31">
        <v>492.24</v>
      </c>
      <c r="F63" s="31">
        <v>-8</v>
      </c>
      <c r="G63" s="31">
        <f t="shared" si="1"/>
        <v>0</v>
      </c>
      <c r="H63" s="30" t="s">
        <v>2379</v>
      </c>
    </row>
    <row r="64" spans="1:8" ht="15" thickBot="1">
      <c r="A64" s="30" t="s">
        <v>1431</v>
      </c>
      <c r="B64" s="30" t="s">
        <v>1931</v>
      </c>
      <c r="C64" s="30" t="s">
        <v>2374</v>
      </c>
      <c r="D64" s="30" t="str">
        <f t="shared" si="0"/>
        <v>Stationery</v>
      </c>
      <c r="E64" s="31">
        <v>823.49</v>
      </c>
      <c r="F64" s="31">
        <v>6</v>
      </c>
      <c r="G64" s="31">
        <f t="shared" si="1"/>
        <v>6</v>
      </c>
      <c r="H64" s="30" t="s">
        <v>2380</v>
      </c>
    </row>
    <row r="65" spans="1:8" ht="15" thickBot="1">
      <c r="A65" s="30" t="s">
        <v>1432</v>
      </c>
      <c r="B65" s="30" t="s">
        <v>1932</v>
      </c>
      <c r="C65" s="30" t="s">
        <v>2373</v>
      </c>
      <c r="D65" s="30" t="str">
        <f t="shared" si="0"/>
        <v>Furniture</v>
      </c>
      <c r="E65" s="31">
        <v>117.4</v>
      </c>
      <c r="F65" s="31">
        <v>-5</v>
      </c>
      <c r="G65" s="31">
        <f t="shared" si="1"/>
        <v>0</v>
      </c>
      <c r="H65" s="30" t="s">
        <v>2381</v>
      </c>
    </row>
    <row r="66" spans="1:8" ht="15" thickBot="1">
      <c r="A66" s="30" t="s">
        <v>1433</v>
      </c>
      <c r="B66" s="30" t="s">
        <v>1933</v>
      </c>
      <c r="C66" s="30" t="s">
        <v>2373</v>
      </c>
      <c r="D66" s="30" t="str">
        <f t="shared" si="0"/>
        <v>Furniture</v>
      </c>
      <c r="E66" s="31">
        <v>628.92999999999995</v>
      </c>
      <c r="F66" s="31">
        <v>8</v>
      </c>
      <c r="G66" s="31">
        <f t="shared" si="1"/>
        <v>8</v>
      </c>
      <c r="H66" s="30" t="s">
        <v>2382</v>
      </c>
    </row>
    <row r="67" spans="1:8" ht="15" thickBot="1">
      <c r="A67" s="30" t="s">
        <v>1434</v>
      </c>
      <c r="B67" s="30" t="s">
        <v>1934</v>
      </c>
      <c r="C67" s="30" t="s">
        <v>2374</v>
      </c>
      <c r="D67" s="30" t="str">
        <f t="shared" ref="D67:D130" si="2">PROPER(C67)</f>
        <v>Stationery</v>
      </c>
      <c r="E67" s="31">
        <v>678.41</v>
      </c>
      <c r="F67" s="31">
        <v>54</v>
      </c>
      <c r="G67" s="31">
        <f t="shared" ref="G67:G130" si="3">IF(F67&lt;0,0,F67)</f>
        <v>54</v>
      </c>
      <c r="H67" s="30" t="s">
        <v>2383</v>
      </c>
    </row>
    <row r="68" spans="1:8" ht="15" thickBot="1">
      <c r="A68" s="30" t="s">
        <v>1435</v>
      </c>
      <c r="B68" s="30" t="s">
        <v>1935</v>
      </c>
      <c r="C68" s="30" t="s">
        <v>2376</v>
      </c>
      <c r="D68" s="30" t="str">
        <f t="shared" si="2"/>
        <v>Food</v>
      </c>
      <c r="E68" s="31">
        <v>135.61000000000001</v>
      </c>
      <c r="F68" s="31">
        <v>57</v>
      </c>
      <c r="G68" s="31">
        <f t="shared" si="3"/>
        <v>57</v>
      </c>
      <c r="H68" s="30" t="s">
        <v>2384</v>
      </c>
    </row>
    <row r="69" spans="1:8" ht="15" thickBot="1">
      <c r="A69" s="30" t="s">
        <v>1436</v>
      </c>
      <c r="B69" s="30" t="s">
        <v>1936</v>
      </c>
      <c r="C69" s="30" t="s">
        <v>2376</v>
      </c>
      <c r="D69" s="30" t="str">
        <f t="shared" si="2"/>
        <v>Food</v>
      </c>
      <c r="E69" s="31">
        <v>465.71</v>
      </c>
      <c r="F69" s="31">
        <v>64</v>
      </c>
      <c r="G69" s="31">
        <f t="shared" si="3"/>
        <v>64</v>
      </c>
      <c r="H69" s="32" t="s">
        <v>2385</v>
      </c>
    </row>
    <row r="70" spans="1:8" ht="15" thickBot="1">
      <c r="A70" s="30" t="s">
        <v>1437</v>
      </c>
      <c r="B70" s="30" t="s">
        <v>1937</v>
      </c>
      <c r="C70" s="30" t="s">
        <v>2372</v>
      </c>
      <c r="D70" s="30" t="str">
        <f t="shared" si="2"/>
        <v>Clothing</v>
      </c>
      <c r="E70" s="31">
        <v>225.49</v>
      </c>
      <c r="F70" s="31">
        <v>67</v>
      </c>
      <c r="G70" s="31">
        <f t="shared" si="3"/>
        <v>67</v>
      </c>
      <c r="H70" s="30" t="s">
        <v>2386</v>
      </c>
    </row>
    <row r="71" spans="1:8" ht="15" thickBot="1">
      <c r="A71" s="30" t="s">
        <v>1438</v>
      </c>
      <c r="B71" s="30" t="s">
        <v>1938</v>
      </c>
      <c r="C71" s="30" t="s">
        <v>2370</v>
      </c>
      <c r="D71" s="30" t="str">
        <f t="shared" si="2"/>
        <v>Electronics</v>
      </c>
      <c r="E71" s="31">
        <v>431.57</v>
      </c>
      <c r="F71" s="31">
        <v>9</v>
      </c>
      <c r="G71" s="31">
        <f t="shared" si="3"/>
        <v>9</v>
      </c>
      <c r="H71" s="30" t="s">
        <v>2387</v>
      </c>
    </row>
    <row r="72" spans="1:8" ht="15" thickBot="1">
      <c r="A72" s="30" t="s">
        <v>1439</v>
      </c>
      <c r="B72" s="30" t="s">
        <v>1939</v>
      </c>
      <c r="C72" s="30" t="s">
        <v>2376</v>
      </c>
      <c r="D72" s="30" t="str">
        <f t="shared" si="2"/>
        <v>Food</v>
      </c>
      <c r="E72" s="31">
        <v>230.14</v>
      </c>
      <c r="F72" s="31">
        <v>56</v>
      </c>
      <c r="G72" s="31">
        <f t="shared" si="3"/>
        <v>56</v>
      </c>
      <c r="H72" s="30" t="s">
        <v>2378</v>
      </c>
    </row>
    <row r="73" spans="1:8" ht="15" thickBot="1">
      <c r="A73" s="30" t="s">
        <v>1440</v>
      </c>
      <c r="B73" s="30" t="s">
        <v>1940</v>
      </c>
      <c r="C73" s="30" t="s">
        <v>2376</v>
      </c>
      <c r="D73" s="30" t="str">
        <f t="shared" si="2"/>
        <v>Food</v>
      </c>
      <c r="E73" s="31">
        <v>955.7</v>
      </c>
      <c r="F73" s="31">
        <v>63</v>
      </c>
      <c r="G73" s="31">
        <f t="shared" si="3"/>
        <v>63</v>
      </c>
      <c r="H73" s="30" t="s">
        <v>2379</v>
      </c>
    </row>
    <row r="74" spans="1:8" ht="15" thickBot="1">
      <c r="A74" s="30" t="s">
        <v>1441</v>
      </c>
      <c r="B74" s="30" t="s">
        <v>1941</v>
      </c>
      <c r="C74" s="30" t="s">
        <v>2372</v>
      </c>
      <c r="D74" s="30" t="str">
        <f t="shared" si="2"/>
        <v>Clothing</v>
      </c>
      <c r="E74" s="31">
        <v>270.33</v>
      </c>
      <c r="F74" s="31">
        <v>66</v>
      </c>
      <c r="G74" s="31">
        <f t="shared" si="3"/>
        <v>66</v>
      </c>
      <c r="H74" s="30" t="s">
        <v>2380</v>
      </c>
    </row>
    <row r="75" spans="1:8" ht="15" thickBot="1">
      <c r="A75" s="30" t="s">
        <v>1442</v>
      </c>
      <c r="B75" s="30" t="s">
        <v>1942</v>
      </c>
      <c r="C75" s="30" t="s">
        <v>2373</v>
      </c>
      <c r="D75" s="30" t="str">
        <f t="shared" si="2"/>
        <v>Furniture</v>
      </c>
      <c r="E75" s="31">
        <v>411.36</v>
      </c>
      <c r="F75" s="31">
        <v>74</v>
      </c>
      <c r="G75" s="31">
        <f t="shared" si="3"/>
        <v>74</v>
      </c>
      <c r="H75" s="30" t="s">
        <v>2381</v>
      </c>
    </row>
    <row r="76" spans="1:8" ht="15" thickBot="1">
      <c r="A76" s="30" t="s">
        <v>1443</v>
      </c>
      <c r="B76" s="30" t="s">
        <v>1943</v>
      </c>
      <c r="C76" s="30" t="s">
        <v>2372</v>
      </c>
      <c r="D76" s="30" t="str">
        <f t="shared" si="2"/>
        <v>Clothing</v>
      </c>
      <c r="E76" s="31">
        <v>132.56</v>
      </c>
      <c r="F76" s="31">
        <v>4</v>
      </c>
      <c r="G76" s="31">
        <f t="shared" si="3"/>
        <v>4</v>
      </c>
      <c r="H76" s="30" t="s">
        <v>2382</v>
      </c>
    </row>
    <row r="77" spans="1:8" ht="15" thickBot="1">
      <c r="A77" s="30" t="s">
        <v>1444</v>
      </c>
      <c r="B77" s="30" t="s">
        <v>1944</v>
      </c>
      <c r="C77" s="30" t="s">
        <v>2373</v>
      </c>
      <c r="D77" s="30" t="str">
        <f t="shared" si="2"/>
        <v>Furniture</v>
      </c>
      <c r="E77" s="31">
        <v>527.69000000000005</v>
      </c>
      <c r="F77" s="31">
        <v>97</v>
      </c>
      <c r="G77" s="31">
        <f t="shared" si="3"/>
        <v>97</v>
      </c>
      <c r="H77" s="30" t="s">
        <v>2383</v>
      </c>
    </row>
    <row r="78" spans="1:8" ht="15" thickBot="1">
      <c r="A78" s="30" t="s">
        <v>1445</v>
      </c>
      <c r="B78" s="30" t="s">
        <v>1945</v>
      </c>
      <c r="C78" s="30" t="s">
        <v>2374</v>
      </c>
      <c r="D78" s="30" t="str">
        <f t="shared" si="2"/>
        <v>Stationery</v>
      </c>
      <c r="E78" s="31">
        <v>580.25</v>
      </c>
      <c r="F78" s="31">
        <v>21</v>
      </c>
      <c r="G78" s="31">
        <f t="shared" si="3"/>
        <v>21</v>
      </c>
      <c r="H78" s="30" t="s">
        <v>2384</v>
      </c>
    </row>
    <row r="79" spans="1:8" ht="15" thickBot="1">
      <c r="A79" s="30" t="s">
        <v>1446</v>
      </c>
      <c r="B79" s="30" t="s">
        <v>1946</v>
      </c>
      <c r="C79" s="30" t="s">
        <v>2370</v>
      </c>
      <c r="D79" s="30" t="str">
        <f t="shared" si="2"/>
        <v>Electronics</v>
      </c>
      <c r="E79" s="31">
        <v>626.32000000000005</v>
      </c>
      <c r="F79" s="31">
        <v>65</v>
      </c>
      <c r="G79" s="31">
        <f t="shared" si="3"/>
        <v>65</v>
      </c>
      <c r="H79" s="32" t="s">
        <v>2385</v>
      </c>
    </row>
    <row r="80" spans="1:8" ht="15" thickBot="1">
      <c r="A80" s="30" t="s">
        <v>1447</v>
      </c>
      <c r="B80" s="30" t="s">
        <v>1947</v>
      </c>
      <c r="C80" s="30" t="s">
        <v>2374</v>
      </c>
      <c r="D80" s="30" t="str">
        <f t="shared" si="2"/>
        <v>Stationery</v>
      </c>
      <c r="E80" s="31">
        <v>828.12</v>
      </c>
      <c r="F80" s="31">
        <v>84</v>
      </c>
      <c r="G80" s="31">
        <f t="shared" si="3"/>
        <v>84</v>
      </c>
      <c r="H80" s="30" t="s">
        <v>2386</v>
      </c>
    </row>
    <row r="81" spans="1:8" ht="15" thickBot="1">
      <c r="A81" s="30" t="s">
        <v>1448</v>
      </c>
      <c r="B81" s="30" t="s">
        <v>1948</v>
      </c>
      <c r="C81" s="30" t="s">
        <v>2370</v>
      </c>
      <c r="D81" s="30" t="str">
        <f t="shared" si="2"/>
        <v>Electronics</v>
      </c>
      <c r="E81" s="31">
        <v>219.41</v>
      </c>
      <c r="F81" s="31">
        <v>18</v>
      </c>
      <c r="G81" s="31">
        <f t="shared" si="3"/>
        <v>18</v>
      </c>
      <c r="H81" s="30" t="s">
        <v>2387</v>
      </c>
    </row>
    <row r="82" spans="1:8" ht="15" thickBot="1">
      <c r="A82" s="30" t="s">
        <v>1449</v>
      </c>
      <c r="B82" s="30" t="s">
        <v>1949</v>
      </c>
      <c r="C82" s="30" t="s">
        <v>2376</v>
      </c>
      <c r="D82" s="30" t="str">
        <f t="shared" si="2"/>
        <v>Food</v>
      </c>
      <c r="E82" s="31">
        <v>490.56</v>
      </c>
      <c r="F82" s="31">
        <v>4</v>
      </c>
      <c r="G82" s="31">
        <f t="shared" si="3"/>
        <v>4</v>
      </c>
      <c r="H82" s="30" t="s">
        <v>2378</v>
      </c>
    </row>
    <row r="83" spans="1:8" ht="15" thickBot="1">
      <c r="A83" s="30" t="s">
        <v>1450</v>
      </c>
      <c r="B83" s="30" t="s">
        <v>1950</v>
      </c>
      <c r="C83" s="30" t="s">
        <v>2376</v>
      </c>
      <c r="D83" s="30" t="str">
        <f t="shared" si="2"/>
        <v>Food</v>
      </c>
      <c r="E83" s="31">
        <v>72.930000000000007</v>
      </c>
      <c r="F83" s="31">
        <v>1</v>
      </c>
      <c r="G83" s="31">
        <f t="shared" si="3"/>
        <v>1</v>
      </c>
      <c r="H83" s="30" t="s">
        <v>2379</v>
      </c>
    </row>
    <row r="84" spans="1:8" ht="15" thickBot="1">
      <c r="A84" s="30" t="s">
        <v>1451</v>
      </c>
      <c r="B84" s="30" t="s">
        <v>1951</v>
      </c>
      <c r="C84" s="30" t="s">
        <v>2370</v>
      </c>
      <c r="D84" s="30" t="str">
        <f t="shared" si="2"/>
        <v>Electronics</v>
      </c>
      <c r="E84" s="31">
        <v>792.19</v>
      </c>
      <c r="F84" s="31">
        <v>41</v>
      </c>
      <c r="G84" s="31">
        <f t="shared" si="3"/>
        <v>41</v>
      </c>
      <c r="H84" s="30" t="s">
        <v>2380</v>
      </c>
    </row>
    <row r="85" spans="1:8" ht="15" thickBot="1">
      <c r="A85" s="30" t="s">
        <v>1452</v>
      </c>
      <c r="B85" s="30" t="s">
        <v>1952</v>
      </c>
      <c r="C85" s="30" t="s">
        <v>2373</v>
      </c>
      <c r="D85" s="30" t="str">
        <f t="shared" si="2"/>
        <v>Furniture</v>
      </c>
      <c r="E85" s="31">
        <v>329.11</v>
      </c>
      <c r="F85" s="31">
        <v>68</v>
      </c>
      <c r="G85" s="31">
        <f t="shared" si="3"/>
        <v>68</v>
      </c>
      <c r="H85" s="30" t="s">
        <v>2381</v>
      </c>
    </row>
    <row r="86" spans="1:8" ht="15" thickBot="1">
      <c r="A86" s="30" t="s">
        <v>1453</v>
      </c>
      <c r="B86" s="30" t="s">
        <v>1953</v>
      </c>
      <c r="C86" s="30" t="s">
        <v>2373</v>
      </c>
      <c r="D86" s="30" t="str">
        <f t="shared" si="2"/>
        <v>Furniture</v>
      </c>
      <c r="E86" s="31">
        <v>536.46</v>
      </c>
      <c r="F86" s="31">
        <v>25</v>
      </c>
      <c r="G86" s="31">
        <f t="shared" si="3"/>
        <v>25</v>
      </c>
      <c r="H86" s="30" t="s">
        <v>2382</v>
      </c>
    </row>
    <row r="87" spans="1:8" ht="15" thickBot="1">
      <c r="A87" s="30" t="s">
        <v>1454</v>
      </c>
      <c r="B87" s="30" t="s">
        <v>1954</v>
      </c>
      <c r="C87" s="30" t="s">
        <v>2372</v>
      </c>
      <c r="D87" s="30" t="str">
        <f t="shared" si="2"/>
        <v>Clothing</v>
      </c>
      <c r="E87" s="31">
        <v>112.84</v>
      </c>
      <c r="F87" s="31">
        <v>67</v>
      </c>
      <c r="G87" s="31">
        <f t="shared" si="3"/>
        <v>67</v>
      </c>
      <c r="H87" s="30" t="s">
        <v>2383</v>
      </c>
    </row>
    <row r="88" spans="1:8" ht="15" thickBot="1">
      <c r="A88" s="30" t="s">
        <v>1455</v>
      </c>
      <c r="B88" s="30" t="s">
        <v>1955</v>
      </c>
      <c r="C88" s="30" t="s">
        <v>2370</v>
      </c>
      <c r="D88" s="30" t="str">
        <f t="shared" si="2"/>
        <v>Electronics</v>
      </c>
      <c r="E88" s="31">
        <v>340.83</v>
      </c>
      <c r="F88" s="31">
        <v>9</v>
      </c>
      <c r="G88" s="31">
        <f t="shared" si="3"/>
        <v>9</v>
      </c>
      <c r="H88" s="30" t="s">
        <v>2384</v>
      </c>
    </row>
    <row r="89" spans="1:8" ht="15" thickBot="1">
      <c r="A89" s="30" t="s">
        <v>1456</v>
      </c>
      <c r="B89" s="30" t="s">
        <v>1956</v>
      </c>
      <c r="C89" s="30" t="s">
        <v>2373</v>
      </c>
      <c r="D89" s="30" t="str">
        <f t="shared" si="2"/>
        <v>Furniture</v>
      </c>
      <c r="E89" s="31">
        <v>995.34</v>
      </c>
      <c r="F89" s="31">
        <v>77</v>
      </c>
      <c r="G89" s="31">
        <f t="shared" si="3"/>
        <v>77</v>
      </c>
      <c r="H89" s="32" t="s">
        <v>2385</v>
      </c>
    </row>
    <row r="90" spans="1:8" ht="15" thickBot="1">
      <c r="A90" s="30" t="s">
        <v>1457</v>
      </c>
      <c r="B90" s="30" t="s">
        <v>1957</v>
      </c>
      <c r="C90" s="30" t="s">
        <v>2373</v>
      </c>
      <c r="D90" s="30" t="str">
        <f t="shared" si="2"/>
        <v>Furniture</v>
      </c>
      <c r="E90" s="31">
        <v>769.9</v>
      </c>
      <c r="F90" s="31">
        <v>99</v>
      </c>
      <c r="G90" s="31">
        <f t="shared" si="3"/>
        <v>99</v>
      </c>
      <c r="H90" s="30" t="s">
        <v>2386</v>
      </c>
    </row>
    <row r="91" spans="1:8" ht="15" thickBot="1">
      <c r="A91" s="30" t="s">
        <v>1458</v>
      </c>
      <c r="B91" s="30" t="s">
        <v>1958</v>
      </c>
      <c r="C91" s="30" t="s">
        <v>2370</v>
      </c>
      <c r="D91" s="30" t="str">
        <f t="shared" si="2"/>
        <v>Electronics</v>
      </c>
      <c r="E91" s="31">
        <v>475.06</v>
      </c>
      <c r="F91" s="31">
        <v>95</v>
      </c>
      <c r="G91" s="31">
        <f t="shared" si="3"/>
        <v>95</v>
      </c>
      <c r="H91" s="30" t="s">
        <v>2387</v>
      </c>
    </row>
    <row r="92" spans="1:8" ht="15" thickBot="1">
      <c r="A92" s="30" t="s">
        <v>1459</v>
      </c>
      <c r="B92" s="30" t="s">
        <v>1959</v>
      </c>
      <c r="C92" s="30" t="s">
        <v>2373</v>
      </c>
      <c r="D92" s="30" t="str">
        <f t="shared" si="2"/>
        <v>Furniture</v>
      </c>
      <c r="E92" s="31">
        <v>984.78</v>
      </c>
      <c r="F92" s="31">
        <v>59</v>
      </c>
      <c r="G92" s="31">
        <f t="shared" si="3"/>
        <v>59</v>
      </c>
      <c r="H92" s="30" t="s">
        <v>2378</v>
      </c>
    </row>
    <row r="93" spans="1:8" ht="15" thickBot="1">
      <c r="A93" s="30" t="s">
        <v>1460</v>
      </c>
      <c r="B93" s="30" t="s">
        <v>1960</v>
      </c>
      <c r="C93" s="30" t="s">
        <v>2373</v>
      </c>
      <c r="D93" s="30" t="str">
        <f t="shared" si="2"/>
        <v>Furniture</v>
      </c>
      <c r="E93" s="31">
        <v>827.37</v>
      </c>
      <c r="F93" s="31">
        <v>39</v>
      </c>
      <c r="G93" s="31">
        <f t="shared" si="3"/>
        <v>39</v>
      </c>
      <c r="H93" s="30" t="s">
        <v>2379</v>
      </c>
    </row>
    <row r="94" spans="1:8" ht="15" thickBot="1">
      <c r="A94" s="30" t="s">
        <v>1461</v>
      </c>
      <c r="B94" s="30" t="s">
        <v>1961</v>
      </c>
      <c r="C94" s="30" t="s">
        <v>2372</v>
      </c>
      <c r="D94" s="30" t="str">
        <f t="shared" si="2"/>
        <v>Clothing</v>
      </c>
      <c r="E94" s="31">
        <v>583.88</v>
      </c>
      <c r="F94" s="31">
        <v>20</v>
      </c>
      <c r="G94" s="31">
        <f t="shared" si="3"/>
        <v>20</v>
      </c>
      <c r="H94" s="30" t="s">
        <v>2380</v>
      </c>
    </row>
    <row r="95" spans="1:8" ht="15" thickBot="1">
      <c r="A95" s="30" t="s">
        <v>1462</v>
      </c>
      <c r="B95" s="30" t="s">
        <v>1962</v>
      </c>
      <c r="C95" s="30" t="s">
        <v>2376</v>
      </c>
      <c r="D95" s="30" t="str">
        <f t="shared" si="2"/>
        <v>Food</v>
      </c>
      <c r="E95" s="31">
        <v>147.41999999999999</v>
      </c>
      <c r="F95" s="31">
        <v>68</v>
      </c>
      <c r="G95" s="31">
        <f t="shared" si="3"/>
        <v>68</v>
      </c>
      <c r="H95" s="30" t="s">
        <v>2381</v>
      </c>
    </row>
    <row r="96" spans="1:8" ht="15" thickBot="1">
      <c r="A96" s="30" t="s">
        <v>1463</v>
      </c>
      <c r="B96" s="30" t="s">
        <v>1963</v>
      </c>
      <c r="C96" s="30" t="s">
        <v>2376</v>
      </c>
      <c r="D96" s="30" t="str">
        <f t="shared" si="2"/>
        <v>Food</v>
      </c>
      <c r="E96" s="31">
        <v>728.6</v>
      </c>
      <c r="F96" s="31">
        <v>30</v>
      </c>
      <c r="G96" s="31">
        <f t="shared" si="3"/>
        <v>30</v>
      </c>
      <c r="H96" s="30" t="s">
        <v>2382</v>
      </c>
    </row>
    <row r="97" spans="1:8" ht="15" thickBot="1">
      <c r="A97" s="30" t="s">
        <v>1464</v>
      </c>
      <c r="B97" s="30" t="s">
        <v>1964</v>
      </c>
      <c r="C97" s="30" t="s">
        <v>2374</v>
      </c>
      <c r="D97" s="30" t="str">
        <f t="shared" si="2"/>
        <v>Stationery</v>
      </c>
      <c r="E97" s="31">
        <v>590.16</v>
      </c>
      <c r="F97" s="31">
        <v>63</v>
      </c>
      <c r="G97" s="31">
        <f t="shared" si="3"/>
        <v>63</v>
      </c>
      <c r="H97" s="30" t="s">
        <v>2383</v>
      </c>
    </row>
    <row r="98" spans="1:8" ht="15" thickBot="1">
      <c r="A98" s="30" t="s">
        <v>1465</v>
      </c>
      <c r="B98" s="30" t="s">
        <v>1965</v>
      </c>
      <c r="C98" s="30" t="s">
        <v>2370</v>
      </c>
      <c r="D98" s="30" t="str">
        <f t="shared" si="2"/>
        <v>Electronics</v>
      </c>
      <c r="E98" s="31">
        <v>889.08</v>
      </c>
      <c r="F98" s="31">
        <v>9</v>
      </c>
      <c r="G98" s="31">
        <f t="shared" si="3"/>
        <v>9</v>
      </c>
      <c r="H98" s="30" t="s">
        <v>2384</v>
      </c>
    </row>
    <row r="99" spans="1:8" ht="15" thickBot="1">
      <c r="A99" s="30" t="s">
        <v>1466</v>
      </c>
      <c r="B99" s="30" t="s">
        <v>1966</v>
      </c>
      <c r="C99" s="30" t="s">
        <v>2376</v>
      </c>
      <c r="D99" s="30" t="str">
        <f t="shared" si="2"/>
        <v>Food</v>
      </c>
      <c r="E99" s="31">
        <v>57.22</v>
      </c>
      <c r="F99" s="31">
        <v>34</v>
      </c>
      <c r="G99" s="31">
        <f t="shared" si="3"/>
        <v>34</v>
      </c>
      <c r="H99" s="32" t="s">
        <v>2385</v>
      </c>
    </row>
    <row r="100" spans="1:8" ht="15" thickBot="1">
      <c r="A100" s="30" t="s">
        <v>1467</v>
      </c>
      <c r="B100" s="30" t="s">
        <v>1967</v>
      </c>
      <c r="C100" s="30" t="s">
        <v>2370</v>
      </c>
      <c r="D100" s="30" t="str">
        <f t="shared" si="2"/>
        <v>Electronics</v>
      </c>
      <c r="E100" s="31">
        <v>401.24</v>
      </c>
      <c r="F100" s="31">
        <v>43</v>
      </c>
      <c r="G100" s="31">
        <f t="shared" si="3"/>
        <v>43</v>
      </c>
      <c r="H100" s="30" t="s">
        <v>2386</v>
      </c>
    </row>
    <row r="101" spans="1:8" ht="15" thickBot="1">
      <c r="A101" s="30" t="s">
        <v>1468</v>
      </c>
      <c r="B101" s="30" t="s">
        <v>1968</v>
      </c>
      <c r="C101" s="30" t="s">
        <v>2373</v>
      </c>
      <c r="D101" s="30" t="str">
        <f t="shared" si="2"/>
        <v>Furniture</v>
      </c>
      <c r="E101" s="31">
        <v>796.33</v>
      </c>
      <c r="F101" s="31">
        <v>99</v>
      </c>
      <c r="G101" s="31">
        <f t="shared" si="3"/>
        <v>99</v>
      </c>
      <c r="H101" s="30" t="s">
        <v>2387</v>
      </c>
    </row>
    <row r="102" spans="1:8" ht="15" thickBot="1">
      <c r="A102" s="30" t="s">
        <v>1469</v>
      </c>
      <c r="B102" s="30" t="s">
        <v>1969</v>
      </c>
      <c r="C102" s="30" t="s">
        <v>2372</v>
      </c>
      <c r="D102" s="30" t="str">
        <f t="shared" si="2"/>
        <v>Clothing</v>
      </c>
      <c r="E102" s="31">
        <v>802.31</v>
      </c>
      <c r="F102" s="31">
        <v>97</v>
      </c>
      <c r="G102" s="31">
        <f t="shared" si="3"/>
        <v>97</v>
      </c>
      <c r="H102" s="30" t="s">
        <v>2378</v>
      </c>
    </row>
    <row r="103" spans="1:8" ht="15" thickBot="1">
      <c r="A103" s="30" t="s">
        <v>1470</v>
      </c>
      <c r="B103" s="30" t="s">
        <v>1970</v>
      </c>
      <c r="C103" s="30" t="s">
        <v>2370</v>
      </c>
      <c r="D103" s="30" t="str">
        <f t="shared" si="2"/>
        <v>Electronics</v>
      </c>
      <c r="E103" s="31">
        <v>612.07000000000005</v>
      </c>
      <c r="F103" s="31">
        <v>25</v>
      </c>
      <c r="G103" s="31">
        <f t="shared" si="3"/>
        <v>25</v>
      </c>
      <c r="H103" s="30" t="s">
        <v>2379</v>
      </c>
    </row>
    <row r="104" spans="1:8" ht="15" thickBot="1">
      <c r="A104" s="30" t="s">
        <v>1471</v>
      </c>
      <c r="B104" s="30" t="s">
        <v>1971</v>
      </c>
      <c r="C104" s="30" t="s">
        <v>2376</v>
      </c>
      <c r="D104" s="30" t="str">
        <f t="shared" si="2"/>
        <v>Food</v>
      </c>
      <c r="E104" s="31">
        <v>366.32</v>
      </c>
      <c r="F104" s="31">
        <v>12</v>
      </c>
      <c r="G104" s="31">
        <f t="shared" si="3"/>
        <v>12</v>
      </c>
      <c r="H104" s="30" t="s">
        <v>2380</v>
      </c>
    </row>
    <row r="105" spans="1:8" ht="15" thickBot="1">
      <c r="A105" s="30" t="s">
        <v>1472</v>
      </c>
      <c r="B105" s="30" t="s">
        <v>1972</v>
      </c>
      <c r="C105" s="30" t="s">
        <v>2372</v>
      </c>
      <c r="D105" s="30" t="str">
        <f t="shared" si="2"/>
        <v>Clothing</v>
      </c>
      <c r="E105" s="31">
        <v>241.28</v>
      </c>
      <c r="F105" s="31">
        <v>21</v>
      </c>
      <c r="G105" s="31">
        <f t="shared" si="3"/>
        <v>21</v>
      </c>
      <c r="H105" s="30" t="s">
        <v>2381</v>
      </c>
    </row>
    <row r="106" spans="1:8" ht="15" thickBot="1">
      <c r="A106" s="30" t="s">
        <v>1473</v>
      </c>
      <c r="B106" s="30" t="s">
        <v>1973</v>
      </c>
      <c r="C106" s="30" t="s">
        <v>2372</v>
      </c>
      <c r="D106" s="30" t="str">
        <f t="shared" si="2"/>
        <v>Clothing</v>
      </c>
      <c r="E106" s="31">
        <v>55.88</v>
      </c>
      <c r="F106" s="31">
        <v>11</v>
      </c>
      <c r="G106" s="31">
        <f t="shared" si="3"/>
        <v>11</v>
      </c>
      <c r="H106" s="30" t="s">
        <v>2382</v>
      </c>
    </row>
    <row r="107" spans="1:8" ht="15" thickBot="1">
      <c r="A107" s="30" t="s">
        <v>1474</v>
      </c>
      <c r="B107" s="30" t="s">
        <v>1974</v>
      </c>
      <c r="C107" s="30" t="s">
        <v>2374</v>
      </c>
      <c r="D107" s="30" t="str">
        <f t="shared" si="2"/>
        <v>Stationery</v>
      </c>
      <c r="E107" s="31">
        <v>876.55</v>
      </c>
      <c r="F107" s="31">
        <v>-9</v>
      </c>
      <c r="G107" s="31">
        <f t="shared" si="3"/>
        <v>0</v>
      </c>
      <c r="H107" s="30" t="s">
        <v>2383</v>
      </c>
    </row>
    <row r="108" spans="1:8" ht="15" thickBot="1">
      <c r="A108" s="30" t="s">
        <v>1475</v>
      </c>
      <c r="B108" s="30" t="s">
        <v>1975</v>
      </c>
      <c r="C108" s="30" t="s">
        <v>2376</v>
      </c>
      <c r="D108" s="30" t="str">
        <f t="shared" si="2"/>
        <v>Food</v>
      </c>
      <c r="E108" s="31">
        <v>411.54</v>
      </c>
      <c r="F108" s="31">
        <v>98</v>
      </c>
      <c r="G108" s="31">
        <f t="shared" si="3"/>
        <v>98</v>
      </c>
      <c r="H108" s="30" t="s">
        <v>2384</v>
      </c>
    </row>
    <row r="109" spans="1:8" ht="15" thickBot="1">
      <c r="A109" s="30" t="s">
        <v>1476</v>
      </c>
      <c r="B109" s="30" t="s">
        <v>1976</v>
      </c>
      <c r="C109" s="30" t="s">
        <v>2372</v>
      </c>
      <c r="D109" s="30" t="str">
        <f t="shared" si="2"/>
        <v>Clothing</v>
      </c>
      <c r="E109" s="31">
        <v>756.41</v>
      </c>
      <c r="F109" s="31">
        <v>63</v>
      </c>
      <c r="G109" s="31">
        <f t="shared" si="3"/>
        <v>63</v>
      </c>
      <c r="H109" s="32" t="s">
        <v>2385</v>
      </c>
    </row>
    <row r="110" spans="1:8" ht="15" thickBot="1">
      <c r="A110" s="30" t="s">
        <v>1477</v>
      </c>
      <c r="B110" s="30" t="s">
        <v>1977</v>
      </c>
      <c r="C110" s="30" t="s">
        <v>2374</v>
      </c>
      <c r="D110" s="30" t="str">
        <f t="shared" si="2"/>
        <v>Stationery</v>
      </c>
      <c r="E110" s="31">
        <v>302.37</v>
      </c>
      <c r="F110" s="31">
        <v>75</v>
      </c>
      <c r="G110" s="31">
        <f t="shared" si="3"/>
        <v>75</v>
      </c>
      <c r="H110" s="30" t="s">
        <v>2386</v>
      </c>
    </row>
    <row r="111" spans="1:8" ht="15" thickBot="1">
      <c r="A111" s="30" t="s">
        <v>1478</v>
      </c>
      <c r="B111" s="30" t="s">
        <v>1978</v>
      </c>
      <c r="C111" s="30" t="s">
        <v>2374</v>
      </c>
      <c r="D111" s="30" t="str">
        <f t="shared" si="2"/>
        <v>Stationery</v>
      </c>
      <c r="E111" s="31">
        <v>510.18</v>
      </c>
      <c r="F111" s="31">
        <v>86</v>
      </c>
      <c r="G111" s="31">
        <f t="shared" si="3"/>
        <v>86</v>
      </c>
      <c r="H111" s="30" t="s">
        <v>2387</v>
      </c>
    </row>
    <row r="112" spans="1:8" ht="15" thickBot="1">
      <c r="A112" s="30" t="s">
        <v>1479</v>
      </c>
      <c r="B112" s="30" t="s">
        <v>1979</v>
      </c>
      <c r="C112" s="30" t="s">
        <v>2373</v>
      </c>
      <c r="D112" s="30" t="str">
        <f t="shared" si="2"/>
        <v>Furniture</v>
      </c>
      <c r="E112" s="31">
        <v>220.09</v>
      </c>
      <c r="F112" s="31">
        <v>82</v>
      </c>
      <c r="G112" s="31">
        <f t="shared" si="3"/>
        <v>82</v>
      </c>
      <c r="H112" s="30" t="s">
        <v>2378</v>
      </c>
    </row>
    <row r="113" spans="1:8" ht="15" thickBot="1">
      <c r="A113" s="30" t="s">
        <v>1480</v>
      </c>
      <c r="B113" s="30" t="s">
        <v>1980</v>
      </c>
      <c r="C113" s="30" t="s">
        <v>2374</v>
      </c>
      <c r="D113" s="30" t="str">
        <f t="shared" si="2"/>
        <v>Stationery</v>
      </c>
      <c r="E113" s="31">
        <v>601.62</v>
      </c>
      <c r="F113" s="31">
        <v>42</v>
      </c>
      <c r="G113" s="31">
        <f t="shared" si="3"/>
        <v>42</v>
      </c>
      <c r="H113" s="30" t="s">
        <v>2379</v>
      </c>
    </row>
    <row r="114" spans="1:8" ht="15" thickBot="1">
      <c r="A114" s="30" t="s">
        <v>1481</v>
      </c>
      <c r="B114" s="30" t="s">
        <v>1981</v>
      </c>
      <c r="C114" s="30" t="s">
        <v>2370</v>
      </c>
      <c r="D114" s="30" t="str">
        <f t="shared" si="2"/>
        <v>Electronics</v>
      </c>
      <c r="E114" s="31">
        <v>919.78</v>
      </c>
      <c r="F114" s="31">
        <v>90</v>
      </c>
      <c r="G114" s="31">
        <f t="shared" si="3"/>
        <v>90</v>
      </c>
      <c r="H114" s="30" t="s">
        <v>2380</v>
      </c>
    </row>
    <row r="115" spans="1:8" ht="15" thickBot="1">
      <c r="A115" s="30" t="s">
        <v>1482</v>
      </c>
      <c r="B115" s="30" t="s">
        <v>1982</v>
      </c>
      <c r="C115" s="30" t="s">
        <v>2376</v>
      </c>
      <c r="D115" s="30" t="str">
        <f t="shared" si="2"/>
        <v>Food</v>
      </c>
      <c r="E115" s="31">
        <v>290.58999999999997</v>
      </c>
      <c r="F115" s="31">
        <v>55</v>
      </c>
      <c r="G115" s="31">
        <f t="shared" si="3"/>
        <v>55</v>
      </c>
      <c r="H115" s="30" t="s">
        <v>2381</v>
      </c>
    </row>
    <row r="116" spans="1:8" ht="15" thickBot="1">
      <c r="A116" s="30" t="s">
        <v>1483</v>
      </c>
      <c r="B116" s="30" t="s">
        <v>1983</v>
      </c>
      <c r="C116" s="30" t="s">
        <v>2370</v>
      </c>
      <c r="D116" s="30" t="str">
        <f t="shared" si="2"/>
        <v>Electronics</v>
      </c>
      <c r="E116" s="31">
        <v>237.22</v>
      </c>
      <c r="F116" s="31">
        <v>42</v>
      </c>
      <c r="G116" s="31">
        <f t="shared" si="3"/>
        <v>42</v>
      </c>
      <c r="H116" s="30" t="s">
        <v>2382</v>
      </c>
    </row>
    <row r="117" spans="1:8" ht="15" thickBot="1">
      <c r="A117" s="30" t="s">
        <v>1484</v>
      </c>
      <c r="B117" s="30" t="s">
        <v>1984</v>
      </c>
      <c r="C117" s="30" t="s">
        <v>2372</v>
      </c>
      <c r="D117" s="30" t="str">
        <f t="shared" si="2"/>
        <v>Clothing</v>
      </c>
      <c r="E117" s="31">
        <v>100.65</v>
      </c>
      <c r="F117" s="31">
        <v>84</v>
      </c>
      <c r="G117" s="31">
        <f t="shared" si="3"/>
        <v>84</v>
      </c>
      <c r="H117" s="30" t="s">
        <v>2383</v>
      </c>
    </row>
    <row r="118" spans="1:8" ht="15" thickBot="1">
      <c r="A118" s="30" t="s">
        <v>1485</v>
      </c>
      <c r="B118" s="30" t="s">
        <v>1985</v>
      </c>
      <c r="C118" s="30" t="s">
        <v>2370</v>
      </c>
      <c r="D118" s="30" t="str">
        <f t="shared" si="2"/>
        <v>Electronics</v>
      </c>
      <c r="E118" s="31">
        <v>274.7</v>
      </c>
      <c r="F118" s="31">
        <v>96</v>
      </c>
      <c r="G118" s="31">
        <f t="shared" si="3"/>
        <v>96</v>
      </c>
      <c r="H118" s="30" t="s">
        <v>2384</v>
      </c>
    </row>
    <row r="119" spans="1:8" ht="15" thickBot="1">
      <c r="A119" s="30" t="s">
        <v>1486</v>
      </c>
      <c r="B119" s="30" t="s">
        <v>1986</v>
      </c>
      <c r="C119" s="30" t="s">
        <v>2374</v>
      </c>
      <c r="D119" s="30" t="str">
        <f t="shared" si="2"/>
        <v>Stationery</v>
      </c>
      <c r="E119" s="31">
        <v>524.96</v>
      </c>
      <c r="F119" s="31">
        <v>62</v>
      </c>
      <c r="G119" s="31">
        <f t="shared" si="3"/>
        <v>62</v>
      </c>
      <c r="H119" s="32" t="s">
        <v>2385</v>
      </c>
    </row>
    <row r="120" spans="1:8" ht="15" thickBot="1">
      <c r="A120" s="30" t="s">
        <v>1487</v>
      </c>
      <c r="B120" s="30" t="s">
        <v>1987</v>
      </c>
      <c r="C120" s="30" t="s">
        <v>2370</v>
      </c>
      <c r="D120" s="30" t="str">
        <f t="shared" si="2"/>
        <v>Electronics</v>
      </c>
      <c r="E120" s="31">
        <v>794.42</v>
      </c>
      <c r="F120" s="31">
        <v>25</v>
      </c>
      <c r="G120" s="31">
        <f t="shared" si="3"/>
        <v>25</v>
      </c>
      <c r="H120" s="30" t="s">
        <v>2386</v>
      </c>
    </row>
    <row r="121" spans="1:8" ht="15" thickBot="1">
      <c r="A121" s="30" t="s">
        <v>1488</v>
      </c>
      <c r="B121" s="30" t="s">
        <v>1988</v>
      </c>
      <c r="C121" s="30" t="s">
        <v>2374</v>
      </c>
      <c r="D121" s="30" t="str">
        <f t="shared" si="2"/>
        <v>Stationery</v>
      </c>
      <c r="E121" s="31">
        <v>466.35</v>
      </c>
      <c r="F121" s="31">
        <v>36</v>
      </c>
      <c r="G121" s="31">
        <f t="shared" si="3"/>
        <v>36</v>
      </c>
      <c r="H121" s="30" t="s">
        <v>2387</v>
      </c>
    </row>
    <row r="122" spans="1:8" ht="15" thickBot="1">
      <c r="A122" s="30" t="s">
        <v>1489</v>
      </c>
      <c r="B122" s="30" t="s">
        <v>1989</v>
      </c>
      <c r="C122" s="30" t="s">
        <v>2370</v>
      </c>
      <c r="D122" s="30" t="str">
        <f t="shared" si="2"/>
        <v>Electronics</v>
      </c>
      <c r="E122" s="31">
        <v>304.88</v>
      </c>
      <c r="F122" s="31">
        <v>68</v>
      </c>
      <c r="G122" s="31">
        <f t="shared" si="3"/>
        <v>68</v>
      </c>
      <c r="H122" s="30" t="s">
        <v>2378</v>
      </c>
    </row>
    <row r="123" spans="1:8" ht="15" thickBot="1">
      <c r="A123" s="30" t="s">
        <v>1490</v>
      </c>
      <c r="B123" s="30" t="s">
        <v>1990</v>
      </c>
      <c r="C123" s="30" t="s">
        <v>2370</v>
      </c>
      <c r="D123" s="30" t="str">
        <f t="shared" si="2"/>
        <v>Electronics</v>
      </c>
      <c r="E123" s="31">
        <v>134.71</v>
      </c>
      <c r="F123" s="31">
        <v>45</v>
      </c>
      <c r="G123" s="31">
        <f t="shared" si="3"/>
        <v>45</v>
      </c>
      <c r="H123" s="30" t="s">
        <v>2379</v>
      </c>
    </row>
    <row r="124" spans="1:8" ht="15" thickBot="1">
      <c r="A124" s="30" t="s">
        <v>1491</v>
      </c>
      <c r="B124" s="30" t="s">
        <v>1991</v>
      </c>
      <c r="C124" s="30" t="s">
        <v>2373</v>
      </c>
      <c r="D124" s="30" t="str">
        <f t="shared" si="2"/>
        <v>Furniture</v>
      </c>
      <c r="E124" s="31">
        <v>458.52</v>
      </c>
      <c r="F124" s="31">
        <v>76</v>
      </c>
      <c r="G124" s="31">
        <f t="shared" si="3"/>
        <v>76</v>
      </c>
      <c r="H124" s="30" t="s">
        <v>2380</v>
      </c>
    </row>
    <row r="125" spans="1:8" ht="15" thickBot="1">
      <c r="A125" s="30" t="s">
        <v>1492</v>
      </c>
      <c r="B125" s="30" t="s">
        <v>1992</v>
      </c>
      <c r="C125" s="30" t="s">
        <v>2376</v>
      </c>
      <c r="D125" s="30" t="str">
        <f t="shared" si="2"/>
        <v>Food</v>
      </c>
      <c r="E125" s="31">
        <v>892.51</v>
      </c>
      <c r="F125" s="31">
        <v>80</v>
      </c>
      <c r="G125" s="31">
        <f t="shared" si="3"/>
        <v>80</v>
      </c>
      <c r="H125" s="30" t="s">
        <v>2381</v>
      </c>
    </row>
    <row r="126" spans="1:8" ht="15" thickBot="1">
      <c r="A126" s="30" t="s">
        <v>1493</v>
      </c>
      <c r="B126" s="30" t="s">
        <v>1993</v>
      </c>
      <c r="C126" s="30" t="s">
        <v>2372</v>
      </c>
      <c r="D126" s="30" t="str">
        <f t="shared" si="2"/>
        <v>Clothing</v>
      </c>
      <c r="E126" s="31">
        <v>884.02</v>
      </c>
      <c r="F126" s="31">
        <v>41</v>
      </c>
      <c r="G126" s="31">
        <f t="shared" si="3"/>
        <v>41</v>
      </c>
      <c r="H126" s="30" t="s">
        <v>2382</v>
      </c>
    </row>
    <row r="127" spans="1:8" ht="15" thickBot="1">
      <c r="A127" s="30" t="s">
        <v>1494</v>
      </c>
      <c r="B127" s="30" t="s">
        <v>1994</v>
      </c>
      <c r="C127" s="30" t="s">
        <v>2370</v>
      </c>
      <c r="D127" s="30" t="str">
        <f t="shared" si="2"/>
        <v>Electronics</v>
      </c>
      <c r="E127" s="31">
        <v>987.58</v>
      </c>
      <c r="F127" s="31">
        <v>84</v>
      </c>
      <c r="G127" s="31">
        <f t="shared" si="3"/>
        <v>84</v>
      </c>
      <c r="H127" s="30" t="s">
        <v>2383</v>
      </c>
    </row>
    <row r="128" spans="1:8" ht="15" thickBot="1">
      <c r="A128" s="30" t="s">
        <v>1495</v>
      </c>
      <c r="B128" s="30" t="s">
        <v>1995</v>
      </c>
      <c r="C128" s="30" t="s">
        <v>2372</v>
      </c>
      <c r="D128" s="30" t="str">
        <f t="shared" si="2"/>
        <v>Clothing</v>
      </c>
      <c r="E128" s="31">
        <v>377.17</v>
      </c>
      <c r="F128" s="31">
        <v>94</v>
      </c>
      <c r="G128" s="31">
        <f t="shared" si="3"/>
        <v>94</v>
      </c>
      <c r="H128" s="30" t="s">
        <v>2384</v>
      </c>
    </row>
    <row r="129" spans="1:8" ht="15" thickBot="1">
      <c r="A129" s="30" t="s">
        <v>1496</v>
      </c>
      <c r="B129" s="30" t="s">
        <v>1996</v>
      </c>
      <c r="C129" s="30" t="s">
        <v>2372</v>
      </c>
      <c r="D129" s="30" t="str">
        <f t="shared" si="2"/>
        <v>Clothing</v>
      </c>
      <c r="E129" s="31">
        <v>163.44</v>
      </c>
      <c r="F129" s="31">
        <v>12</v>
      </c>
      <c r="G129" s="31">
        <f t="shared" si="3"/>
        <v>12</v>
      </c>
      <c r="H129" s="32" t="s">
        <v>2385</v>
      </c>
    </row>
    <row r="130" spans="1:8" ht="15" thickBot="1">
      <c r="A130" s="30" t="s">
        <v>1497</v>
      </c>
      <c r="B130" s="30" t="s">
        <v>1997</v>
      </c>
      <c r="C130" s="30" t="s">
        <v>2376</v>
      </c>
      <c r="D130" s="30" t="str">
        <f t="shared" si="2"/>
        <v>Food</v>
      </c>
      <c r="E130" s="31">
        <v>328.15</v>
      </c>
      <c r="F130" s="31">
        <v>70</v>
      </c>
      <c r="G130" s="31">
        <f t="shared" si="3"/>
        <v>70</v>
      </c>
      <c r="H130" s="30" t="s">
        <v>2386</v>
      </c>
    </row>
    <row r="131" spans="1:8" ht="15" thickBot="1">
      <c r="A131" s="30" t="s">
        <v>1498</v>
      </c>
      <c r="B131" s="30" t="s">
        <v>1998</v>
      </c>
      <c r="C131" s="30" t="s">
        <v>2370</v>
      </c>
      <c r="D131" s="30" t="str">
        <f t="shared" ref="D131:D194" si="4">PROPER(C131)</f>
        <v>Electronics</v>
      </c>
      <c r="E131" s="31">
        <v>73.709999999999994</v>
      </c>
      <c r="F131" s="31">
        <v>78</v>
      </c>
      <c r="G131" s="31">
        <f t="shared" ref="G131:G194" si="5">IF(F131&lt;0,0,F131)</f>
        <v>78</v>
      </c>
      <c r="H131" s="30" t="s">
        <v>2387</v>
      </c>
    </row>
    <row r="132" spans="1:8" ht="15" thickBot="1">
      <c r="A132" s="30" t="s">
        <v>1499</v>
      </c>
      <c r="B132" s="30" t="s">
        <v>1999</v>
      </c>
      <c r="C132" s="30" t="s">
        <v>2370</v>
      </c>
      <c r="D132" s="30" t="str">
        <f t="shared" si="4"/>
        <v>Electronics</v>
      </c>
      <c r="E132" s="31">
        <v>140.4</v>
      </c>
      <c r="F132" s="31">
        <v>32</v>
      </c>
      <c r="G132" s="31">
        <f t="shared" si="5"/>
        <v>32</v>
      </c>
      <c r="H132" s="30" t="s">
        <v>2378</v>
      </c>
    </row>
    <row r="133" spans="1:8" ht="15" thickBot="1">
      <c r="A133" s="30" t="s">
        <v>1500</v>
      </c>
      <c r="B133" s="30" t="s">
        <v>2000</v>
      </c>
      <c r="C133" s="30" t="s">
        <v>2376</v>
      </c>
      <c r="D133" s="30" t="str">
        <f t="shared" si="4"/>
        <v>Food</v>
      </c>
      <c r="E133" s="31">
        <v>212.57</v>
      </c>
      <c r="F133" s="31">
        <v>13</v>
      </c>
      <c r="G133" s="31">
        <f t="shared" si="5"/>
        <v>13</v>
      </c>
      <c r="H133" s="30" t="s">
        <v>2379</v>
      </c>
    </row>
    <row r="134" spans="1:8" ht="15" thickBot="1">
      <c r="A134" s="30" t="s">
        <v>1501</v>
      </c>
      <c r="B134" s="30" t="s">
        <v>2001</v>
      </c>
      <c r="C134" s="30" t="s">
        <v>2376</v>
      </c>
      <c r="D134" s="30" t="str">
        <f t="shared" si="4"/>
        <v>Food</v>
      </c>
      <c r="E134" s="31">
        <v>949.27</v>
      </c>
      <c r="F134" s="31">
        <v>94</v>
      </c>
      <c r="G134" s="31">
        <f t="shared" si="5"/>
        <v>94</v>
      </c>
      <c r="H134" s="30" t="s">
        <v>2380</v>
      </c>
    </row>
    <row r="135" spans="1:8" ht="15" thickBot="1">
      <c r="A135" s="30" t="s">
        <v>1502</v>
      </c>
      <c r="B135" s="30" t="s">
        <v>2002</v>
      </c>
      <c r="C135" s="30" t="s">
        <v>2370</v>
      </c>
      <c r="D135" s="30" t="str">
        <f t="shared" si="4"/>
        <v>Electronics</v>
      </c>
      <c r="E135" s="31">
        <v>497.68</v>
      </c>
      <c r="F135" s="31">
        <v>-2</v>
      </c>
      <c r="G135" s="31">
        <f t="shared" si="5"/>
        <v>0</v>
      </c>
      <c r="H135" s="30" t="s">
        <v>2381</v>
      </c>
    </row>
    <row r="136" spans="1:8" ht="15" thickBot="1">
      <c r="A136" s="30" t="s">
        <v>1503</v>
      </c>
      <c r="B136" s="30" t="s">
        <v>2003</v>
      </c>
      <c r="C136" s="30" t="s">
        <v>2374</v>
      </c>
      <c r="D136" s="30" t="str">
        <f t="shared" si="4"/>
        <v>Stationery</v>
      </c>
      <c r="E136" s="31">
        <v>603.72</v>
      </c>
      <c r="F136" s="31">
        <v>45</v>
      </c>
      <c r="G136" s="31">
        <f t="shared" si="5"/>
        <v>45</v>
      </c>
      <c r="H136" s="30" t="s">
        <v>2382</v>
      </c>
    </row>
    <row r="137" spans="1:8" ht="15" thickBot="1">
      <c r="A137" s="30" t="s">
        <v>1504</v>
      </c>
      <c r="B137" s="30" t="s">
        <v>2004</v>
      </c>
      <c r="C137" s="30" t="s">
        <v>2376</v>
      </c>
      <c r="D137" s="30" t="str">
        <f t="shared" si="4"/>
        <v>Food</v>
      </c>
      <c r="E137" s="31">
        <v>229.05</v>
      </c>
      <c r="F137" s="31">
        <v>-8</v>
      </c>
      <c r="G137" s="31">
        <f t="shared" si="5"/>
        <v>0</v>
      </c>
      <c r="H137" s="30" t="s">
        <v>2383</v>
      </c>
    </row>
    <row r="138" spans="1:8" ht="15" thickBot="1">
      <c r="A138" s="30" t="s">
        <v>1505</v>
      </c>
      <c r="B138" s="30" t="s">
        <v>2005</v>
      </c>
      <c r="C138" s="30" t="s">
        <v>2376</v>
      </c>
      <c r="D138" s="30" t="str">
        <f t="shared" si="4"/>
        <v>Food</v>
      </c>
      <c r="E138" s="31">
        <v>704</v>
      </c>
      <c r="F138" s="31">
        <v>68</v>
      </c>
      <c r="G138" s="31">
        <f t="shared" si="5"/>
        <v>68</v>
      </c>
      <c r="H138" s="30" t="s">
        <v>2384</v>
      </c>
    </row>
    <row r="139" spans="1:8" ht="15" thickBot="1">
      <c r="A139" s="30" t="s">
        <v>1506</v>
      </c>
      <c r="B139" s="30" t="s">
        <v>2006</v>
      </c>
      <c r="C139" s="30" t="s">
        <v>2376</v>
      </c>
      <c r="D139" s="30" t="str">
        <f t="shared" si="4"/>
        <v>Food</v>
      </c>
      <c r="E139" s="31">
        <v>187.68</v>
      </c>
      <c r="F139" s="31">
        <v>64</v>
      </c>
      <c r="G139" s="31">
        <f t="shared" si="5"/>
        <v>64</v>
      </c>
      <c r="H139" s="32" t="s">
        <v>2385</v>
      </c>
    </row>
    <row r="140" spans="1:8" ht="15" thickBot="1">
      <c r="A140" s="30" t="s">
        <v>1507</v>
      </c>
      <c r="B140" s="30" t="s">
        <v>2007</v>
      </c>
      <c r="C140" s="30" t="s">
        <v>2373</v>
      </c>
      <c r="D140" s="30" t="str">
        <f t="shared" si="4"/>
        <v>Furniture</v>
      </c>
      <c r="E140" s="31">
        <v>794.47</v>
      </c>
      <c r="F140" s="31">
        <v>85</v>
      </c>
      <c r="G140" s="31">
        <f t="shared" si="5"/>
        <v>85</v>
      </c>
      <c r="H140" s="30" t="s">
        <v>2386</v>
      </c>
    </row>
    <row r="141" spans="1:8" ht="15" thickBot="1">
      <c r="A141" s="30" t="s">
        <v>1508</v>
      </c>
      <c r="B141" s="30" t="s">
        <v>2008</v>
      </c>
      <c r="C141" s="30" t="s">
        <v>2374</v>
      </c>
      <c r="D141" s="30" t="str">
        <f t="shared" si="4"/>
        <v>Stationery</v>
      </c>
      <c r="E141" s="31">
        <v>113.89</v>
      </c>
      <c r="F141" s="31">
        <v>-2</v>
      </c>
      <c r="G141" s="31">
        <f t="shared" si="5"/>
        <v>0</v>
      </c>
      <c r="H141" s="30" t="s">
        <v>2387</v>
      </c>
    </row>
    <row r="142" spans="1:8" ht="15" thickBot="1">
      <c r="A142" s="30" t="s">
        <v>1509</v>
      </c>
      <c r="B142" s="30" t="s">
        <v>2009</v>
      </c>
      <c r="C142" s="30" t="s">
        <v>2370</v>
      </c>
      <c r="D142" s="30" t="str">
        <f t="shared" si="4"/>
        <v>Electronics</v>
      </c>
      <c r="E142" s="31">
        <v>579.39</v>
      </c>
      <c r="F142" s="31">
        <v>62</v>
      </c>
      <c r="G142" s="31">
        <f t="shared" si="5"/>
        <v>62</v>
      </c>
      <c r="H142" s="30" t="s">
        <v>2378</v>
      </c>
    </row>
    <row r="143" spans="1:8" ht="15" thickBot="1">
      <c r="A143" s="30" t="s">
        <v>1510</v>
      </c>
      <c r="B143" s="30" t="s">
        <v>2010</v>
      </c>
      <c r="C143" s="30" t="s">
        <v>2374</v>
      </c>
      <c r="D143" s="30" t="str">
        <f t="shared" si="4"/>
        <v>Stationery</v>
      </c>
      <c r="E143" s="31">
        <v>681.47</v>
      </c>
      <c r="F143" s="31">
        <v>24</v>
      </c>
      <c r="G143" s="31">
        <f t="shared" si="5"/>
        <v>24</v>
      </c>
      <c r="H143" s="30" t="s">
        <v>2379</v>
      </c>
    </row>
    <row r="144" spans="1:8" ht="15" thickBot="1">
      <c r="A144" s="30" t="s">
        <v>1511</v>
      </c>
      <c r="B144" s="30" t="s">
        <v>2011</v>
      </c>
      <c r="C144" s="30" t="s">
        <v>2374</v>
      </c>
      <c r="D144" s="30" t="str">
        <f t="shared" si="4"/>
        <v>Stationery</v>
      </c>
      <c r="E144" s="31">
        <v>86.67</v>
      </c>
      <c r="F144" s="31">
        <v>14</v>
      </c>
      <c r="G144" s="31">
        <f t="shared" si="5"/>
        <v>14</v>
      </c>
      <c r="H144" s="30" t="s">
        <v>2380</v>
      </c>
    </row>
    <row r="145" spans="1:8" ht="15" thickBot="1">
      <c r="A145" s="30" t="s">
        <v>1512</v>
      </c>
      <c r="B145" s="30" t="s">
        <v>2012</v>
      </c>
      <c r="C145" s="30" t="s">
        <v>2373</v>
      </c>
      <c r="D145" s="30" t="str">
        <f t="shared" si="4"/>
        <v>Furniture</v>
      </c>
      <c r="E145" s="31">
        <v>380.33</v>
      </c>
      <c r="F145" s="31">
        <v>38</v>
      </c>
      <c r="G145" s="31">
        <f t="shared" si="5"/>
        <v>38</v>
      </c>
      <c r="H145" s="30" t="s">
        <v>2381</v>
      </c>
    </row>
    <row r="146" spans="1:8" ht="15" thickBot="1">
      <c r="A146" s="30" t="s">
        <v>1513</v>
      </c>
      <c r="B146" s="30" t="s">
        <v>2013</v>
      </c>
      <c r="C146" s="30" t="s">
        <v>2372</v>
      </c>
      <c r="D146" s="30" t="str">
        <f t="shared" si="4"/>
        <v>Clothing</v>
      </c>
      <c r="E146" s="31">
        <v>684.58</v>
      </c>
      <c r="F146" s="31">
        <v>52</v>
      </c>
      <c r="G146" s="31">
        <f t="shared" si="5"/>
        <v>52</v>
      </c>
      <c r="H146" s="30" t="s">
        <v>2382</v>
      </c>
    </row>
    <row r="147" spans="1:8" ht="15" thickBot="1">
      <c r="A147" s="30" t="s">
        <v>1514</v>
      </c>
      <c r="B147" s="30" t="s">
        <v>2014</v>
      </c>
      <c r="C147" s="30" t="s">
        <v>2373</v>
      </c>
      <c r="D147" s="30" t="str">
        <f t="shared" si="4"/>
        <v>Furniture</v>
      </c>
      <c r="E147" s="31">
        <v>618.16999999999996</v>
      </c>
      <c r="F147" s="31">
        <v>28</v>
      </c>
      <c r="G147" s="31">
        <f t="shared" si="5"/>
        <v>28</v>
      </c>
      <c r="H147" s="30" t="s">
        <v>2383</v>
      </c>
    </row>
    <row r="148" spans="1:8" ht="15" thickBot="1">
      <c r="A148" s="30" t="s">
        <v>1515</v>
      </c>
      <c r="B148" s="30" t="s">
        <v>2015</v>
      </c>
      <c r="C148" s="30" t="s">
        <v>2373</v>
      </c>
      <c r="D148" s="30" t="str">
        <f t="shared" si="4"/>
        <v>Furniture</v>
      </c>
      <c r="E148" s="31">
        <v>156.01</v>
      </c>
      <c r="F148" s="31">
        <v>88</v>
      </c>
      <c r="G148" s="31">
        <f t="shared" si="5"/>
        <v>88</v>
      </c>
      <c r="H148" s="30" t="s">
        <v>2384</v>
      </c>
    </row>
    <row r="149" spans="1:8" ht="15" thickBot="1">
      <c r="A149" s="30" t="s">
        <v>1516</v>
      </c>
      <c r="B149" s="30" t="s">
        <v>2016</v>
      </c>
      <c r="C149" s="30" t="s">
        <v>2372</v>
      </c>
      <c r="D149" s="30" t="str">
        <f t="shared" si="4"/>
        <v>Clothing</v>
      </c>
      <c r="E149" s="31">
        <v>515.30999999999995</v>
      </c>
      <c r="F149" s="31">
        <v>55</v>
      </c>
      <c r="G149" s="31">
        <f t="shared" si="5"/>
        <v>55</v>
      </c>
      <c r="H149" s="32" t="s">
        <v>2385</v>
      </c>
    </row>
    <row r="150" spans="1:8" ht="15" thickBot="1">
      <c r="A150" s="30" t="s">
        <v>1517</v>
      </c>
      <c r="B150" s="30" t="s">
        <v>2017</v>
      </c>
      <c r="C150" s="30" t="s">
        <v>2374</v>
      </c>
      <c r="D150" s="30" t="str">
        <f t="shared" si="4"/>
        <v>Stationery</v>
      </c>
      <c r="E150" s="31">
        <v>696.43</v>
      </c>
      <c r="F150" s="31">
        <v>53</v>
      </c>
      <c r="G150" s="31">
        <f t="shared" si="5"/>
        <v>53</v>
      </c>
      <c r="H150" s="30" t="s">
        <v>2386</v>
      </c>
    </row>
    <row r="151" spans="1:8" ht="15" thickBot="1">
      <c r="A151" s="30" t="s">
        <v>1518</v>
      </c>
      <c r="B151" s="30" t="s">
        <v>2018</v>
      </c>
      <c r="C151" s="30" t="s">
        <v>2373</v>
      </c>
      <c r="D151" s="30" t="str">
        <f t="shared" si="4"/>
        <v>Furniture</v>
      </c>
      <c r="E151" s="31">
        <v>179.42</v>
      </c>
      <c r="F151" s="31">
        <v>43</v>
      </c>
      <c r="G151" s="31">
        <f t="shared" si="5"/>
        <v>43</v>
      </c>
      <c r="H151" s="30" t="s">
        <v>2387</v>
      </c>
    </row>
    <row r="152" spans="1:8" ht="15" thickBot="1">
      <c r="A152" s="30" t="s">
        <v>1519</v>
      </c>
      <c r="B152" s="30" t="s">
        <v>2019</v>
      </c>
      <c r="C152" s="30" t="s">
        <v>2376</v>
      </c>
      <c r="D152" s="30" t="str">
        <f t="shared" si="4"/>
        <v>Food</v>
      </c>
      <c r="E152" s="31">
        <v>129.47999999999999</v>
      </c>
      <c r="F152" s="31">
        <v>94</v>
      </c>
      <c r="G152" s="31">
        <f t="shared" si="5"/>
        <v>94</v>
      </c>
      <c r="H152" s="30" t="s">
        <v>2378</v>
      </c>
    </row>
    <row r="153" spans="1:8" ht="15" thickBot="1">
      <c r="A153" s="30" t="s">
        <v>1520</v>
      </c>
      <c r="B153" s="30" t="s">
        <v>2020</v>
      </c>
      <c r="C153" s="30" t="s">
        <v>2370</v>
      </c>
      <c r="D153" s="30" t="str">
        <f t="shared" si="4"/>
        <v>Electronics</v>
      </c>
      <c r="E153" s="31">
        <v>447.07</v>
      </c>
      <c r="F153" s="31">
        <v>45</v>
      </c>
      <c r="G153" s="31">
        <f t="shared" si="5"/>
        <v>45</v>
      </c>
      <c r="H153" s="30" t="s">
        <v>2379</v>
      </c>
    </row>
    <row r="154" spans="1:8" ht="15" thickBot="1">
      <c r="A154" s="30" t="s">
        <v>1521</v>
      </c>
      <c r="B154" s="30" t="s">
        <v>2021</v>
      </c>
      <c r="C154" s="30" t="s">
        <v>2376</v>
      </c>
      <c r="D154" s="30" t="str">
        <f t="shared" si="4"/>
        <v>Food</v>
      </c>
      <c r="E154" s="31">
        <v>223.62</v>
      </c>
      <c r="F154" s="31">
        <v>71</v>
      </c>
      <c r="G154" s="31">
        <f t="shared" si="5"/>
        <v>71</v>
      </c>
      <c r="H154" s="30" t="s">
        <v>2380</v>
      </c>
    </row>
    <row r="155" spans="1:8" ht="15" thickBot="1">
      <c r="A155" s="30" t="s">
        <v>1522</v>
      </c>
      <c r="B155" s="30" t="s">
        <v>2022</v>
      </c>
      <c r="C155" s="30" t="s">
        <v>2373</v>
      </c>
      <c r="D155" s="30" t="str">
        <f t="shared" si="4"/>
        <v>Furniture</v>
      </c>
      <c r="E155" s="31">
        <v>183.53</v>
      </c>
      <c r="F155" s="31">
        <v>91</v>
      </c>
      <c r="G155" s="31">
        <f t="shared" si="5"/>
        <v>91</v>
      </c>
      <c r="H155" s="30" t="s">
        <v>2381</v>
      </c>
    </row>
    <row r="156" spans="1:8" ht="15" thickBot="1">
      <c r="A156" s="30" t="s">
        <v>1523</v>
      </c>
      <c r="B156" s="30" t="s">
        <v>2023</v>
      </c>
      <c r="C156" s="30" t="s">
        <v>2376</v>
      </c>
      <c r="D156" s="30" t="str">
        <f t="shared" si="4"/>
        <v>Food</v>
      </c>
      <c r="E156" s="31">
        <v>183.46</v>
      </c>
      <c r="F156" s="31">
        <v>21</v>
      </c>
      <c r="G156" s="31">
        <f t="shared" si="5"/>
        <v>21</v>
      </c>
      <c r="H156" s="30" t="s">
        <v>2382</v>
      </c>
    </row>
    <row r="157" spans="1:8" ht="15" thickBot="1">
      <c r="A157" s="30" t="s">
        <v>1524</v>
      </c>
      <c r="B157" s="30" t="s">
        <v>2024</v>
      </c>
      <c r="C157" s="30" t="s">
        <v>2370</v>
      </c>
      <c r="D157" s="30" t="str">
        <f t="shared" si="4"/>
        <v>Electronics</v>
      </c>
      <c r="E157" s="31">
        <v>516.53</v>
      </c>
      <c r="F157" s="31">
        <v>8</v>
      </c>
      <c r="G157" s="31">
        <f t="shared" si="5"/>
        <v>8</v>
      </c>
      <c r="H157" s="30" t="s">
        <v>2383</v>
      </c>
    </row>
    <row r="158" spans="1:8" ht="15" thickBot="1">
      <c r="A158" s="30" t="s">
        <v>1525</v>
      </c>
      <c r="B158" s="30" t="s">
        <v>2025</v>
      </c>
      <c r="C158" s="30" t="s">
        <v>2372</v>
      </c>
      <c r="D158" s="30" t="str">
        <f t="shared" si="4"/>
        <v>Clothing</v>
      </c>
      <c r="E158" s="31">
        <v>87.03</v>
      </c>
      <c r="F158" s="31">
        <v>59</v>
      </c>
      <c r="G158" s="31">
        <f t="shared" si="5"/>
        <v>59</v>
      </c>
      <c r="H158" s="30" t="s">
        <v>2384</v>
      </c>
    </row>
    <row r="159" spans="1:8" ht="15" thickBot="1">
      <c r="A159" s="30" t="s">
        <v>1526</v>
      </c>
      <c r="B159" s="30" t="s">
        <v>2026</v>
      </c>
      <c r="C159" s="30" t="s">
        <v>2370</v>
      </c>
      <c r="D159" s="30" t="str">
        <f t="shared" si="4"/>
        <v>Electronics</v>
      </c>
      <c r="E159" s="31">
        <v>685.79</v>
      </c>
      <c r="F159" s="31">
        <v>41</v>
      </c>
      <c r="G159" s="31">
        <f t="shared" si="5"/>
        <v>41</v>
      </c>
      <c r="H159" s="32" t="s">
        <v>2385</v>
      </c>
    </row>
    <row r="160" spans="1:8" ht="15" thickBot="1">
      <c r="A160" s="30" t="s">
        <v>1527</v>
      </c>
      <c r="B160" s="30" t="s">
        <v>2027</v>
      </c>
      <c r="C160" s="30" t="s">
        <v>2373</v>
      </c>
      <c r="D160" s="30" t="str">
        <f t="shared" si="4"/>
        <v>Furniture</v>
      </c>
      <c r="E160" s="31">
        <v>729.48</v>
      </c>
      <c r="F160" s="31">
        <v>53</v>
      </c>
      <c r="G160" s="31">
        <f t="shared" si="5"/>
        <v>53</v>
      </c>
      <c r="H160" s="30" t="s">
        <v>2386</v>
      </c>
    </row>
    <row r="161" spans="1:8" ht="15" thickBot="1">
      <c r="A161" s="30" t="s">
        <v>1528</v>
      </c>
      <c r="B161" s="30" t="s">
        <v>2028</v>
      </c>
      <c r="C161" s="30" t="s">
        <v>2372</v>
      </c>
      <c r="D161" s="30" t="str">
        <f t="shared" si="4"/>
        <v>Clothing</v>
      </c>
      <c r="E161" s="31">
        <v>597.36</v>
      </c>
      <c r="F161" s="31">
        <v>97</v>
      </c>
      <c r="G161" s="31">
        <f t="shared" si="5"/>
        <v>97</v>
      </c>
      <c r="H161" s="30" t="s">
        <v>2387</v>
      </c>
    </row>
    <row r="162" spans="1:8" ht="15" thickBot="1">
      <c r="A162" s="30" t="s">
        <v>1529</v>
      </c>
      <c r="B162" s="30" t="s">
        <v>2029</v>
      </c>
      <c r="C162" s="30" t="s">
        <v>2376</v>
      </c>
      <c r="D162" s="30" t="str">
        <f t="shared" si="4"/>
        <v>Food</v>
      </c>
      <c r="E162" s="31">
        <v>529.05999999999995</v>
      </c>
      <c r="F162" s="31">
        <v>93</v>
      </c>
      <c r="G162" s="31">
        <f t="shared" si="5"/>
        <v>93</v>
      </c>
      <c r="H162" s="30" t="s">
        <v>2378</v>
      </c>
    </row>
    <row r="163" spans="1:8" ht="15" thickBot="1">
      <c r="A163" s="30" t="s">
        <v>1530</v>
      </c>
      <c r="B163" s="30" t="s">
        <v>2030</v>
      </c>
      <c r="C163" s="30" t="s">
        <v>2370</v>
      </c>
      <c r="D163" s="30" t="str">
        <f t="shared" si="4"/>
        <v>Electronics</v>
      </c>
      <c r="E163" s="31">
        <v>558.6</v>
      </c>
      <c r="F163" s="31">
        <v>83</v>
      </c>
      <c r="G163" s="31">
        <f t="shared" si="5"/>
        <v>83</v>
      </c>
      <c r="H163" s="30" t="s">
        <v>2379</v>
      </c>
    </row>
    <row r="164" spans="1:8" ht="15" thickBot="1">
      <c r="A164" s="30" t="s">
        <v>1531</v>
      </c>
      <c r="B164" s="30" t="s">
        <v>2031</v>
      </c>
      <c r="C164" s="30" t="s">
        <v>2376</v>
      </c>
      <c r="D164" s="30" t="str">
        <f t="shared" si="4"/>
        <v>Food</v>
      </c>
      <c r="E164" s="31">
        <v>154.30000000000001</v>
      </c>
      <c r="F164" s="31">
        <v>51</v>
      </c>
      <c r="G164" s="31">
        <f t="shared" si="5"/>
        <v>51</v>
      </c>
      <c r="H164" s="30" t="s">
        <v>2380</v>
      </c>
    </row>
    <row r="165" spans="1:8" ht="15" thickBot="1">
      <c r="A165" s="30" t="s">
        <v>1532</v>
      </c>
      <c r="B165" s="30" t="s">
        <v>2032</v>
      </c>
      <c r="C165" s="30" t="s">
        <v>2370</v>
      </c>
      <c r="D165" s="30" t="str">
        <f t="shared" si="4"/>
        <v>Electronics</v>
      </c>
      <c r="E165" s="31">
        <v>458.38</v>
      </c>
      <c r="F165" s="31">
        <v>64</v>
      </c>
      <c r="G165" s="31">
        <f t="shared" si="5"/>
        <v>64</v>
      </c>
      <c r="H165" s="30" t="s">
        <v>2381</v>
      </c>
    </row>
    <row r="166" spans="1:8" ht="15" thickBot="1">
      <c r="A166" s="30" t="s">
        <v>1533</v>
      </c>
      <c r="B166" s="30" t="s">
        <v>2033</v>
      </c>
      <c r="C166" s="30" t="s">
        <v>2373</v>
      </c>
      <c r="D166" s="30" t="str">
        <f t="shared" si="4"/>
        <v>Furniture</v>
      </c>
      <c r="E166" s="31">
        <v>297.58</v>
      </c>
      <c r="F166" s="31">
        <v>60</v>
      </c>
      <c r="G166" s="31">
        <f t="shared" si="5"/>
        <v>60</v>
      </c>
      <c r="H166" s="30" t="s">
        <v>2382</v>
      </c>
    </row>
    <row r="167" spans="1:8" ht="15" thickBot="1">
      <c r="A167" s="30" t="s">
        <v>1534</v>
      </c>
      <c r="B167" s="30" t="s">
        <v>2034</v>
      </c>
      <c r="C167" s="30" t="s">
        <v>2376</v>
      </c>
      <c r="D167" s="30" t="str">
        <f t="shared" si="4"/>
        <v>Food</v>
      </c>
      <c r="E167" s="31">
        <v>579.45000000000005</v>
      </c>
      <c r="F167" s="31">
        <v>66</v>
      </c>
      <c r="G167" s="31">
        <f t="shared" si="5"/>
        <v>66</v>
      </c>
      <c r="H167" s="30" t="s">
        <v>2383</v>
      </c>
    </row>
    <row r="168" spans="1:8" ht="15" thickBot="1">
      <c r="A168" s="30" t="s">
        <v>1535</v>
      </c>
      <c r="B168" s="30" t="s">
        <v>2035</v>
      </c>
      <c r="C168" s="30" t="s">
        <v>2372</v>
      </c>
      <c r="D168" s="30" t="str">
        <f t="shared" si="4"/>
        <v>Clothing</v>
      </c>
      <c r="E168" s="31">
        <v>182.71</v>
      </c>
      <c r="F168" s="31">
        <v>62</v>
      </c>
      <c r="G168" s="31">
        <f t="shared" si="5"/>
        <v>62</v>
      </c>
      <c r="H168" s="30" t="s">
        <v>2384</v>
      </c>
    </row>
    <row r="169" spans="1:8" ht="15" thickBot="1">
      <c r="A169" s="30" t="s">
        <v>1536</v>
      </c>
      <c r="B169" s="30" t="s">
        <v>2036</v>
      </c>
      <c r="C169" s="30" t="s">
        <v>2370</v>
      </c>
      <c r="D169" s="30" t="str">
        <f t="shared" si="4"/>
        <v>Electronics</v>
      </c>
      <c r="E169" s="31">
        <v>119.27</v>
      </c>
      <c r="F169" s="31">
        <v>22</v>
      </c>
      <c r="G169" s="31">
        <f t="shared" si="5"/>
        <v>22</v>
      </c>
      <c r="H169" s="32" t="s">
        <v>2385</v>
      </c>
    </row>
    <row r="170" spans="1:8" ht="15" thickBot="1">
      <c r="A170" s="30" t="s">
        <v>1537</v>
      </c>
      <c r="B170" s="30" t="s">
        <v>2037</v>
      </c>
      <c r="C170" s="30" t="s">
        <v>2374</v>
      </c>
      <c r="D170" s="30" t="str">
        <f t="shared" si="4"/>
        <v>Stationery</v>
      </c>
      <c r="E170" s="31">
        <v>60.27</v>
      </c>
      <c r="F170" s="31">
        <v>33</v>
      </c>
      <c r="G170" s="31">
        <f t="shared" si="5"/>
        <v>33</v>
      </c>
      <c r="H170" s="30" t="s">
        <v>2386</v>
      </c>
    </row>
    <row r="171" spans="1:8" ht="15" thickBot="1">
      <c r="A171" s="30" t="s">
        <v>1538</v>
      </c>
      <c r="B171" s="30" t="s">
        <v>2038</v>
      </c>
      <c r="C171" s="30" t="s">
        <v>2376</v>
      </c>
      <c r="D171" s="30" t="str">
        <f t="shared" si="4"/>
        <v>Food</v>
      </c>
      <c r="E171" s="31">
        <v>200.96</v>
      </c>
      <c r="F171" s="31">
        <v>97</v>
      </c>
      <c r="G171" s="31">
        <f t="shared" si="5"/>
        <v>97</v>
      </c>
      <c r="H171" s="30" t="s">
        <v>2387</v>
      </c>
    </row>
    <row r="172" spans="1:8" ht="15" thickBot="1">
      <c r="A172" s="30" t="s">
        <v>1539</v>
      </c>
      <c r="B172" s="30" t="s">
        <v>2039</v>
      </c>
      <c r="C172" s="30" t="s">
        <v>2374</v>
      </c>
      <c r="D172" s="30" t="str">
        <f t="shared" si="4"/>
        <v>Stationery</v>
      </c>
      <c r="E172" s="31">
        <v>75.959999999999994</v>
      </c>
      <c r="F172" s="31">
        <v>51</v>
      </c>
      <c r="G172" s="31">
        <f t="shared" si="5"/>
        <v>51</v>
      </c>
      <c r="H172" s="30" t="s">
        <v>2378</v>
      </c>
    </row>
    <row r="173" spans="1:8" ht="15" thickBot="1">
      <c r="A173" s="30" t="s">
        <v>1540</v>
      </c>
      <c r="B173" s="30" t="s">
        <v>2040</v>
      </c>
      <c r="C173" s="30" t="s">
        <v>2370</v>
      </c>
      <c r="D173" s="30" t="str">
        <f t="shared" si="4"/>
        <v>Electronics</v>
      </c>
      <c r="E173" s="31">
        <v>834.87</v>
      </c>
      <c r="F173" s="31">
        <v>62</v>
      </c>
      <c r="G173" s="31">
        <f t="shared" si="5"/>
        <v>62</v>
      </c>
      <c r="H173" s="30" t="s">
        <v>2379</v>
      </c>
    </row>
    <row r="174" spans="1:8" ht="15" thickBot="1">
      <c r="A174" s="30" t="s">
        <v>1541</v>
      </c>
      <c r="B174" s="30" t="s">
        <v>2041</v>
      </c>
      <c r="C174" s="30" t="s">
        <v>2372</v>
      </c>
      <c r="D174" s="30" t="str">
        <f t="shared" si="4"/>
        <v>Clothing</v>
      </c>
      <c r="E174" s="31">
        <v>798.81</v>
      </c>
      <c r="F174" s="31">
        <v>69</v>
      </c>
      <c r="G174" s="31">
        <f t="shared" si="5"/>
        <v>69</v>
      </c>
      <c r="H174" s="30" t="s">
        <v>2380</v>
      </c>
    </row>
    <row r="175" spans="1:8" ht="15" thickBot="1">
      <c r="A175" s="30" t="s">
        <v>1542</v>
      </c>
      <c r="B175" s="30" t="s">
        <v>2042</v>
      </c>
      <c r="C175" s="30" t="s">
        <v>2370</v>
      </c>
      <c r="D175" s="30" t="str">
        <f t="shared" si="4"/>
        <v>Electronics</v>
      </c>
      <c r="E175" s="31">
        <v>107.67</v>
      </c>
      <c r="F175" s="31">
        <v>21</v>
      </c>
      <c r="G175" s="31">
        <f t="shared" si="5"/>
        <v>21</v>
      </c>
      <c r="H175" s="30" t="s">
        <v>2381</v>
      </c>
    </row>
    <row r="176" spans="1:8" ht="15" thickBot="1">
      <c r="A176" s="30" t="s">
        <v>1543</v>
      </c>
      <c r="B176" s="30" t="s">
        <v>2043</v>
      </c>
      <c r="C176" s="30" t="s">
        <v>2370</v>
      </c>
      <c r="D176" s="30" t="str">
        <f t="shared" si="4"/>
        <v>Electronics</v>
      </c>
      <c r="E176" s="31">
        <v>670.38</v>
      </c>
      <c r="F176" s="31">
        <v>74</v>
      </c>
      <c r="G176" s="31">
        <f t="shared" si="5"/>
        <v>74</v>
      </c>
      <c r="H176" s="30" t="s">
        <v>2382</v>
      </c>
    </row>
    <row r="177" spans="1:8" ht="15" thickBot="1">
      <c r="A177" s="30" t="s">
        <v>1544</v>
      </c>
      <c r="B177" s="30" t="s">
        <v>2044</v>
      </c>
      <c r="C177" s="30" t="s">
        <v>2372</v>
      </c>
      <c r="D177" s="30" t="str">
        <f t="shared" si="4"/>
        <v>Clothing</v>
      </c>
      <c r="E177" s="31">
        <v>278.58</v>
      </c>
      <c r="F177" s="31">
        <v>-2</v>
      </c>
      <c r="G177" s="31">
        <f t="shared" si="5"/>
        <v>0</v>
      </c>
      <c r="H177" s="30" t="s">
        <v>2383</v>
      </c>
    </row>
    <row r="178" spans="1:8" ht="15" thickBot="1">
      <c r="A178" s="30" t="s">
        <v>1545</v>
      </c>
      <c r="B178" s="30" t="s">
        <v>2045</v>
      </c>
      <c r="C178" s="30" t="s">
        <v>2372</v>
      </c>
      <c r="D178" s="30" t="str">
        <f t="shared" si="4"/>
        <v>Clothing</v>
      </c>
      <c r="E178" s="31">
        <v>825.88</v>
      </c>
      <c r="F178" s="31">
        <v>28</v>
      </c>
      <c r="G178" s="31">
        <f t="shared" si="5"/>
        <v>28</v>
      </c>
      <c r="H178" s="30" t="s">
        <v>2384</v>
      </c>
    </row>
    <row r="179" spans="1:8" ht="15" thickBot="1">
      <c r="A179" s="30" t="s">
        <v>1546</v>
      </c>
      <c r="B179" s="30" t="s">
        <v>2046</v>
      </c>
      <c r="C179" s="30" t="s">
        <v>2373</v>
      </c>
      <c r="D179" s="30" t="str">
        <f t="shared" si="4"/>
        <v>Furniture</v>
      </c>
      <c r="E179" s="31">
        <v>747.94</v>
      </c>
      <c r="F179" s="31">
        <v>80</v>
      </c>
      <c r="G179" s="31">
        <f t="shared" si="5"/>
        <v>80</v>
      </c>
      <c r="H179" s="32" t="s">
        <v>2385</v>
      </c>
    </row>
    <row r="180" spans="1:8" ht="15" thickBot="1">
      <c r="A180" s="30" t="s">
        <v>1547</v>
      </c>
      <c r="B180" s="30" t="s">
        <v>2047</v>
      </c>
      <c r="C180" s="30" t="s">
        <v>2374</v>
      </c>
      <c r="D180" s="30" t="str">
        <f t="shared" si="4"/>
        <v>Stationery</v>
      </c>
      <c r="E180" s="31">
        <v>800.03</v>
      </c>
      <c r="F180" s="31">
        <v>91</v>
      </c>
      <c r="G180" s="31">
        <f t="shared" si="5"/>
        <v>91</v>
      </c>
      <c r="H180" s="30" t="s">
        <v>2386</v>
      </c>
    </row>
    <row r="181" spans="1:8" ht="15" thickBot="1">
      <c r="A181" s="30" t="s">
        <v>1548</v>
      </c>
      <c r="B181" s="30" t="s">
        <v>2048</v>
      </c>
      <c r="C181" s="30" t="s">
        <v>2370</v>
      </c>
      <c r="D181" s="30" t="str">
        <f t="shared" si="4"/>
        <v>Electronics</v>
      </c>
      <c r="E181" s="31">
        <v>429.74</v>
      </c>
      <c r="F181" s="31">
        <v>65</v>
      </c>
      <c r="G181" s="31">
        <f t="shared" si="5"/>
        <v>65</v>
      </c>
      <c r="H181" s="30" t="s">
        <v>2387</v>
      </c>
    </row>
    <row r="182" spans="1:8" ht="15" thickBot="1">
      <c r="A182" s="30" t="s">
        <v>1549</v>
      </c>
      <c r="B182" s="30" t="s">
        <v>2049</v>
      </c>
      <c r="C182" s="30" t="s">
        <v>2374</v>
      </c>
      <c r="D182" s="30" t="str">
        <f t="shared" si="4"/>
        <v>Stationery</v>
      </c>
      <c r="E182" s="31">
        <v>363.5</v>
      </c>
      <c r="F182" s="31">
        <v>35</v>
      </c>
      <c r="G182" s="31">
        <f t="shared" si="5"/>
        <v>35</v>
      </c>
      <c r="H182" s="30" t="s">
        <v>2378</v>
      </c>
    </row>
    <row r="183" spans="1:8" ht="15" thickBot="1">
      <c r="A183" s="30" t="s">
        <v>1550</v>
      </c>
      <c r="B183" s="30" t="s">
        <v>2050</v>
      </c>
      <c r="C183" s="30" t="s">
        <v>2370</v>
      </c>
      <c r="D183" s="30" t="str">
        <f t="shared" si="4"/>
        <v>Electronics</v>
      </c>
      <c r="E183" s="31">
        <v>838.3</v>
      </c>
      <c r="F183" s="31">
        <v>62</v>
      </c>
      <c r="G183" s="31">
        <f t="shared" si="5"/>
        <v>62</v>
      </c>
      <c r="H183" s="30" t="s">
        <v>2379</v>
      </c>
    </row>
    <row r="184" spans="1:8" ht="15" thickBot="1">
      <c r="A184" s="30" t="s">
        <v>1551</v>
      </c>
      <c r="B184" s="30" t="s">
        <v>2051</v>
      </c>
      <c r="C184" s="30" t="s">
        <v>2373</v>
      </c>
      <c r="D184" s="30" t="str">
        <f t="shared" si="4"/>
        <v>Furniture</v>
      </c>
      <c r="E184" s="31">
        <v>967.51</v>
      </c>
      <c r="F184" s="31">
        <v>-7</v>
      </c>
      <c r="G184" s="31">
        <f t="shared" si="5"/>
        <v>0</v>
      </c>
      <c r="H184" s="30" t="s">
        <v>2380</v>
      </c>
    </row>
    <row r="185" spans="1:8" ht="15" thickBot="1">
      <c r="A185" s="30" t="s">
        <v>1552</v>
      </c>
      <c r="B185" s="30" t="s">
        <v>2052</v>
      </c>
      <c r="C185" s="30" t="s">
        <v>2372</v>
      </c>
      <c r="D185" s="30" t="str">
        <f t="shared" si="4"/>
        <v>Clothing</v>
      </c>
      <c r="E185" s="31">
        <v>965.71</v>
      </c>
      <c r="F185" s="31">
        <v>15</v>
      </c>
      <c r="G185" s="31">
        <f t="shared" si="5"/>
        <v>15</v>
      </c>
      <c r="H185" s="30" t="s">
        <v>2381</v>
      </c>
    </row>
    <row r="186" spans="1:8" ht="15" thickBot="1">
      <c r="A186" s="30" t="s">
        <v>1553</v>
      </c>
      <c r="B186" s="30" t="s">
        <v>2053</v>
      </c>
      <c r="C186" s="30" t="s">
        <v>2372</v>
      </c>
      <c r="D186" s="30" t="str">
        <f t="shared" si="4"/>
        <v>Clothing</v>
      </c>
      <c r="E186" s="31">
        <v>392.8</v>
      </c>
      <c r="F186" s="31">
        <v>80</v>
      </c>
      <c r="G186" s="31">
        <f t="shared" si="5"/>
        <v>80</v>
      </c>
      <c r="H186" s="30" t="s">
        <v>2382</v>
      </c>
    </row>
    <row r="187" spans="1:8" ht="15" thickBot="1">
      <c r="A187" s="30" t="s">
        <v>1554</v>
      </c>
      <c r="B187" s="30" t="s">
        <v>2054</v>
      </c>
      <c r="C187" s="30" t="s">
        <v>2376</v>
      </c>
      <c r="D187" s="30" t="str">
        <f t="shared" si="4"/>
        <v>Food</v>
      </c>
      <c r="E187" s="31">
        <v>121.02</v>
      </c>
      <c r="F187" s="31">
        <v>63</v>
      </c>
      <c r="G187" s="31">
        <f t="shared" si="5"/>
        <v>63</v>
      </c>
      <c r="H187" s="30" t="s">
        <v>2383</v>
      </c>
    </row>
    <row r="188" spans="1:8" ht="15" thickBot="1">
      <c r="A188" s="30" t="s">
        <v>1555</v>
      </c>
      <c r="B188" s="30" t="s">
        <v>2055</v>
      </c>
      <c r="C188" s="30" t="s">
        <v>2370</v>
      </c>
      <c r="D188" s="30" t="str">
        <f t="shared" si="4"/>
        <v>Electronics</v>
      </c>
      <c r="E188" s="31">
        <v>369.8</v>
      </c>
      <c r="F188" s="31">
        <v>75</v>
      </c>
      <c r="G188" s="31">
        <f t="shared" si="5"/>
        <v>75</v>
      </c>
      <c r="H188" s="30" t="s">
        <v>2384</v>
      </c>
    </row>
    <row r="189" spans="1:8" ht="15" thickBot="1">
      <c r="A189" s="30" t="s">
        <v>1556</v>
      </c>
      <c r="B189" s="30" t="s">
        <v>2056</v>
      </c>
      <c r="C189" s="30" t="s">
        <v>2376</v>
      </c>
      <c r="D189" s="30" t="str">
        <f t="shared" si="4"/>
        <v>Food</v>
      </c>
      <c r="E189" s="31">
        <v>68.900000000000006</v>
      </c>
      <c r="F189" s="31">
        <v>48</v>
      </c>
      <c r="G189" s="31">
        <f t="shared" si="5"/>
        <v>48</v>
      </c>
      <c r="H189" s="32" t="s">
        <v>2385</v>
      </c>
    </row>
    <row r="190" spans="1:8" ht="15" thickBot="1">
      <c r="A190" s="30" t="s">
        <v>1557</v>
      </c>
      <c r="B190" s="30" t="s">
        <v>2057</v>
      </c>
      <c r="C190" s="30" t="s">
        <v>2373</v>
      </c>
      <c r="D190" s="30" t="str">
        <f t="shared" si="4"/>
        <v>Furniture</v>
      </c>
      <c r="E190" s="31">
        <v>130.28</v>
      </c>
      <c r="F190" s="31">
        <v>-9</v>
      </c>
      <c r="G190" s="31">
        <f t="shared" si="5"/>
        <v>0</v>
      </c>
      <c r="H190" s="30" t="s">
        <v>2386</v>
      </c>
    </row>
    <row r="191" spans="1:8" ht="15" thickBot="1">
      <c r="A191" s="30" t="s">
        <v>1558</v>
      </c>
      <c r="B191" s="30" t="s">
        <v>2058</v>
      </c>
      <c r="C191" s="30" t="s">
        <v>2372</v>
      </c>
      <c r="D191" s="30" t="str">
        <f t="shared" si="4"/>
        <v>Clothing</v>
      </c>
      <c r="E191" s="31">
        <v>825.3</v>
      </c>
      <c r="F191" s="31">
        <v>11</v>
      </c>
      <c r="G191" s="31">
        <f t="shared" si="5"/>
        <v>11</v>
      </c>
      <c r="H191" s="30" t="s">
        <v>2387</v>
      </c>
    </row>
    <row r="192" spans="1:8" ht="15" thickBot="1">
      <c r="A192" s="30" t="s">
        <v>1559</v>
      </c>
      <c r="B192" s="30" t="s">
        <v>2059</v>
      </c>
      <c r="C192" s="30" t="s">
        <v>2373</v>
      </c>
      <c r="D192" s="30" t="str">
        <f t="shared" si="4"/>
        <v>Furniture</v>
      </c>
      <c r="E192" s="31">
        <v>510.2</v>
      </c>
      <c r="F192" s="31">
        <v>31</v>
      </c>
      <c r="G192" s="31">
        <f t="shared" si="5"/>
        <v>31</v>
      </c>
      <c r="H192" s="30" t="s">
        <v>2378</v>
      </c>
    </row>
    <row r="193" spans="1:8" ht="15" thickBot="1">
      <c r="A193" s="30" t="s">
        <v>1560</v>
      </c>
      <c r="B193" s="30" t="s">
        <v>2060</v>
      </c>
      <c r="C193" s="30" t="s">
        <v>2374</v>
      </c>
      <c r="D193" s="30" t="str">
        <f t="shared" si="4"/>
        <v>Stationery</v>
      </c>
      <c r="E193" s="31">
        <v>423.57</v>
      </c>
      <c r="F193" s="31">
        <v>96</v>
      </c>
      <c r="G193" s="31">
        <f t="shared" si="5"/>
        <v>96</v>
      </c>
      <c r="H193" s="30" t="s">
        <v>2379</v>
      </c>
    </row>
    <row r="194" spans="1:8" ht="15" thickBot="1">
      <c r="A194" s="30" t="s">
        <v>1561</v>
      </c>
      <c r="B194" s="30" t="s">
        <v>2061</v>
      </c>
      <c r="C194" s="30" t="s">
        <v>2370</v>
      </c>
      <c r="D194" s="30" t="str">
        <f t="shared" si="4"/>
        <v>Electronics</v>
      </c>
      <c r="E194" s="31">
        <v>582.75</v>
      </c>
      <c r="F194" s="31">
        <v>19</v>
      </c>
      <c r="G194" s="31">
        <f t="shared" si="5"/>
        <v>19</v>
      </c>
      <c r="H194" s="30" t="s">
        <v>2380</v>
      </c>
    </row>
    <row r="195" spans="1:8" ht="15" thickBot="1">
      <c r="A195" s="30" t="s">
        <v>1562</v>
      </c>
      <c r="B195" s="30" t="s">
        <v>2062</v>
      </c>
      <c r="C195" s="30" t="s">
        <v>2370</v>
      </c>
      <c r="D195" s="30" t="str">
        <f t="shared" ref="D195:D258" si="6">PROPER(C195)</f>
        <v>Electronics</v>
      </c>
      <c r="E195" s="31">
        <v>756.21</v>
      </c>
      <c r="F195" s="31">
        <v>57</v>
      </c>
      <c r="G195" s="31">
        <f t="shared" ref="G195:G258" si="7">IF(F195&lt;0,0,F195)</f>
        <v>57</v>
      </c>
      <c r="H195" s="30" t="s">
        <v>2381</v>
      </c>
    </row>
    <row r="196" spans="1:8" ht="15" thickBot="1">
      <c r="A196" s="30" t="s">
        <v>1563</v>
      </c>
      <c r="B196" s="30" t="s">
        <v>2063</v>
      </c>
      <c r="C196" s="30" t="s">
        <v>2370</v>
      </c>
      <c r="D196" s="30" t="str">
        <f t="shared" si="6"/>
        <v>Electronics</v>
      </c>
      <c r="E196" s="31">
        <v>104.9</v>
      </c>
      <c r="F196" s="31">
        <v>48</v>
      </c>
      <c r="G196" s="31">
        <f t="shared" si="7"/>
        <v>48</v>
      </c>
      <c r="H196" s="30" t="s">
        <v>2382</v>
      </c>
    </row>
    <row r="197" spans="1:8" ht="15" thickBot="1">
      <c r="A197" s="30" t="s">
        <v>1564</v>
      </c>
      <c r="B197" s="30" t="s">
        <v>2064</v>
      </c>
      <c r="C197" s="30" t="s">
        <v>2376</v>
      </c>
      <c r="D197" s="30" t="str">
        <f t="shared" si="6"/>
        <v>Food</v>
      </c>
      <c r="E197" s="31">
        <v>288.79000000000002</v>
      </c>
      <c r="F197" s="31">
        <v>50</v>
      </c>
      <c r="G197" s="31">
        <f t="shared" si="7"/>
        <v>50</v>
      </c>
      <c r="H197" s="30" t="s">
        <v>2383</v>
      </c>
    </row>
    <row r="198" spans="1:8" ht="15" thickBot="1">
      <c r="A198" s="30" t="s">
        <v>1565</v>
      </c>
      <c r="B198" s="30" t="s">
        <v>2065</v>
      </c>
      <c r="C198" s="30" t="s">
        <v>2372</v>
      </c>
      <c r="D198" s="30" t="str">
        <f t="shared" si="6"/>
        <v>Clothing</v>
      </c>
      <c r="E198" s="31">
        <v>341.27</v>
      </c>
      <c r="F198" s="31">
        <v>9</v>
      </c>
      <c r="G198" s="31">
        <f t="shared" si="7"/>
        <v>9</v>
      </c>
      <c r="H198" s="30" t="s">
        <v>2384</v>
      </c>
    </row>
    <row r="199" spans="1:8" ht="15" thickBot="1">
      <c r="A199" s="30" t="s">
        <v>1566</v>
      </c>
      <c r="B199" s="30" t="s">
        <v>2066</v>
      </c>
      <c r="C199" s="30" t="s">
        <v>2374</v>
      </c>
      <c r="D199" s="30" t="str">
        <f t="shared" si="6"/>
        <v>Stationery</v>
      </c>
      <c r="E199" s="31">
        <v>119.78</v>
      </c>
      <c r="F199" s="31">
        <v>90</v>
      </c>
      <c r="G199" s="31">
        <f t="shared" si="7"/>
        <v>90</v>
      </c>
      <c r="H199" s="32" t="s">
        <v>2385</v>
      </c>
    </row>
    <row r="200" spans="1:8" ht="15" thickBot="1">
      <c r="A200" s="30" t="s">
        <v>1567</v>
      </c>
      <c r="B200" s="30" t="s">
        <v>2067</v>
      </c>
      <c r="C200" s="30" t="s">
        <v>2370</v>
      </c>
      <c r="D200" s="30" t="str">
        <f t="shared" si="6"/>
        <v>Electronics</v>
      </c>
      <c r="E200" s="31">
        <v>935.99</v>
      </c>
      <c r="F200" s="31">
        <v>5</v>
      </c>
      <c r="G200" s="31">
        <f t="shared" si="7"/>
        <v>5</v>
      </c>
      <c r="H200" s="30" t="s">
        <v>2386</v>
      </c>
    </row>
    <row r="201" spans="1:8" ht="15" thickBot="1">
      <c r="A201" s="30" t="s">
        <v>1568</v>
      </c>
      <c r="B201" s="30" t="s">
        <v>2068</v>
      </c>
      <c r="C201" s="30" t="s">
        <v>2374</v>
      </c>
      <c r="D201" s="30" t="str">
        <f t="shared" si="6"/>
        <v>Stationery</v>
      </c>
      <c r="E201" s="31">
        <v>137.57</v>
      </c>
      <c r="F201" s="31">
        <v>29</v>
      </c>
      <c r="G201" s="31">
        <f t="shared" si="7"/>
        <v>29</v>
      </c>
      <c r="H201" s="30" t="s">
        <v>2387</v>
      </c>
    </row>
    <row r="202" spans="1:8" ht="15" thickBot="1">
      <c r="A202" s="30" t="s">
        <v>1569</v>
      </c>
      <c r="B202" s="30" t="s">
        <v>2069</v>
      </c>
      <c r="C202" s="30" t="s">
        <v>2370</v>
      </c>
      <c r="D202" s="30" t="str">
        <f t="shared" si="6"/>
        <v>Electronics</v>
      </c>
      <c r="E202" s="31">
        <v>436.32</v>
      </c>
      <c r="F202" s="31">
        <v>52</v>
      </c>
      <c r="G202" s="31">
        <f t="shared" si="7"/>
        <v>52</v>
      </c>
      <c r="H202" s="30" t="s">
        <v>2378</v>
      </c>
    </row>
    <row r="203" spans="1:8" ht="15" thickBot="1">
      <c r="A203" s="30" t="s">
        <v>1570</v>
      </c>
      <c r="B203" s="30" t="s">
        <v>2070</v>
      </c>
      <c r="C203" s="30" t="s">
        <v>2376</v>
      </c>
      <c r="D203" s="30" t="str">
        <f t="shared" si="6"/>
        <v>Food</v>
      </c>
      <c r="E203" s="31">
        <v>590.45000000000005</v>
      </c>
      <c r="F203" s="31">
        <v>40</v>
      </c>
      <c r="G203" s="31">
        <f t="shared" si="7"/>
        <v>40</v>
      </c>
      <c r="H203" s="30" t="s">
        <v>2379</v>
      </c>
    </row>
    <row r="204" spans="1:8" ht="15" thickBot="1">
      <c r="A204" s="30" t="s">
        <v>1571</v>
      </c>
      <c r="B204" s="30" t="s">
        <v>2071</v>
      </c>
      <c r="C204" s="30" t="s">
        <v>2372</v>
      </c>
      <c r="D204" s="30" t="str">
        <f t="shared" si="6"/>
        <v>Clothing</v>
      </c>
      <c r="E204" s="31">
        <v>632.98</v>
      </c>
      <c r="F204" s="31">
        <v>39</v>
      </c>
      <c r="G204" s="31">
        <f t="shared" si="7"/>
        <v>39</v>
      </c>
      <c r="H204" s="30" t="s">
        <v>2380</v>
      </c>
    </row>
    <row r="205" spans="1:8" ht="15" thickBot="1">
      <c r="A205" s="30" t="s">
        <v>1572</v>
      </c>
      <c r="B205" s="30" t="s">
        <v>2072</v>
      </c>
      <c r="C205" s="30" t="s">
        <v>2370</v>
      </c>
      <c r="D205" s="30" t="str">
        <f t="shared" si="6"/>
        <v>Electronics</v>
      </c>
      <c r="E205" s="31">
        <v>667.69</v>
      </c>
      <c r="F205" s="31">
        <v>87</v>
      </c>
      <c r="G205" s="31">
        <f t="shared" si="7"/>
        <v>87</v>
      </c>
      <c r="H205" s="30" t="s">
        <v>2381</v>
      </c>
    </row>
    <row r="206" spans="1:8" ht="15" thickBot="1">
      <c r="A206" s="30" t="s">
        <v>1573</v>
      </c>
      <c r="B206" s="30" t="s">
        <v>2073</v>
      </c>
      <c r="C206" s="30" t="s">
        <v>2372</v>
      </c>
      <c r="D206" s="30" t="str">
        <f t="shared" si="6"/>
        <v>Clothing</v>
      </c>
      <c r="E206" s="31">
        <v>352.73</v>
      </c>
      <c r="F206" s="31">
        <v>17</v>
      </c>
      <c r="G206" s="31">
        <f t="shared" si="7"/>
        <v>17</v>
      </c>
      <c r="H206" s="30" t="s">
        <v>2382</v>
      </c>
    </row>
    <row r="207" spans="1:8" ht="15" thickBot="1">
      <c r="A207" s="30" t="s">
        <v>1574</v>
      </c>
      <c r="B207" s="30" t="s">
        <v>2074</v>
      </c>
      <c r="C207" s="30" t="s">
        <v>2374</v>
      </c>
      <c r="D207" s="30" t="str">
        <f t="shared" si="6"/>
        <v>Stationery</v>
      </c>
      <c r="E207" s="31">
        <v>369.53</v>
      </c>
      <c r="F207" s="31">
        <v>27</v>
      </c>
      <c r="G207" s="31">
        <f t="shared" si="7"/>
        <v>27</v>
      </c>
      <c r="H207" s="30" t="s">
        <v>2383</v>
      </c>
    </row>
    <row r="208" spans="1:8" ht="15" thickBot="1">
      <c r="A208" s="30" t="s">
        <v>1575</v>
      </c>
      <c r="B208" s="30" t="s">
        <v>2075</v>
      </c>
      <c r="C208" s="30" t="s">
        <v>2372</v>
      </c>
      <c r="D208" s="30" t="str">
        <f t="shared" si="6"/>
        <v>Clothing</v>
      </c>
      <c r="E208" s="31">
        <v>72.599999999999994</v>
      </c>
      <c r="F208" s="31">
        <v>68</v>
      </c>
      <c r="G208" s="31">
        <f t="shared" si="7"/>
        <v>68</v>
      </c>
      <c r="H208" s="30" t="s">
        <v>2384</v>
      </c>
    </row>
    <row r="209" spans="1:8" ht="15" thickBot="1">
      <c r="A209" s="30" t="s">
        <v>1576</v>
      </c>
      <c r="B209" s="30" t="s">
        <v>2076</v>
      </c>
      <c r="C209" s="30" t="s">
        <v>2370</v>
      </c>
      <c r="D209" s="30" t="str">
        <f t="shared" si="6"/>
        <v>Electronics</v>
      </c>
      <c r="E209" s="31">
        <v>280.36</v>
      </c>
      <c r="F209" s="31">
        <v>51</v>
      </c>
      <c r="G209" s="31">
        <f t="shared" si="7"/>
        <v>51</v>
      </c>
      <c r="H209" s="32" t="s">
        <v>2385</v>
      </c>
    </row>
    <row r="210" spans="1:8" ht="15" thickBot="1">
      <c r="A210" s="30" t="s">
        <v>1577</v>
      </c>
      <c r="B210" s="30" t="s">
        <v>2077</v>
      </c>
      <c r="C210" s="30" t="s">
        <v>2372</v>
      </c>
      <c r="D210" s="30" t="str">
        <f t="shared" si="6"/>
        <v>Clothing</v>
      </c>
      <c r="E210" s="31">
        <v>771.91</v>
      </c>
      <c r="F210" s="31">
        <v>12</v>
      </c>
      <c r="G210" s="31">
        <f t="shared" si="7"/>
        <v>12</v>
      </c>
      <c r="H210" s="30" t="s">
        <v>2386</v>
      </c>
    </row>
    <row r="211" spans="1:8" ht="15" thickBot="1">
      <c r="A211" s="30" t="s">
        <v>1578</v>
      </c>
      <c r="B211" s="30" t="s">
        <v>2078</v>
      </c>
      <c r="C211" s="30" t="s">
        <v>2376</v>
      </c>
      <c r="D211" s="30" t="str">
        <f t="shared" si="6"/>
        <v>Food</v>
      </c>
      <c r="E211" s="31">
        <v>827.87</v>
      </c>
      <c r="F211" s="31">
        <v>-4</v>
      </c>
      <c r="G211" s="31">
        <f t="shared" si="7"/>
        <v>0</v>
      </c>
      <c r="H211" s="30" t="s">
        <v>2387</v>
      </c>
    </row>
    <row r="212" spans="1:8" ht="15" thickBot="1">
      <c r="A212" s="30" t="s">
        <v>1579</v>
      </c>
      <c r="B212" s="30" t="s">
        <v>2079</v>
      </c>
      <c r="C212" s="30" t="s">
        <v>2376</v>
      </c>
      <c r="D212" s="30" t="str">
        <f t="shared" si="6"/>
        <v>Food</v>
      </c>
      <c r="E212" s="31">
        <v>538.16999999999996</v>
      </c>
      <c r="F212" s="31">
        <v>84</v>
      </c>
      <c r="G212" s="31">
        <f t="shared" si="7"/>
        <v>84</v>
      </c>
      <c r="H212" s="30" t="s">
        <v>2378</v>
      </c>
    </row>
    <row r="213" spans="1:8" ht="15" thickBot="1">
      <c r="A213" s="30" t="s">
        <v>1580</v>
      </c>
      <c r="B213" s="30" t="s">
        <v>2080</v>
      </c>
      <c r="C213" s="30" t="s">
        <v>2373</v>
      </c>
      <c r="D213" s="30" t="str">
        <f t="shared" si="6"/>
        <v>Furniture</v>
      </c>
      <c r="E213" s="31">
        <v>997</v>
      </c>
      <c r="F213" s="31">
        <v>18</v>
      </c>
      <c r="G213" s="31">
        <f t="shared" si="7"/>
        <v>18</v>
      </c>
      <c r="H213" s="30" t="s">
        <v>2379</v>
      </c>
    </row>
    <row r="214" spans="1:8" ht="15" thickBot="1">
      <c r="A214" s="30" t="s">
        <v>1581</v>
      </c>
      <c r="B214" s="30" t="s">
        <v>2081</v>
      </c>
      <c r="C214" s="30" t="s">
        <v>2372</v>
      </c>
      <c r="D214" s="30" t="str">
        <f t="shared" si="6"/>
        <v>Clothing</v>
      </c>
      <c r="E214" s="31">
        <v>999.58</v>
      </c>
      <c r="F214" s="31">
        <v>18</v>
      </c>
      <c r="G214" s="31">
        <f t="shared" si="7"/>
        <v>18</v>
      </c>
      <c r="H214" s="30" t="s">
        <v>2380</v>
      </c>
    </row>
    <row r="215" spans="1:8" ht="15" thickBot="1">
      <c r="A215" s="30" t="s">
        <v>1582</v>
      </c>
      <c r="B215" s="30" t="s">
        <v>2082</v>
      </c>
      <c r="C215" s="30" t="s">
        <v>2374</v>
      </c>
      <c r="D215" s="30" t="str">
        <f t="shared" si="6"/>
        <v>Stationery</v>
      </c>
      <c r="E215" s="31">
        <v>61.74</v>
      </c>
      <c r="F215" s="31">
        <v>71</v>
      </c>
      <c r="G215" s="31">
        <f t="shared" si="7"/>
        <v>71</v>
      </c>
      <c r="H215" s="30" t="s">
        <v>2381</v>
      </c>
    </row>
    <row r="216" spans="1:8" ht="15" thickBot="1">
      <c r="A216" s="30" t="s">
        <v>1583</v>
      </c>
      <c r="B216" s="30" t="s">
        <v>2083</v>
      </c>
      <c r="C216" s="30" t="s">
        <v>2370</v>
      </c>
      <c r="D216" s="30" t="str">
        <f t="shared" si="6"/>
        <v>Electronics</v>
      </c>
      <c r="E216" s="31">
        <v>199.87</v>
      </c>
      <c r="F216" s="31">
        <v>37</v>
      </c>
      <c r="G216" s="31">
        <f t="shared" si="7"/>
        <v>37</v>
      </c>
      <c r="H216" s="30" t="s">
        <v>2382</v>
      </c>
    </row>
    <row r="217" spans="1:8" ht="15" thickBot="1">
      <c r="A217" s="30" t="s">
        <v>1584</v>
      </c>
      <c r="B217" s="30" t="s">
        <v>2084</v>
      </c>
      <c r="C217" s="30" t="s">
        <v>2370</v>
      </c>
      <c r="D217" s="30" t="str">
        <f t="shared" si="6"/>
        <v>Electronics</v>
      </c>
      <c r="E217" s="31">
        <v>106.32</v>
      </c>
      <c r="F217" s="31">
        <v>64</v>
      </c>
      <c r="G217" s="31">
        <f t="shared" si="7"/>
        <v>64</v>
      </c>
      <c r="H217" s="30" t="s">
        <v>2383</v>
      </c>
    </row>
    <row r="218" spans="1:8" ht="15" thickBot="1">
      <c r="A218" s="30" t="s">
        <v>1585</v>
      </c>
      <c r="B218" s="30" t="s">
        <v>2085</v>
      </c>
      <c r="C218" s="30" t="s">
        <v>2372</v>
      </c>
      <c r="D218" s="30" t="str">
        <f t="shared" si="6"/>
        <v>Clothing</v>
      </c>
      <c r="E218" s="31">
        <v>328.43</v>
      </c>
      <c r="F218" s="31">
        <v>71</v>
      </c>
      <c r="G218" s="31">
        <f t="shared" si="7"/>
        <v>71</v>
      </c>
      <c r="H218" s="30" t="s">
        <v>2384</v>
      </c>
    </row>
    <row r="219" spans="1:8" ht="15" thickBot="1">
      <c r="A219" s="30" t="s">
        <v>1586</v>
      </c>
      <c r="B219" s="30" t="s">
        <v>2086</v>
      </c>
      <c r="C219" s="30" t="s">
        <v>2370</v>
      </c>
      <c r="D219" s="30" t="str">
        <f t="shared" si="6"/>
        <v>Electronics</v>
      </c>
      <c r="E219" s="31">
        <v>737.53</v>
      </c>
      <c r="F219" s="31">
        <v>-5</v>
      </c>
      <c r="G219" s="31">
        <f t="shared" si="7"/>
        <v>0</v>
      </c>
      <c r="H219" s="32" t="s">
        <v>2385</v>
      </c>
    </row>
    <row r="220" spans="1:8" ht="15" thickBot="1">
      <c r="A220" s="30" t="s">
        <v>1587</v>
      </c>
      <c r="B220" s="30" t="s">
        <v>2087</v>
      </c>
      <c r="C220" s="30" t="s">
        <v>2370</v>
      </c>
      <c r="D220" s="30" t="str">
        <f t="shared" si="6"/>
        <v>Electronics</v>
      </c>
      <c r="E220" s="31">
        <v>94.08</v>
      </c>
      <c r="F220" s="31">
        <v>70</v>
      </c>
      <c r="G220" s="31">
        <f t="shared" si="7"/>
        <v>70</v>
      </c>
      <c r="H220" s="30" t="s">
        <v>2386</v>
      </c>
    </row>
    <row r="221" spans="1:8" ht="15" thickBot="1">
      <c r="A221" s="30" t="s">
        <v>1588</v>
      </c>
      <c r="B221" s="30" t="s">
        <v>2088</v>
      </c>
      <c r="C221" s="30" t="s">
        <v>2374</v>
      </c>
      <c r="D221" s="30" t="str">
        <f t="shared" si="6"/>
        <v>Stationery</v>
      </c>
      <c r="E221" s="31">
        <v>779.68</v>
      </c>
      <c r="F221" s="31">
        <v>85</v>
      </c>
      <c r="G221" s="31">
        <f t="shared" si="7"/>
        <v>85</v>
      </c>
      <c r="H221" s="30" t="s">
        <v>2387</v>
      </c>
    </row>
    <row r="222" spans="1:8" ht="15" thickBot="1">
      <c r="A222" s="30" t="s">
        <v>1589</v>
      </c>
      <c r="B222" s="30" t="s">
        <v>2089</v>
      </c>
      <c r="C222" s="30" t="s">
        <v>2370</v>
      </c>
      <c r="D222" s="30" t="str">
        <f t="shared" si="6"/>
        <v>Electronics</v>
      </c>
      <c r="E222" s="31">
        <v>236.65</v>
      </c>
      <c r="F222" s="31">
        <v>27</v>
      </c>
      <c r="G222" s="31">
        <f t="shared" si="7"/>
        <v>27</v>
      </c>
      <c r="H222" s="30" t="s">
        <v>2378</v>
      </c>
    </row>
    <row r="223" spans="1:8" ht="15" thickBot="1">
      <c r="A223" s="30" t="s">
        <v>1590</v>
      </c>
      <c r="B223" s="30" t="s">
        <v>2090</v>
      </c>
      <c r="C223" s="30" t="s">
        <v>2370</v>
      </c>
      <c r="D223" s="30" t="str">
        <f t="shared" si="6"/>
        <v>Electronics</v>
      </c>
      <c r="E223" s="31">
        <v>200.81</v>
      </c>
      <c r="F223" s="31">
        <v>31</v>
      </c>
      <c r="G223" s="31">
        <f t="shared" si="7"/>
        <v>31</v>
      </c>
      <c r="H223" s="30" t="s">
        <v>2379</v>
      </c>
    </row>
    <row r="224" spans="1:8" ht="15" thickBot="1">
      <c r="A224" s="30" t="s">
        <v>1591</v>
      </c>
      <c r="B224" s="30" t="s">
        <v>2091</v>
      </c>
      <c r="C224" s="30" t="s">
        <v>2372</v>
      </c>
      <c r="D224" s="30" t="str">
        <f t="shared" si="6"/>
        <v>Clothing</v>
      </c>
      <c r="E224" s="31">
        <v>457.29</v>
      </c>
      <c r="F224" s="31">
        <v>84</v>
      </c>
      <c r="G224" s="31">
        <f t="shared" si="7"/>
        <v>84</v>
      </c>
      <c r="H224" s="30" t="s">
        <v>2380</v>
      </c>
    </row>
    <row r="225" spans="1:8" ht="15" thickBot="1">
      <c r="A225" s="30" t="s">
        <v>1592</v>
      </c>
      <c r="B225" s="30" t="s">
        <v>2092</v>
      </c>
      <c r="C225" s="30" t="s">
        <v>2370</v>
      </c>
      <c r="D225" s="30" t="str">
        <f t="shared" si="6"/>
        <v>Electronics</v>
      </c>
      <c r="E225" s="31">
        <v>584.57000000000005</v>
      </c>
      <c r="F225" s="31">
        <v>57</v>
      </c>
      <c r="G225" s="31">
        <f t="shared" si="7"/>
        <v>57</v>
      </c>
      <c r="H225" s="30" t="s">
        <v>2381</v>
      </c>
    </row>
    <row r="226" spans="1:8" ht="15" thickBot="1">
      <c r="A226" s="30" t="s">
        <v>1593</v>
      </c>
      <c r="B226" s="30" t="s">
        <v>2093</v>
      </c>
      <c r="C226" s="30" t="s">
        <v>2370</v>
      </c>
      <c r="D226" s="30" t="str">
        <f t="shared" si="6"/>
        <v>Electronics</v>
      </c>
      <c r="E226" s="31">
        <v>355.77</v>
      </c>
      <c r="F226" s="31">
        <v>91</v>
      </c>
      <c r="G226" s="31">
        <f t="shared" si="7"/>
        <v>91</v>
      </c>
      <c r="H226" s="30" t="s">
        <v>2382</v>
      </c>
    </row>
    <row r="227" spans="1:8" ht="15" thickBot="1">
      <c r="A227" s="30" t="s">
        <v>1594</v>
      </c>
      <c r="B227" s="30" t="s">
        <v>2094</v>
      </c>
      <c r="C227" s="30" t="s">
        <v>2374</v>
      </c>
      <c r="D227" s="30" t="str">
        <f t="shared" si="6"/>
        <v>Stationery</v>
      </c>
      <c r="E227" s="31">
        <v>352.16</v>
      </c>
      <c r="F227" s="31">
        <v>10</v>
      </c>
      <c r="G227" s="31">
        <f t="shared" si="7"/>
        <v>10</v>
      </c>
      <c r="H227" s="30" t="s">
        <v>2383</v>
      </c>
    </row>
    <row r="228" spans="1:8" ht="15" thickBot="1">
      <c r="A228" s="30" t="s">
        <v>1595</v>
      </c>
      <c r="B228" s="30" t="s">
        <v>2095</v>
      </c>
      <c r="C228" s="30" t="s">
        <v>2376</v>
      </c>
      <c r="D228" s="30" t="str">
        <f t="shared" si="6"/>
        <v>Food</v>
      </c>
      <c r="E228" s="31">
        <v>223.48</v>
      </c>
      <c r="F228" s="31">
        <v>31</v>
      </c>
      <c r="G228" s="31">
        <f t="shared" si="7"/>
        <v>31</v>
      </c>
      <c r="H228" s="30" t="s">
        <v>2384</v>
      </c>
    </row>
    <row r="229" spans="1:8" ht="15" thickBot="1">
      <c r="A229" s="30" t="s">
        <v>1596</v>
      </c>
      <c r="B229" s="30" t="s">
        <v>2096</v>
      </c>
      <c r="C229" s="30" t="s">
        <v>2374</v>
      </c>
      <c r="D229" s="30" t="str">
        <f t="shared" si="6"/>
        <v>Stationery</v>
      </c>
      <c r="E229" s="31">
        <v>780.48</v>
      </c>
      <c r="F229" s="31">
        <v>57</v>
      </c>
      <c r="G229" s="31">
        <f t="shared" si="7"/>
        <v>57</v>
      </c>
      <c r="H229" s="32" t="s">
        <v>2385</v>
      </c>
    </row>
    <row r="230" spans="1:8" ht="15" thickBot="1">
      <c r="A230" s="30" t="s">
        <v>1597</v>
      </c>
      <c r="B230" s="30" t="s">
        <v>2097</v>
      </c>
      <c r="C230" s="30" t="s">
        <v>2376</v>
      </c>
      <c r="D230" s="30" t="str">
        <f t="shared" si="6"/>
        <v>Food</v>
      </c>
      <c r="E230" s="31">
        <v>353.1</v>
      </c>
      <c r="F230" s="31">
        <v>84</v>
      </c>
      <c r="G230" s="31">
        <f t="shared" si="7"/>
        <v>84</v>
      </c>
      <c r="H230" s="30" t="s">
        <v>2386</v>
      </c>
    </row>
    <row r="231" spans="1:8" ht="15" thickBot="1">
      <c r="A231" s="30" t="s">
        <v>1598</v>
      </c>
      <c r="B231" s="30" t="s">
        <v>2098</v>
      </c>
      <c r="C231" s="30" t="s">
        <v>2374</v>
      </c>
      <c r="D231" s="30" t="str">
        <f t="shared" si="6"/>
        <v>Stationery</v>
      </c>
      <c r="E231" s="31">
        <v>919.1</v>
      </c>
      <c r="F231" s="31">
        <v>62</v>
      </c>
      <c r="G231" s="31">
        <f t="shared" si="7"/>
        <v>62</v>
      </c>
      <c r="H231" s="30" t="s">
        <v>2387</v>
      </c>
    </row>
    <row r="232" spans="1:8" ht="15" thickBot="1">
      <c r="A232" s="30" t="s">
        <v>1599</v>
      </c>
      <c r="B232" s="30" t="s">
        <v>2099</v>
      </c>
      <c r="C232" s="30" t="s">
        <v>2372</v>
      </c>
      <c r="D232" s="30" t="str">
        <f t="shared" si="6"/>
        <v>Clothing</v>
      </c>
      <c r="E232" s="31">
        <v>411.71</v>
      </c>
      <c r="F232" s="31">
        <v>97</v>
      </c>
      <c r="G232" s="31">
        <f t="shared" si="7"/>
        <v>97</v>
      </c>
      <c r="H232" s="30" t="s">
        <v>2378</v>
      </c>
    </row>
    <row r="233" spans="1:8" ht="15" thickBot="1">
      <c r="A233" s="30" t="s">
        <v>1600</v>
      </c>
      <c r="B233" s="30" t="s">
        <v>2100</v>
      </c>
      <c r="C233" s="30" t="s">
        <v>2376</v>
      </c>
      <c r="D233" s="30" t="str">
        <f t="shared" si="6"/>
        <v>Food</v>
      </c>
      <c r="E233" s="31">
        <v>933.06</v>
      </c>
      <c r="F233" s="31">
        <v>81</v>
      </c>
      <c r="G233" s="31">
        <f t="shared" si="7"/>
        <v>81</v>
      </c>
      <c r="H233" s="30" t="s">
        <v>2379</v>
      </c>
    </row>
    <row r="234" spans="1:8" ht="15" thickBot="1">
      <c r="A234" s="30" t="s">
        <v>1601</v>
      </c>
      <c r="B234" s="30" t="s">
        <v>2101</v>
      </c>
      <c r="C234" s="30" t="s">
        <v>2374</v>
      </c>
      <c r="D234" s="30" t="str">
        <f t="shared" si="6"/>
        <v>Stationery</v>
      </c>
      <c r="E234" s="31">
        <v>126.73</v>
      </c>
      <c r="F234" s="31">
        <v>18</v>
      </c>
      <c r="G234" s="31">
        <f t="shared" si="7"/>
        <v>18</v>
      </c>
      <c r="H234" s="30" t="s">
        <v>2380</v>
      </c>
    </row>
    <row r="235" spans="1:8" ht="15" thickBot="1">
      <c r="A235" s="30" t="s">
        <v>1602</v>
      </c>
      <c r="B235" s="30" t="s">
        <v>2102</v>
      </c>
      <c r="C235" s="30" t="s">
        <v>2372</v>
      </c>
      <c r="D235" s="30" t="str">
        <f t="shared" si="6"/>
        <v>Clothing</v>
      </c>
      <c r="E235" s="31">
        <v>321.52999999999997</v>
      </c>
      <c r="F235" s="31">
        <v>38</v>
      </c>
      <c r="G235" s="31">
        <f t="shared" si="7"/>
        <v>38</v>
      </c>
      <c r="H235" s="30" t="s">
        <v>2381</v>
      </c>
    </row>
    <row r="236" spans="1:8" ht="15" thickBot="1">
      <c r="A236" s="30" t="s">
        <v>1603</v>
      </c>
      <c r="B236" s="30" t="s">
        <v>2103</v>
      </c>
      <c r="C236" s="30" t="s">
        <v>2376</v>
      </c>
      <c r="D236" s="30" t="str">
        <f t="shared" si="6"/>
        <v>Food</v>
      </c>
      <c r="E236" s="31">
        <v>609.57000000000005</v>
      </c>
      <c r="F236" s="31">
        <v>52</v>
      </c>
      <c r="G236" s="31">
        <f t="shared" si="7"/>
        <v>52</v>
      </c>
      <c r="H236" s="30" t="s">
        <v>2382</v>
      </c>
    </row>
    <row r="237" spans="1:8" ht="15" thickBot="1">
      <c r="A237" s="30" t="s">
        <v>1604</v>
      </c>
      <c r="B237" s="30" t="s">
        <v>2104</v>
      </c>
      <c r="C237" s="30" t="s">
        <v>2372</v>
      </c>
      <c r="D237" s="30" t="str">
        <f t="shared" si="6"/>
        <v>Clothing</v>
      </c>
      <c r="E237" s="31">
        <v>656.77</v>
      </c>
      <c r="F237" s="31">
        <v>5</v>
      </c>
      <c r="G237" s="31">
        <f t="shared" si="7"/>
        <v>5</v>
      </c>
      <c r="H237" s="30" t="s">
        <v>2383</v>
      </c>
    </row>
    <row r="238" spans="1:8" ht="15" thickBot="1">
      <c r="A238" s="30" t="s">
        <v>1605</v>
      </c>
      <c r="B238" s="30" t="s">
        <v>2105</v>
      </c>
      <c r="C238" s="30" t="s">
        <v>2373</v>
      </c>
      <c r="D238" s="30" t="str">
        <f t="shared" si="6"/>
        <v>Furniture</v>
      </c>
      <c r="E238" s="31">
        <v>560.67999999999995</v>
      </c>
      <c r="F238" s="31">
        <v>38</v>
      </c>
      <c r="G238" s="31">
        <f t="shared" si="7"/>
        <v>38</v>
      </c>
      <c r="H238" s="30" t="s">
        <v>2384</v>
      </c>
    </row>
    <row r="239" spans="1:8" ht="15" thickBot="1">
      <c r="A239" s="30" t="s">
        <v>1606</v>
      </c>
      <c r="B239" s="30" t="s">
        <v>2106</v>
      </c>
      <c r="C239" s="30" t="s">
        <v>2376</v>
      </c>
      <c r="D239" s="30" t="str">
        <f t="shared" si="6"/>
        <v>Food</v>
      </c>
      <c r="E239" s="31">
        <v>453.13</v>
      </c>
      <c r="F239" s="31">
        <v>96</v>
      </c>
      <c r="G239" s="31">
        <f t="shared" si="7"/>
        <v>96</v>
      </c>
      <c r="H239" s="32" t="s">
        <v>2385</v>
      </c>
    </row>
    <row r="240" spans="1:8" ht="15" thickBot="1">
      <c r="A240" s="30" t="s">
        <v>1607</v>
      </c>
      <c r="B240" s="30" t="s">
        <v>2107</v>
      </c>
      <c r="C240" s="30" t="s">
        <v>2370</v>
      </c>
      <c r="D240" s="30" t="str">
        <f t="shared" si="6"/>
        <v>Electronics</v>
      </c>
      <c r="E240" s="31">
        <v>485.92</v>
      </c>
      <c r="F240" s="31">
        <v>49</v>
      </c>
      <c r="G240" s="31">
        <f t="shared" si="7"/>
        <v>49</v>
      </c>
      <c r="H240" s="30" t="s">
        <v>2386</v>
      </c>
    </row>
    <row r="241" spans="1:8" ht="15" thickBot="1">
      <c r="A241" s="30" t="s">
        <v>1608</v>
      </c>
      <c r="B241" s="30" t="s">
        <v>2108</v>
      </c>
      <c r="C241" s="30" t="s">
        <v>2374</v>
      </c>
      <c r="D241" s="30" t="str">
        <f t="shared" si="6"/>
        <v>Stationery</v>
      </c>
      <c r="E241" s="31">
        <v>187.02</v>
      </c>
      <c r="F241" s="31">
        <v>88</v>
      </c>
      <c r="G241" s="31">
        <f t="shared" si="7"/>
        <v>88</v>
      </c>
      <c r="H241" s="30" t="s">
        <v>2387</v>
      </c>
    </row>
    <row r="242" spans="1:8" ht="15" thickBot="1">
      <c r="A242" s="30" t="s">
        <v>1609</v>
      </c>
      <c r="B242" s="30" t="s">
        <v>2109</v>
      </c>
      <c r="C242" s="30" t="s">
        <v>2374</v>
      </c>
      <c r="D242" s="30" t="str">
        <f t="shared" si="6"/>
        <v>Stationery</v>
      </c>
      <c r="E242" s="31">
        <v>946.65</v>
      </c>
      <c r="F242" s="31">
        <v>40</v>
      </c>
      <c r="G242" s="31">
        <f t="shared" si="7"/>
        <v>40</v>
      </c>
      <c r="H242" s="30" t="s">
        <v>2378</v>
      </c>
    </row>
    <row r="243" spans="1:8" ht="15" thickBot="1">
      <c r="A243" s="30" t="s">
        <v>1610</v>
      </c>
      <c r="B243" s="30" t="s">
        <v>2110</v>
      </c>
      <c r="C243" s="30" t="s">
        <v>2370</v>
      </c>
      <c r="D243" s="30" t="str">
        <f t="shared" si="6"/>
        <v>Electronics</v>
      </c>
      <c r="E243" s="31">
        <v>915.71</v>
      </c>
      <c r="F243" s="31">
        <v>75</v>
      </c>
      <c r="G243" s="31">
        <f t="shared" si="7"/>
        <v>75</v>
      </c>
      <c r="H243" s="30" t="s">
        <v>2379</v>
      </c>
    </row>
    <row r="244" spans="1:8" ht="15" thickBot="1">
      <c r="A244" s="30" t="s">
        <v>1611</v>
      </c>
      <c r="B244" s="30" t="s">
        <v>2111</v>
      </c>
      <c r="C244" s="30" t="s">
        <v>2370</v>
      </c>
      <c r="D244" s="30" t="str">
        <f t="shared" si="6"/>
        <v>Electronics</v>
      </c>
      <c r="E244" s="31">
        <v>232.59</v>
      </c>
      <c r="F244" s="31">
        <v>6</v>
      </c>
      <c r="G244" s="31">
        <f t="shared" si="7"/>
        <v>6</v>
      </c>
      <c r="H244" s="30" t="s">
        <v>2380</v>
      </c>
    </row>
    <row r="245" spans="1:8" ht="15" thickBot="1">
      <c r="A245" s="30" t="s">
        <v>1612</v>
      </c>
      <c r="B245" s="30" t="s">
        <v>2112</v>
      </c>
      <c r="C245" s="30" t="s">
        <v>2373</v>
      </c>
      <c r="D245" s="30" t="str">
        <f t="shared" si="6"/>
        <v>Furniture</v>
      </c>
      <c r="E245" s="31">
        <v>164.48</v>
      </c>
      <c r="F245" s="31">
        <v>90</v>
      </c>
      <c r="G245" s="31">
        <f t="shared" si="7"/>
        <v>90</v>
      </c>
      <c r="H245" s="30" t="s">
        <v>2381</v>
      </c>
    </row>
    <row r="246" spans="1:8" ht="15" thickBot="1">
      <c r="A246" s="30" t="s">
        <v>1613</v>
      </c>
      <c r="B246" s="30" t="s">
        <v>2113</v>
      </c>
      <c r="C246" s="30" t="s">
        <v>2370</v>
      </c>
      <c r="D246" s="30" t="str">
        <f t="shared" si="6"/>
        <v>Electronics</v>
      </c>
      <c r="E246" s="31">
        <v>124.29</v>
      </c>
      <c r="F246" s="31">
        <v>37</v>
      </c>
      <c r="G246" s="31">
        <f t="shared" si="7"/>
        <v>37</v>
      </c>
      <c r="H246" s="30" t="s">
        <v>2382</v>
      </c>
    </row>
    <row r="247" spans="1:8" ht="15" thickBot="1">
      <c r="A247" s="30" t="s">
        <v>1614</v>
      </c>
      <c r="B247" s="30" t="s">
        <v>2114</v>
      </c>
      <c r="C247" s="30" t="s">
        <v>2376</v>
      </c>
      <c r="D247" s="30" t="str">
        <f t="shared" si="6"/>
        <v>Food</v>
      </c>
      <c r="E247" s="31">
        <v>285.76</v>
      </c>
      <c r="F247" s="31">
        <v>10</v>
      </c>
      <c r="G247" s="31">
        <f t="shared" si="7"/>
        <v>10</v>
      </c>
      <c r="H247" s="30" t="s">
        <v>2383</v>
      </c>
    </row>
    <row r="248" spans="1:8" ht="15" thickBot="1">
      <c r="A248" s="30" t="s">
        <v>1615</v>
      </c>
      <c r="B248" s="30" t="s">
        <v>2115</v>
      </c>
      <c r="C248" s="30" t="s">
        <v>2370</v>
      </c>
      <c r="D248" s="30" t="str">
        <f t="shared" si="6"/>
        <v>Electronics</v>
      </c>
      <c r="E248" s="31">
        <v>677.85</v>
      </c>
      <c r="F248" s="31">
        <v>43</v>
      </c>
      <c r="G248" s="31">
        <f t="shared" si="7"/>
        <v>43</v>
      </c>
      <c r="H248" s="30" t="s">
        <v>2384</v>
      </c>
    </row>
    <row r="249" spans="1:8" ht="15" thickBot="1">
      <c r="A249" s="30" t="s">
        <v>1616</v>
      </c>
      <c r="B249" s="30" t="s">
        <v>2116</v>
      </c>
      <c r="C249" s="30" t="s">
        <v>2370</v>
      </c>
      <c r="D249" s="30" t="str">
        <f t="shared" si="6"/>
        <v>Electronics</v>
      </c>
      <c r="E249" s="31">
        <v>555.08000000000004</v>
      </c>
      <c r="F249" s="31">
        <v>93</v>
      </c>
      <c r="G249" s="31">
        <f t="shared" si="7"/>
        <v>93</v>
      </c>
      <c r="H249" s="32" t="s">
        <v>2385</v>
      </c>
    </row>
    <row r="250" spans="1:8" ht="15" thickBot="1">
      <c r="A250" s="30" t="s">
        <v>1617</v>
      </c>
      <c r="B250" s="30" t="s">
        <v>2117</v>
      </c>
      <c r="C250" s="30" t="s">
        <v>2370</v>
      </c>
      <c r="D250" s="30" t="str">
        <f t="shared" si="6"/>
        <v>Electronics</v>
      </c>
      <c r="E250" s="31">
        <v>665.57</v>
      </c>
      <c r="F250" s="31">
        <v>76</v>
      </c>
      <c r="G250" s="31">
        <f t="shared" si="7"/>
        <v>76</v>
      </c>
      <c r="H250" s="30" t="s">
        <v>2386</v>
      </c>
    </row>
    <row r="251" spans="1:8" ht="15" thickBot="1">
      <c r="A251" s="30" t="s">
        <v>1618</v>
      </c>
      <c r="B251" s="30" t="s">
        <v>2118</v>
      </c>
      <c r="C251" s="30" t="s">
        <v>2374</v>
      </c>
      <c r="D251" s="30" t="str">
        <f t="shared" si="6"/>
        <v>Stationery</v>
      </c>
      <c r="E251" s="31">
        <v>946.31</v>
      </c>
      <c r="F251" s="31">
        <v>29</v>
      </c>
      <c r="G251" s="31">
        <f t="shared" si="7"/>
        <v>29</v>
      </c>
      <c r="H251" s="30" t="s">
        <v>2387</v>
      </c>
    </row>
    <row r="252" spans="1:8" ht="15" thickBot="1">
      <c r="A252" s="30" t="s">
        <v>1619</v>
      </c>
      <c r="B252" s="30" t="s">
        <v>2119</v>
      </c>
      <c r="C252" s="30" t="s">
        <v>2373</v>
      </c>
      <c r="D252" s="30" t="str">
        <f t="shared" si="6"/>
        <v>Furniture</v>
      </c>
      <c r="E252" s="31">
        <v>381.53</v>
      </c>
      <c r="F252" s="31">
        <v>-8</v>
      </c>
      <c r="G252" s="31">
        <f t="shared" si="7"/>
        <v>0</v>
      </c>
      <c r="H252" s="30" t="s">
        <v>2378</v>
      </c>
    </row>
    <row r="253" spans="1:8" ht="15" thickBot="1">
      <c r="A253" s="30" t="s">
        <v>1620</v>
      </c>
      <c r="B253" s="30" t="s">
        <v>2120</v>
      </c>
      <c r="C253" s="30" t="s">
        <v>2373</v>
      </c>
      <c r="D253" s="30" t="str">
        <f t="shared" si="6"/>
        <v>Furniture</v>
      </c>
      <c r="E253" s="31">
        <v>993.37</v>
      </c>
      <c r="F253" s="31">
        <v>-4</v>
      </c>
      <c r="G253" s="31">
        <f t="shared" si="7"/>
        <v>0</v>
      </c>
      <c r="H253" s="30" t="s">
        <v>2379</v>
      </c>
    </row>
    <row r="254" spans="1:8" ht="15" thickBot="1">
      <c r="A254" s="30" t="s">
        <v>1621</v>
      </c>
      <c r="B254" s="30" t="s">
        <v>2121</v>
      </c>
      <c r="C254" s="30" t="s">
        <v>2370</v>
      </c>
      <c r="D254" s="30" t="str">
        <f t="shared" si="6"/>
        <v>Electronics</v>
      </c>
      <c r="E254" s="31">
        <v>503.74</v>
      </c>
      <c r="F254" s="31">
        <v>36</v>
      </c>
      <c r="G254" s="31">
        <f t="shared" si="7"/>
        <v>36</v>
      </c>
      <c r="H254" s="30" t="s">
        <v>2380</v>
      </c>
    </row>
    <row r="255" spans="1:8" ht="15" thickBot="1">
      <c r="A255" s="30" t="s">
        <v>1622</v>
      </c>
      <c r="B255" s="30" t="s">
        <v>2122</v>
      </c>
      <c r="C255" s="30" t="s">
        <v>2370</v>
      </c>
      <c r="D255" s="30" t="str">
        <f t="shared" si="6"/>
        <v>Electronics</v>
      </c>
      <c r="E255" s="31">
        <v>379.61</v>
      </c>
      <c r="F255" s="31">
        <v>-1</v>
      </c>
      <c r="G255" s="31">
        <f t="shared" si="7"/>
        <v>0</v>
      </c>
      <c r="H255" s="30" t="s">
        <v>2381</v>
      </c>
    </row>
    <row r="256" spans="1:8" ht="15" thickBot="1">
      <c r="A256" s="30" t="s">
        <v>1623</v>
      </c>
      <c r="B256" s="30" t="s">
        <v>2123</v>
      </c>
      <c r="C256" s="30" t="s">
        <v>2372</v>
      </c>
      <c r="D256" s="30" t="str">
        <f t="shared" si="6"/>
        <v>Clothing</v>
      </c>
      <c r="E256" s="31">
        <v>714.28</v>
      </c>
      <c r="F256" s="31">
        <v>2</v>
      </c>
      <c r="G256" s="31">
        <f t="shared" si="7"/>
        <v>2</v>
      </c>
      <c r="H256" s="30" t="s">
        <v>2382</v>
      </c>
    </row>
    <row r="257" spans="1:8" ht="15" thickBot="1">
      <c r="A257" s="30" t="s">
        <v>1624</v>
      </c>
      <c r="B257" s="30" t="s">
        <v>2124</v>
      </c>
      <c r="C257" s="30" t="s">
        <v>2370</v>
      </c>
      <c r="D257" s="30" t="str">
        <f t="shared" si="6"/>
        <v>Electronics</v>
      </c>
      <c r="E257" s="31">
        <v>658.58</v>
      </c>
      <c r="F257" s="31">
        <v>46</v>
      </c>
      <c r="G257" s="31">
        <f t="shared" si="7"/>
        <v>46</v>
      </c>
      <c r="H257" s="30" t="s">
        <v>2383</v>
      </c>
    </row>
    <row r="258" spans="1:8" ht="15" thickBot="1">
      <c r="A258" s="30" t="s">
        <v>1625</v>
      </c>
      <c r="B258" s="30" t="s">
        <v>2125</v>
      </c>
      <c r="C258" s="30" t="s">
        <v>2372</v>
      </c>
      <c r="D258" s="30" t="str">
        <f t="shared" si="6"/>
        <v>Clothing</v>
      </c>
      <c r="E258" s="31">
        <v>515.22</v>
      </c>
      <c r="F258" s="31">
        <v>34</v>
      </c>
      <c r="G258" s="31">
        <f t="shared" si="7"/>
        <v>34</v>
      </c>
      <c r="H258" s="30" t="s">
        <v>2384</v>
      </c>
    </row>
    <row r="259" spans="1:8" ht="15" thickBot="1">
      <c r="A259" s="30" t="s">
        <v>1626</v>
      </c>
      <c r="B259" s="30" t="s">
        <v>2126</v>
      </c>
      <c r="C259" s="30" t="s">
        <v>2372</v>
      </c>
      <c r="D259" s="30" t="str">
        <f t="shared" ref="D259:D322" si="8">PROPER(C259)</f>
        <v>Clothing</v>
      </c>
      <c r="E259" s="31">
        <v>203.71</v>
      </c>
      <c r="F259" s="31">
        <v>62</v>
      </c>
      <c r="G259" s="31">
        <f t="shared" ref="G259:G322" si="9">IF(F259&lt;0,0,F259)</f>
        <v>62</v>
      </c>
      <c r="H259" s="32" t="s">
        <v>2385</v>
      </c>
    </row>
    <row r="260" spans="1:8" ht="15" thickBot="1">
      <c r="A260" s="30" t="s">
        <v>1627</v>
      </c>
      <c r="B260" s="30" t="s">
        <v>2127</v>
      </c>
      <c r="C260" s="30" t="s">
        <v>2372</v>
      </c>
      <c r="D260" s="30" t="str">
        <f t="shared" si="8"/>
        <v>Clothing</v>
      </c>
      <c r="E260" s="31">
        <v>628.94000000000005</v>
      </c>
      <c r="F260" s="31">
        <v>64</v>
      </c>
      <c r="G260" s="31">
        <f t="shared" si="9"/>
        <v>64</v>
      </c>
      <c r="H260" s="30" t="s">
        <v>2386</v>
      </c>
    </row>
    <row r="261" spans="1:8" ht="15" thickBot="1">
      <c r="A261" s="30" t="s">
        <v>1628</v>
      </c>
      <c r="B261" s="30" t="s">
        <v>2128</v>
      </c>
      <c r="C261" s="30" t="s">
        <v>2376</v>
      </c>
      <c r="D261" s="30" t="str">
        <f t="shared" si="8"/>
        <v>Food</v>
      </c>
      <c r="E261" s="31">
        <v>388.72</v>
      </c>
      <c r="F261" s="31">
        <v>95</v>
      </c>
      <c r="G261" s="31">
        <f t="shared" si="9"/>
        <v>95</v>
      </c>
      <c r="H261" s="30" t="s">
        <v>2387</v>
      </c>
    </row>
    <row r="262" spans="1:8" ht="15" thickBot="1">
      <c r="A262" s="30" t="s">
        <v>1629</v>
      </c>
      <c r="B262" s="30" t="s">
        <v>2129</v>
      </c>
      <c r="C262" s="30" t="s">
        <v>2373</v>
      </c>
      <c r="D262" s="30" t="str">
        <f t="shared" si="8"/>
        <v>Furniture</v>
      </c>
      <c r="E262" s="31">
        <v>114.38</v>
      </c>
      <c r="F262" s="31">
        <v>89</v>
      </c>
      <c r="G262" s="31">
        <f t="shared" si="9"/>
        <v>89</v>
      </c>
      <c r="H262" s="30" t="s">
        <v>2378</v>
      </c>
    </row>
    <row r="263" spans="1:8" ht="15" thickBot="1">
      <c r="A263" s="30" t="s">
        <v>1630</v>
      </c>
      <c r="B263" s="30" t="s">
        <v>2130</v>
      </c>
      <c r="C263" s="30" t="s">
        <v>2372</v>
      </c>
      <c r="D263" s="30" t="str">
        <f t="shared" si="8"/>
        <v>Clothing</v>
      </c>
      <c r="E263" s="31">
        <v>963.67</v>
      </c>
      <c r="F263" s="31">
        <v>67</v>
      </c>
      <c r="G263" s="31">
        <f t="shared" si="9"/>
        <v>67</v>
      </c>
      <c r="H263" s="30" t="s">
        <v>2379</v>
      </c>
    </row>
    <row r="264" spans="1:8" ht="15" thickBot="1">
      <c r="A264" s="30" t="s">
        <v>1631</v>
      </c>
      <c r="B264" s="30" t="s">
        <v>2131</v>
      </c>
      <c r="C264" s="30" t="s">
        <v>2373</v>
      </c>
      <c r="D264" s="30" t="str">
        <f t="shared" si="8"/>
        <v>Furniture</v>
      </c>
      <c r="E264" s="31">
        <v>119.73</v>
      </c>
      <c r="F264" s="31">
        <v>33</v>
      </c>
      <c r="G264" s="31">
        <f t="shared" si="9"/>
        <v>33</v>
      </c>
      <c r="H264" s="30" t="s">
        <v>2380</v>
      </c>
    </row>
    <row r="265" spans="1:8" ht="15" thickBot="1">
      <c r="A265" s="30" t="s">
        <v>1632</v>
      </c>
      <c r="B265" s="30" t="s">
        <v>2132</v>
      </c>
      <c r="C265" s="30" t="s">
        <v>2374</v>
      </c>
      <c r="D265" s="30" t="str">
        <f t="shared" si="8"/>
        <v>Stationery</v>
      </c>
      <c r="E265" s="31">
        <v>360.15</v>
      </c>
      <c r="F265" s="31">
        <v>47</v>
      </c>
      <c r="G265" s="31">
        <f t="shared" si="9"/>
        <v>47</v>
      </c>
      <c r="H265" s="30" t="s">
        <v>2381</v>
      </c>
    </row>
    <row r="266" spans="1:8" ht="15" thickBot="1">
      <c r="A266" s="30" t="s">
        <v>1633</v>
      </c>
      <c r="B266" s="30" t="s">
        <v>2133</v>
      </c>
      <c r="C266" s="30" t="s">
        <v>2372</v>
      </c>
      <c r="D266" s="30" t="str">
        <f t="shared" si="8"/>
        <v>Clothing</v>
      </c>
      <c r="E266" s="31">
        <v>976.24</v>
      </c>
      <c r="F266" s="31">
        <v>55</v>
      </c>
      <c r="G266" s="31">
        <f t="shared" si="9"/>
        <v>55</v>
      </c>
      <c r="H266" s="30" t="s">
        <v>2382</v>
      </c>
    </row>
    <row r="267" spans="1:8" ht="15" thickBot="1">
      <c r="A267" s="30" t="s">
        <v>1634</v>
      </c>
      <c r="B267" s="30" t="s">
        <v>2134</v>
      </c>
      <c r="C267" s="30" t="s">
        <v>2376</v>
      </c>
      <c r="D267" s="30" t="str">
        <f t="shared" si="8"/>
        <v>Food</v>
      </c>
      <c r="E267" s="31">
        <v>797.81</v>
      </c>
      <c r="F267" s="31">
        <v>85</v>
      </c>
      <c r="G267" s="31">
        <f t="shared" si="9"/>
        <v>85</v>
      </c>
      <c r="H267" s="30" t="s">
        <v>2383</v>
      </c>
    </row>
    <row r="268" spans="1:8" ht="15" thickBot="1">
      <c r="A268" s="30" t="s">
        <v>1635</v>
      </c>
      <c r="B268" s="30" t="s">
        <v>2135</v>
      </c>
      <c r="C268" s="30" t="s">
        <v>2374</v>
      </c>
      <c r="D268" s="30" t="str">
        <f t="shared" si="8"/>
        <v>Stationery</v>
      </c>
      <c r="E268" s="31">
        <v>210.18</v>
      </c>
      <c r="F268" s="31">
        <v>82</v>
      </c>
      <c r="G268" s="31">
        <f t="shared" si="9"/>
        <v>82</v>
      </c>
      <c r="H268" s="30" t="s">
        <v>2384</v>
      </c>
    </row>
    <row r="269" spans="1:8" ht="15" thickBot="1">
      <c r="A269" s="30" t="s">
        <v>1636</v>
      </c>
      <c r="B269" s="30" t="s">
        <v>2136</v>
      </c>
      <c r="C269" s="30" t="s">
        <v>2376</v>
      </c>
      <c r="D269" s="30" t="str">
        <f t="shared" si="8"/>
        <v>Food</v>
      </c>
      <c r="E269" s="31">
        <v>449.69</v>
      </c>
      <c r="F269" s="31">
        <v>4</v>
      </c>
      <c r="G269" s="31">
        <f t="shared" si="9"/>
        <v>4</v>
      </c>
      <c r="H269" s="32" t="s">
        <v>2385</v>
      </c>
    </row>
    <row r="270" spans="1:8" ht="15" thickBot="1">
      <c r="A270" s="30" t="s">
        <v>1637</v>
      </c>
      <c r="B270" s="30" t="s">
        <v>2137</v>
      </c>
      <c r="C270" s="30" t="s">
        <v>2373</v>
      </c>
      <c r="D270" s="30" t="str">
        <f t="shared" si="8"/>
        <v>Furniture</v>
      </c>
      <c r="E270" s="31">
        <v>256.45</v>
      </c>
      <c r="F270" s="31">
        <v>69</v>
      </c>
      <c r="G270" s="31">
        <f t="shared" si="9"/>
        <v>69</v>
      </c>
      <c r="H270" s="30" t="s">
        <v>2386</v>
      </c>
    </row>
    <row r="271" spans="1:8" ht="15" thickBot="1">
      <c r="A271" s="30" t="s">
        <v>1638</v>
      </c>
      <c r="B271" s="30" t="s">
        <v>2138</v>
      </c>
      <c r="C271" s="30" t="s">
        <v>2373</v>
      </c>
      <c r="D271" s="30" t="str">
        <f t="shared" si="8"/>
        <v>Furniture</v>
      </c>
      <c r="E271" s="31">
        <v>187.52</v>
      </c>
      <c r="F271" s="31">
        <v>71</v>
      </c>
      <c r="G271" s="31">
        <f t="shared" si="9"/>
        <v>71</v>
      </c>
      <c r="H271" s="30" t="s">
        <v>2387</v>
      </c>
    </row>
    <row r="272" spans="1:8" ht="15" thickBot="1">
      <c r="A272" s="30" t="s">
        <v>1639</v>
      </c>
      <c r="B272" s="30" t="s">
        <v>2139</v>
      </c>
      <c r="C272" s="30" t="s">
        <v>2374</v>
      </c>
      <c r="D272" s="30" t="str">
        <f t="shared" si="8"/>
        <v>Stationery</v>
      </c>
      <c r="E272" s="31">
        <v>124.46</v>
      </c>
      <c r="F272" s="31">
        <v>25</v>
      </c>
      <c r="G272" s="31">
        <f t="shared" si="9"/>
        <v>25</v>
      </c>
      <c r="H272" s="30" t="s">
        <v>2378</v>
      </c>
    </row>
    <row r="273" spans="1:8" ht="15" thickBot="1">
      <c r="A273" s="30" t="s">
        <v>1640</v>
      </c>
      <c r="B273" s="30" t="s">
        <v>2140</v>
      </c>
      <c r="C273" s="30" t="s">
        <v>2373</v>
      </c>
      <c r="D273" s="30" t="str">
        <f t="shared" si="8"/>
        <v>Furniture</v>
      </c>
      <c r="E273" s="31">
        <v>312.91000000000003</v>
      </c>
      <c r="F273" s="31">
        <v>47</v>
      </c>
      <c r="G273" s="31">
        <f t="shared" si="9"/>
        <v>47</v>
      </c>
      <c r="H273" s="30" t="s">
        <v>2379</v>
      </c>
    </row>
    <row r="274" spans="1:8" ht="15" thickBot="1">
      <c r="A274" s="30" t="s">
        <v>1641</v>
      </c>
      <c r="B274" s="30" t="s">
        <v>2141</v>
      </c>
      <c r="C274" s="30" t="s">
        <v>2370</v>
      </c>
      <c r="D274" s="30" t="str">
        <f t="shared" si="8"/>
        <v>Electronics</v>
      </c>
      <c r="E274" s="31">
        <v>989.84</v>
      </c>
      <c r="F274" s="31">
        <v>-6</v>
      </c>
      <c r="G274" s="31">
        <f t="shared" si="9"/>
        <v>0</v>
      </c>
      <c r="H274" s="30" t="s">
        <v>2380</v>
      </c>
    </row>
    <row r="275" spans="1:8" ht="15" thickBot="1">
      <c r="A275" s="30" t="s">
        <v>1642</v>
      </c>
      <c r="B275" s="30" t="s">
        <v>2142</v>
      </c>
      <c r="C275" s="30" t="s">
        <v>2370</v>
      </c>
      <c r="D275" s="30" t="str">
        <f t="shared" si="8"/>
        <v>Electronics</v>
      </c>
      <c r="E275" s="31">
        <v>417.69</v>
      </c>
      <c r="F275" s="31">
        <v>54</v>
      </c>
      <c r="G275" s="31">
        <f t="shared" si="9"/>
        <v>54</v>
      </c>
      <c r="H275" s="30" t="s">
        <v>2381</v>
      </c>
    </row>
    <row r="276" spans="1:8" ht="15" thickBot="1">
      <c r="A276" s="30" t="s">
        <v>1643</v>
      </c>
      <c r="B276" s="30" t="s">
        <v>2143</v>
      </c>
      <c r="C276" s="30" t="s">
        <v>2376</v>
      </c>
      <c r="D276" s="30" t="str">
        <f t="shared" si="8"/>
        <v>Food</v>
      </c>
      <c r="E276" s="31">
        <v>610.87</v>
      </c>
      <c r="F276" s="31">
        <v>32</v>
      </c>
      <c r="G276" s="31">
        <f t="shared" si="9"/>
        <v>32</v>
      </c>
      <c r="H276" s="30" t="s">
        <v>2382</v>
      </c>
    </row>
    <row r="277" spans="1:8" ht="15" thickBot="1">
      <c r="A277" s="30" t="s">
        <v>1644</v>
      </c>
      <c r="B277" s="30" t="s">
        <v>2144</v>
      </c>
      <c r="C277" s="30" t="s">
        <v>2374</v>
      </c>
      <c r="D277" s="30" t="str">
        <f t="shared" si="8"/>
        <v>Stationery</v>
      </c>
      <c r="E277" s="31">
        <v>719.3</v>
      </c>
      <c r="F277" s="31">
        <v>68</v>
      </c>
      <c r="G277" s="31">
        <f t="shared" si="9"/>
        <v>68</v>
      </c>
      <c r="H277" s="30" t="s">
        <v>2383</v>
      </c>
    </row>
    <row r="278" spans="1:8" ht="15" thickBot="1">
      <c r="A278" s="30" t="s">
        <v>1645</v>
      </c>
      <c r="B278" s="30" t="s">
        <v>2145</v>
      </c>
      <c r="C278" s="30" t="s">
        <v>2372</v>
      </c>
      <c r="D278" s="30" t="str">
        <f t="shared" si="8"/>
        <v>Clothing</v>
      </c>
      <c r="E278" s="31">
        <v>554.79</v>
      </c>
      <c r="F278" s="31">
        <v>76</v>
      </c>
      <c r="G278" s="31">
        <f t="shared" si="9"/>
        <v>76</v>
      </c>
      <c r="H278" s="30" t="s">
        <v>2384</v>
      </c>
    </row>
    <row r="279" spans="1:8" ht="15" thickBot="1">
      <c r="A279" s="30" t="s">
        <v>1646</v>
      </c>
      <c r="B279" s="30" t="s">
        <v>2146</v>
      </c>
      <c r="C279" s="30" t="s">
        <v>2373</v>
      </c>
      <c r="D279" s="30" t="str">
        <f t="shared" si="8"/>
        <v>Furniture</v>
      </c>
      <c r="E279" s="31">
        <v>865.73</v>
      </c>
      <c r="F279" s="31">
        <v>48</v>
      </c>
      <c r="G279" s="31">
        <f t="shared" si="9"/>
        <v>48</v>
      </c>
      <c r="H279" s="32" t="s">
        <v>2385</v>
      </c>
    </row>
    <row r="280" spans="1:8" ht="15" thickBot="1">
      <c r="A280" s="30" t="s">
        <v>1647</v>
      </c>
      <c r="B280" s="30" t="s">
        <v>2147</v>
      </c>
      <c r="C280" s="30" t="s">
        <v>2374</v>
      </c>
      <c r="D280" s="30" t="str">
        <f t="shared" si="8"/>
        <v>Stationery</v>
      </c>
      <c r="E280" s="31">
        <v>95.29</v>
      </c>
      <c r="F280" s="31">
        <v>97</v>
      </c>
      <c r="G280" s="31">
        <f t="shared" si="9"/>
        <v>97</v>
      </c>
      <c r="H280" s="30" t="s">
        <v>2386</v>
      </c>
    </row>
    <row r="281" spans="1:8" ht="15" thickBot="1">
      <c r="A281" s="30" t="s">
        <v>1648</v>
      </c>
      <c r="B281" s="30" t="s">
        <v>2148</v>
      </c>
      <c r="C281" s="30" t="s">
        <v>2373</v>
      </c>
      <c r="D281" s="30" t="str">
        <f t="shared" si="8"/>
        <v>Furniture</v>
      </c>
      <c r="E281" s="31">
        <v>276.58999999999997</v>
      </c>
      <c r="F281" s="31">
        <v>86</v>
      </c>
      <c r="G281" s="31">
        <f t="shared" si="9"/>
        <v>86</v>
      </c>
      <c r="H281" s="30" t="s">
        <v>2387</v>
      </c>
    </row>
    <row r="282" spans="1:8" ht="15" thickBot="1">
      <c r="A282" s="30" t="s">
        <v>1649</v>
      </c>
      <c r="B282" s="30" t="s">
        <v>2149</v>
      </c>
      <c r="C282" s="30" t="s">
        <v>2372</v>
      </c>
      <c r="D282" s="30" t="str">
        <f t="shared" si="8"/>
        <v>Clothing</v>
      </c>
      <c r="E282" s="31">
        <v>192.63</v>
      </c>
      <c r="F282" s="31">
        <v>-4</v>
      </c>
      <c r="G282" s="31">
        <f t="shared" si="9"/>
        <v>0</v>
      </c>
      <c r="H282" s="30" t="s">
        <v>2378</v>
      </c>
    </row>
    <row r="283" spans="1:8" ht="15" thickBot="1">
      <c r="A283" s="30" t="s">
        <v>1650</v>
      </c>
      <c r="B283" s="30" t="s">
        <v>2150</v>
      </c>
      <c r="C283" s="30" t="s">
        <v>2374</v>
      </c>
      <c r="D283" s="30" t="str">
        <f t="shared" si="8"/>
        <v>Stationery</v>
      </c>
      <c r="E283" s="31">
        <v>966.13</v>
      </c>
      <c r="F283" s="31">
        <v>53</v>
      </c>
      <c r="G283" s="31">
        <f t="shared" si="9"/>
        <v>53</v>
      </c>
      <c r="H283" s="30" t="s">
        <v>2379</v>
      </c>
    </row>
    <row r="284" spans="1:8" ht="15" thickBot="1">
      <c r="A284" s="30" t="s">
        <v>1651</v>
      </c>
      <c r="B284" s="30" t="s">
        <v>2151</v>
      </c>
      <c r="C284" s="30" t="s">
        <v>2372</v>
      </c>
      <c r="D284" s="30" t="str">
        <f t="shared" si="8"/>
        <v>Clothing</v>
      </c>
      <c r="E284" s="31">
        <v>195.15</v>
      </c>
      <c r="F284" s="31">
        <v>45</v>
      </c>
      <c r="G284" s="31">
        <f t="shared" si="9"/>
        <v>45</v>
      </c>
      <c r="H284" s="30" t="s">
        <v>2380</v>
      </c>
    </row>
    <row r="285" spans="1:8" ht="15" thickBot="1">
      <c r="A285" s="30" t="s">
        <v>1652</v>
      </c>
      <c r="B285" s="30" t="s">
        <v>2152</v>
      </c>
      <c r="C285" s="30" t="s">
        <v>2370</v>
      </c>
      <c r="D285" s="30" t="str">
        <f t="shared" si="8"/>
        <v>Electronics</v>
      </c>
      <c r="E285" s="31">
        <v>603.51</v>
      </c>
      <c r="F285" s="31">
        <v>26</v>
      </c>
      <c r="G285" s="31">
        <f t="shared" si="9"/>
        <v>26</v>
      </c>
      <c r="H285" s="30" t="s">
        <v>2381</v>
      </c>
    </row>
    <row r="286" spans="1:8" ht="15" thickBot="1">
      <c r="A286" s="30" t="s">
        <v>1653</v>
      </c>
      <c r="B286" s="30" t="s">
        <v>2153</v>
      </c>
      <c r="C286" s="30" t="s">
        <v>2370</v>
      </c>
      <c r="D286" s="30" t="str">
        <f t="shared" si="8"/>
        <v>Electronics</v>
      </c>
      <c r="E286" s="31">
        <v>403.91</v>
      </c>
      <c r="F286" s="31">
        <v>95</v>
      </c>
      <c r="G286" s="31">
        <f t="shared" si="9"/>
        <v>95</v>
      </c>
      <c r="H286" s="30" t="s">
        <v>2382</v>
      </c>
    </row>
    <row r="287" spans="1:8" ht="15" thickBot="1">
      <c r="A287" s="30" t="s">
        <v>1654</v>
      </c>
      <c r="B287" s="30" t="s">
        <v>2154</v>
      </c>
      <c r="C287" s="30" t="s">
        <v>2370</v>
      </c>
      <c r="D287" s="30" t="str">
        <f t="shared" si="8"/>
        <v>Electronics</v>
      </c>
      <c r="E287" s="31">
        <v>84.93</v>
      </c>
      <c r="F287" s="31">
        <v>43</v>
      </c>
      <c r="G287" s="31">
        <f t="shared" si="9"/>
        <v>43</v>
      </c>
      <c r="H287" s="30" t="s">
        <v>2383</v>
      </c>
    </row>
    <row r="288" spans="1:8" ht="15" thickBot="1">
      <c r="A288" s="30" t="s">
        <v>1655</v>
      </c>
      <c r="B288" s="30" t="s">
        <v>2155</v>
      </c>
      <c r="C288" s="30" t="s">
        <v>2372</v>
      </c>
      <c r="D288" s="30" t="str">
        <f t="shared" si="8"/>
        <v>Clothing</v>
      </c>
      <c r="E288" s="31">
        <v>964.55</v>
      </c>
      <c r="F288" s="31">
        <v>-9</v>
      </c>
      <c r="G288" s="31">
        <f t="shared" si="9"/>
        <v>0</v>
      </c>
      <c r="H288" s="30" t="s">
        <v>2384</v>
      </c>
    </row>
    <row r="289" spans="1:8" ht="15" thickBot="1">
      <c r="A289" s="30" t="s">
        <v>1656</v>
      </c>
      <c r="B289" s="30" t="s">
        <v>2156</v>
      </c>
      <c r="C289" s="30" t="s">
        <v>2370</v>
      </c>
      <c r="D289" s="30" t="str">
        <f t="shared" si="8"/>
        <v>Electronics</v>
      </c>
      <c r="E289" s="31">
        <v>547.49</v>
      </c>
      <c r="F289" s="31">
        <v>94</v>
      </c>
      <c r="G289" s="31">
        <f t="shared" si="9"/>
        <v>94</v>
      </c>
      <c r="H289" s="32" t="s">
        <v>2385</v>
      </c>
    </row>
    <row r="290" spans="1:8" ht="15" thickBot="1">
      <c r="A290" s="30" t="s">
        <v>1657</v>
      </c>
      <c r="B290" s="30" t="s">
        <v>2157</v>
      </c>
      <c r="C290" s="30" t="s">
        <v>2374</v>
      </c>
      <c r="D290" s="30" t="str">
        <f t="shared" si="8"/>
        <v>Stationery</v>
      </c>
      <c r="E290" s="31">
        <v>830.77</v>
      </c>
      <c r="F290" s="31">
        <v>7</v>
      </c>
      <c r="G290" s="31">
        <f t="shared" si="9"/>
        <v>7</v>
      </c>
      <c r="H290" s="30" t="s">
        <v>2386</v>
      </c>
    </row>
    <row r="291" spans="1:8" ht="15" thickBot="1">
      <c r="A291" s="30" t="s">
        <v>1658</v>
      </c>
      <c r="B291" s="30" t="s">
        <v>2158</v>
      </c>
      <c r="C291" s="30" t="s">
        <v>2373</v>
      </c>
      <c r="D291" s="30" t="str">
        <f t="shared" si="8"/>
        <v>Furniture</v>
      </c>
      <c r="E291" s="31">
        <v>604.09</v>
      </c>
      <c r="F291" s="31">
        <v>6</v>
      </c>
      <c r="G291" s="31">
        <f t="shared" si="9"/>
        <v>6</v>
      </c>
      <c r="H291" s="30" t="s">
        <v>2387</v>
      </c>
    </row>
    <row r="292" spans="1:8" ht="15" thickBot="1">
      <c r="A292" s="30" t="s">
        <v>1659</v>
      </c>
      <c r="B292" s="30" t="s">
        <v>2159</v>
      </c>
      <c r="C292" s="30" t="s">
        <v>2374</v>
      </c>
      <c r="D292" s="30" t="str">
        <f t="shared" si="8"/>
        <v>Stationery</v>
      </c>
      <c r="E292" s="31">
        <v>84.84</v>
      </c>
      <c r="F292" s="31">
        <v>77</v>
      </c>
      <c r="G292" s="31">
        <f t="shared" si="9"/>
        <v>77</v>
      </c>
      <c r="H292" s="30" t="s">
        <v>2378</v>
      </c>
    </row>
    <row r="293" spans="1:8" ht="15" thickBot="1">
      <c r="A293" s="30" t="s">
        <v>1660</v>
      </c>
      <c r="B293" s="30" t="s">
        <v>2160</v>
      </c>
      <c r="C293" s="30" t="s">
        <v>2370</v>
      </c>
      <c r="D293" s="30" t="str">
        <f t="shared" si="8"/>
        <v>Electronics</v>
      </c>
      <c r="E293" s="31">
        <v>925.89</v>
      </c>
      <c r="F293" s="31">
        <v>11</v>
      </c>
      <c r="G293" s="31">
        <f t="shared" si="9"/>
        <v>11</v>
      </c>
      <c r="H293" s="30" t="s">
        <v>2379</v>
      </c>
    </row>
    <row r="294" spans="1:8" ht="15" thickBot="1">
      <c r="A294" s="30" t="s">
        <v>1661</v>
      </c>
      <c r="B294" s="30" t="s">
        <v>2161</v>
      </c>
      <c r="C294" s="30" t="s">
        <v>2373</v>
      </c>
      <c r="D294" s="30" t="str">
        <f t="shared" si="8"/>
        <v>Furniture</v>
      </c>
      <c r="E294" s="31">
        <v>720.77</v>
      </c>
      <c r="F294" s="31">
        <v>65</v>
      </c>
      <c r="G294" s="31">
        <f t="shared" si="9"/>
        <v>65</v>
      </c>
      <c r="H294" s="30" t="s">
        <v>2380</v>
      </c>
    </row>
    <row r="295" spans="1:8" ht="15" thickBot="1">
      <c r="A295" s="30" t="s">
        <v>1662</v>
      </c>
      <c r="B295" s="30" t="s">
        <v>2162</v>
      </c>
      <c r="C295" s="30" t="s">
        <v>2373</v>
      </c>
      <c r="D295" s="30" t="str">
        <f t="shared" si="8"/>
        <v>Furniture</v>
      </c>
      <c r="E295" s="31">
        <v>943.6</v>
      </c>
      <c r="F295" s="31">
        <v>21</v>
      </c>
      <c r="G295" s="31">
        <f t="shared" si="9"/>
        <v>21</v>
      </c>
      <c r="H295" s="30" t="s">
        <v>2381</v>
      </c>
    </row>
    <row r="296" spans="1:8" ht="15" thickBot="1">
      <c r="A296" s="30" t="s">
        <v>1663</v>
      </c>
      <c r="B296" s="30" t="s">
        <v>2163</v>
      </c>
      <c r="C296" s="30" t="s">
        <v>2376</v>
      </c>
      <c r="D296" s="30" t="str">
        <f t="shared" si="8"/>
        <v>Food</v>
      </c>
      <c r="E296" s="31">
        <v>838.11</v>
      </c>
      <c r="F296" s="31">
        <v>74</v>
      </c>
      <c r="G296" s="31">
        <f t="shared" si="9"/>
        <v>74</v>
      </c>
      <c r="H296" s="30" t="s">
        <v>2382</v>
      </c>
    </row>
    <row r="297" spans="1:8" ht="15" thickBot="1">
      <c r="A297" s="30" t="s">
        <v>1664</v>
      </c>
      <c r="B297" s="30" t="s">
        <v>2164</v>
      </c>
      <c r="C297" s="30" t="s">
        <v>2370</v>
      </c>
      <c r="D297" s="30" t="str">
        <f t="shared" si="8"/>
        <v>Electronics</v>
      </c>
      <c r="E297" s="31">
        <v>549.20000000000005</v>
      </c>
      <c r="F297" s="31">
        <v>52</v>
      </c>
      <c r="G297" s="31">
        <f t="shared" si="9"/>
        <v>52</v>
      </c>
      <c r="H297" s="30" t="s">
        <v>2383</v>
      </c>
    </row>
    <row r="298" spans="1:8" ht="15" thickBot="1">
      <c r="A298" s="30" t="s">
        <v>1665</v>
      </c>
      <c r="B298" s="30" t="s">
        <v>2165</v>
      </c>
      <c r="C298" s="30" t="s">
        <v>2372</v>
      </c>
      <c r="D298" s="30" t="str">
        <f t="shared" si="8"/>
        <v>Clothing</v>
      </c>
      <c r="E298" s="31">
        <v>514.66999999999996</v>
      </c>
      <c r="F298" s="31">
        <v>13</v>
      </c>
      <c r="G298" s="31">
        <f t="shared" si="9"/>
        <v>13</v>
      </c>
      <c r="H298" s="30" t="s">
        <v>2384</v>
      </c>
    </row>
    <row r="299" spans="1:8" ht="15" thickBot="1">
      <c r="A299" s="30" t="s">
        <v>1666</v>
      </c>
      <c r="B299" s="30" t="s">
        <v>2166</v>
      </c>
      <c r="C299" s="30" t="s">
        <v>2370</v>
      </c>
      <c r="D299" s="30" t="str">
        <f t="shared" si="8"/>
        <v>Electronics</v>
      </c>
      <c r="E299" s="31">
        <v>477.28</v>
      </c>
      <c r="F299" s="31">
        <v>17</v>
      </c>
      <c r="G299" s="31">
        <f t="shared" si="9"/>
        <v>17</v>
      </c>
      <c r="H299" s="32" t="s">
        <v>2385</v>
      </c>
    </row>
    <row r="300" spans="1:8" ht="15" thickBot="1">
      <c r="A300" s="30" t="s">
        <v>1667</v>
      </c>
      <c r="B300" s="30" t="s">
        <v>2167</v>
      </c>
      <c r="C300" s="30" t="s">
        <v>2372</v>
      </c>
      <c r="D300" s="30" t="str">
        <f t="shared" si="8"/>
        <v>Clothing</v>
      </c>
      <c r="E300" s="31">
        <v>767.76</v>
      </c>
      <c r="F300" s="31">
        <v>84</v>
      </c>
      <c r="G300" s="31">
        <f t="shared" si="9"/>
        <v>84</v>
      </c>
      <c r="H300" s="30" t="s">
        <v>2386</v>
      </c>
    </row>
    <row r="301" spans="1:8" ht="15" thickBot="1">
      <c r="A301" s="30" t="s">
        <v>1668</v>
      </c>
      <c r="B301" s="30" t="s">
        <v>2168</v>
      </c>
      <c r="C301" s="30" t="s">
        <v>2373</v>
      </c>
      <c r="D301" s="30" t="str">
        <f t="shared" si="8"/>
        <v>Furniture</v>
      </c>
      <c r="E301" s="31">
        <v>584.52</v>
      </c>
      <c r="F301" s="31">
        <v>-7</v>
      </c>
      <c r="G301" s="31">
        <f t="shared" si="9"/>
        <v>0</v>
      </c>
      <c r="H301" s="30" t="s">
        <v>2387</v>
      </c>
    </row>
    <row r="302" spans="1:8" ht="15" thickBot="1">
      <c r="A302" s="30" t="s">
        <v>1669</v>
      </c>
      <c r="B302" s="30" t="s">
        <v>2169</v>
      </c>
      <c r="C302" s="30" t="s">
        <v>2373</v>
      </c>
      <c r="D302" s="30" t="str">
        <f t="shared" si="8"/>
        <v>Furniture</v>
      </c>
      <c r="E302" s="31">
        <v>624.82000000000005</v>
      </c>
      <c r="F302" s="31">
        <v>92</v>
      </c>
      <c r="G302" s="31">
        <f t="shared" si="9"/>
        <v>92</v>
      </c>
      <c r="H302" s="30" t="s">
        <v>2378</v>
      </c>
    </row>
    <row r="303" spans="1:8" ht="15" thickBot="1">
      <c r="A303" s="30" t="s">
        <v>1670</v>
      </c>
      <c r="B303" s="30" t="s">
        <v>2170</v>
      </c>
      <c r="C303" s="30" t="s">
        <v>2374</v>
      </c>
      <c r="D303" s="30" t="str">
        <f t="shared" si="8"/>
        <v>Stationery</v>
      </c>
      <c r="E303" s="31">
        <v>324.95999999999998</v>
      </c>
      <c r="F303" s="31">
        <v>18</v>
      </c>
      <c r="G303" s="31">
        <f t="shared" si="9"/>
        <v>18</v>
      </c>
      <c r="H303" s="30" t="s">
        <v>2379</v>
      </c>
    </row>
    <row r="304" spans="1:8" ht="15" thickBot="1">
      <c r="A304" s="30" t="s">
        <v>1671</v>
      </c>
      <c r="B304" s="30" t="s">
        <v>2171</v>
      </c>
      <c r="C304" s="30" t="s">
        <v>2373</v>
      </c>
      <c r="D304" s="30" t="str">
        <f t="shared" si="8"/>
        <v>Furniture</v>
      </c>
      <c r="E304" s="31">
        <v>337.88</v>
      </c>
      <c r="F304" s="31">
        <v>7</v>
      </c>
      <c r="G304" s="31">
        <f t="shared" si="9"/>
        <v>7</v>
      </c>
      <c r="H304" s="30" t="s">
        <v>2380</v>
      </c>
    </row>
    <row r="305" spans="1:8" ht="15" thickBot="1">
      <c r="A305" s="30" t="s">
        <v>1672</v>
      </c>
      <c r="B305" s="30" t="s">
        <v>2172</v>
      </c>
      <c r="C305" s="30" t="s">
        <v>2373</v>
      </c>
      <c r="D305" s="30" t="str">
        <f t="shared" si="8"/>
        <v>Furniture</v>
      </c>
      <c r="E305" s="31">
        <v>542.5</v>
      </c>
      <c r="F305" s="31">
        <v>70</v>
      </c>
      <c r="G305" s="31">
        <f t="shared" si="9"/>
        <v>70</v>
      </c>
      <c r="H305" s="30" t="s">
        <v>2381</v>
      </c>
    </row>
    <row r="306" spans="1:8" ht="15" thickBot="1">
      <c r="A306" s="30" t="s">
        <v>1673</v>
      </c>
      <c r="B306" s="30" t="s">
        <v>2173</v>
      </c>
      <c r="C306" s="30" t="s">
        <v>2370</v>
      </c>
      <c r="D306" s="30" t="str">
        <f t="shared" si="8"/>
        <v>Electronics</v>
      </c>
      <c r="E306" s="31">
        <v>986.72</v>
      </c>
      <c r="F306" s="31">
        <v>94</v>
      </c>
      <c r="G306" s="31">
        <f t="shared" si="9"/>
        <v>94</v>
      </c>
      <c r="H306" s="30" t="s">
        <v>2382</v>
      </c>
    </row>
    <row r="307" spans="1:8" ht="15" thickBot="1">
      <c r="A307" s="30" t="s">
        <v>1674</v>
      </c>
      <c r="B307" s="30" t="s">
        <v>2174</v>
      </c>
      <c r="C307" s="30" t="s">
        <v>2376</v>
      </c>
      <c r="D307" s="30" t="str">
        <f t="shared" si="8"/>
        <v>Food</v>
      </c>
      <c r="E307" s="31">
        <v>103.69</v>
      </c>
      <c r="F307" s="31">
        <v>41</v>
      </c>
      <c r="G307" s="31">
        <f t="shared" si="9"/>
        <v>41</v>
      </c>
      <c r="H307" s="30" t="s">
        <v>2383</v>
      </c>
    </row>
    <row r="308" spans="1:8" ht="15" thickBot="1">
      <c r="A308" s="30" t="s">
        <v>1675</v>
      </c>
      <c r="B308" s="30" t="s">
        <v>2175</v>
      </c>
      <c r="C308" s="30" t="s">
        <v>2374</v>
      </c>
      <c r="D308" s="30" t="str">
        <f t="shared" si="8"/>
        <v>Stationery</v>
      </c>
      <c r="E308" s="31">
        <v>367.49</v>
      </c>
      <c r="F308" s="31">
        <v>31</v>
      </c>
      <c r="G308" s="31">
        <f t="shared" si="9"/>
        <v>31</v>
      </c>
      <c r="H308" s="30" t="s">
        <v>2384</v>
      </c>
    </row>
    <row r="309" spans="1:8" ht="15" thickBot="1">
      <c r="A309" s="30" t="s">
        <v>1676</v>
      </c>
      <c r="B309" s="30" t="s">
        <v>2176</v>
      </c>
      <c r="C309" s="30" t="s">
        <v>2376</v>
      </c>
      <c r="D309" s="30" t="str">
        <f t="shared" si="8"/>
        <v>Food</v>
      </c>
      <c r="E309" s="31">
        <v>958.77</v>
      </c>
      <c r="F309" s="31">
        <v>22</v>
      </c>
      <c r="G309" s="31">
        <f t="shared" si="9"/>
        <v>22</v>
      </c>
      <c r="H309" s="32" t="s">
        <v>2385</v>
      </c>
    </row>
    <row r="310" spans="1:8" ht="15" thickBot="1">
      <c r="A310" s="30" t="s">
        <v>1677</v>
      </c>
      <c r="B310" s="30" t="s">
        <v>2177</v>
      </c>
      <c r="C310" s="30" t="s">
        <v>2374</v>
      </c>
      <c r="D310" s="30" t="str">
        <f t="shared" si="8"/>
        <v>Stationery</v>
      </c>
      <c r="E310" s="31">
        <v>328</v>
      </c>
      <c r="F310" s="31">
        <v>68</v>
      </c>
      <c r="G310" s="31">
        <f t="shared" si="9"/>
        <v>68</v>
      </c>
      <c r="H310" s="30" t="s">
        <v>2386</v>
      </c>
    </row>
    <row r="311" spans="1:8" ht="15" thickBot="1">
      <c r="A311" s="30" t="s">
        <v>1678</v>
      </c>
      <c r="B311" s="30" t="s">
        <v>2178</v>
      </c>
      <c r="C311" s="30" t="s">
        <v>2374</v>
      </c>
      <c r="D311" s="30" t="str">
        <f t="shared" si="8"/>
        <v>Stationery</v>
      </c>
      <c r="E311" s="31">
        <v>909.59</v>
      </c>
      <c r="F311" s="31">
        <v>15</v>
      </c>
      <c r="G311" s="31">
        <f t="shared" si="9"/>
        <v>15</v>
      </c>
      <c r="H311" s="30" t="s">
        <v>2387</v>
      </c>
    </row>
    <row r="312" spans="1:8" ht="15" thickBot="1">
      <c r="A312" s="30" t="s">
        <v>1679</v>
      </c>
      <c r="B312" s="30" t="s">
        <v>2179</v>
      </c>
      <c r="C312" s="30" t="s">
        <v>2376</v>
      </c>
      <c r="D312" s="30" t="str">
        <f t="shared" si="8"/>
        <v>Food</v>
      </c>
      <c r="E312" s="31">
        <v>358.53</v>
      </c>
      <c r="F312" s="31">
        <v>35</v>
      </c>
      <c r="G312" s="31">
        <f t="shared" si="9"/>
        <v>35</v>
      </c>
      <c r="H312" s="30" t="s">
        <v>2378</v>
      </c>
    </row>
    <row r="313" spans="1:8" ht="15" thickBot="1">
      <c r="A313" s="30" t="s">
        <v>1680</v>
      </c>
      <c r="B313" s="30" t="s">
        <v>2180</v>
      </c>
      <c r="C313" s="30" t="s">
        <v>2370</v>
      </c>
      <c r="D313" s="30" t="str">
        <f t="shared" si="8"/>
        <v>Electronics</v>
      </c>
      <c r="E313" s="31">
        <v>709.05</v>
      </c>
      <c r="F313" s="31">
        <v>47</v>
      </c>
      <c r="G313" s="31">
        <f t="shared" si="9"/>
        <v>47</v>
      </c>
      <c r="H313" s="30" t="s">
        <v>2379</v>
      </c>
    </row>
    <row r="314" spans="1:8" ht="15" thickBot="1">
      <c r="A314" s="30" t="s">
        <v>1681</v>
      </c>
      <c r="B314" s="30" t="s">
        <v>2181</v>
      </c>
      <c r="C314" s="30" t="s">
        <v>2373</v>
      </c>
      <c r="D314" s="30" t="str">
        <f t="shared" si="8"/>
        <v>Furniture</v>
      </c>
      <c r="E314" s="31">
        <v>894.49</v>
      </c>
      <c r="F314" s="31">
        <v>6</v>
      </c>
      <c r="G314" s="31">
        <f t="shared" si="9"/>
        <v>6</v>
      </c>
      <c r="H314" s="30" t="s">
        <v>2380</v>
      </c>
    </row>
    <row r="315" spans="1:8" ht="15" thickBot="1">
      <c r="A315" s="30" t="s">
        <v>1682</v>
      </c>
      <c r="B315" s="30" t="s">
        <v>2182</v>
      </c>
      <c r="C315" s="30" t="s">
        <v>2372</v>
      </c>
      <c r="D315" s="30" t="str">
        <f t="shared" si="8"/>
        <v>Clothing</v>
      </c>
      <c r="E315" s="31">
        <v>719.34</v>
      </c>
      <c r="F315" s="31">
        <v>44</v>
      </c>
      <c r="G315" s="31">
        <f t="shared" si="9"/>
        <v>44</v>
      </c>
      <c r="H315" s="30" t="s">
        <v>2381</v>
      </c>
    </row>
    <row r="316" spans="1:8" ht="15" thickBot="1">
      <c r="A316" s="30" t="s">
        <v>1683</v>
      </c>
      <c r="B316" s="30" t="s">
        <v>2183</v>
      </c>
      <c r="C316" s="30" t="s">
        <v>2373</v>
      </c>
      <c r="D316" s="30" t="str">
        <f t="shared" si="8"/>
        <v>Furniture</v>
      </c>
      <c r="E316" s="31">
        <v>407.29</v>
      </c>
      <c r="F316" s="31">
        <v>98</v>
      </c>
      <c r="G316" s="31">
        <f t="shared" si="9"/>
        <v>98</v>
      </c>
      <c r="H316" s="30" t="s">
        <v>2382</v>
      </c>
    </row>
    <row r="317" spans="1:8" ht="15" thickBot="1">
      <c r="A317" s="30" t="s">
        <v>1684</v>
      </c>
      <c r="B317" s="30" t="s">
        <v>2184</v>
      </c>
      <c r="C317" s="30" t="s">
        <v>2376</v>
      </c>
      <c r="D317" s="30" t="str">
        <f t="shared" si="8"/>
        <v>Food</v>
      </c>
      <c r="E317" s="31">
        <v>754.38</v>
      </c>
      <c r="F317" s="31">
        <v>24</v>
      </c>
      <c r="G317" s="31">
        <f t="shared" si="9"/>
        <v>24</v>
      </c>
      <c r="H317" s="30" t="s">
        <v>2383</v>
      </c>
    </row>
    <row r="318" spans="1:8" ht="15" thickBot="1">
      <c r="A318" s="30" t="s">
        <v>1685</v>
      </c>
      <c r="B318" s="30" t="s">
        <v>2185</v>
      </c>
      <c r="C318" s="30" t="s">
        <v>2370</v>
      </c>
      <c r="D318" s="30" t="str">
        <f t="shared" si="8"/>
        <v>Electronics</v>
      </c>
      <c r="E318" s="31">
        <v>958.09</v>
      </c>
      <c r="F318" s="31">
        <v>84</v>
      </c>
      <c r="G318" s="31">
        <f t="shared" si="9"/>
        <v>84</v>
      </c>
      <c r="H318" s="30" t="s">
        <v>2384</v>
      </c>
    </row>
    <row r="319" spans="1:8" ht="15" thickBot="1">
      <c r="A319" s="30" t="s">
        <v>1686</v>
      </c>
      <c r="B319" s="30" t="s">
        <v>2186</v>
      </c>
      <c r="C319" s="30" t="s">
        <v>2370</v>
      </c>
      <c r="D319" s="30" t="str">
        <f t="shared" si="8"/>
        <v>Electronics</v>
      </c>
      <c r="E319" s="31">
        <v>458.26</v>
      </c>
      <c r="F319" s="31">
        <v>42</v>
      </c>
      <c r="G319" s="31">
        <f t="shared" si="9"/>
        <v>42</v>
      </c>
      <c r="H319" s="32" t="s">
        <v>2385</v>
      </c>
    </row>
    <row r="320" spans="1:8" ht="15" thickBot="1">
      <c r="A320" s="30" t="s">
        <v>1687</v>
      </c>
      <c r="B320" s="30" t="s">
        <v>2187</v>
      </c>
      <c r="C320" s="30" t="s">
        <v>2373</v>
      </c>
      <c r="D320" s="30" t="str">
        <f t="shared" si="8"/>
        <v>Furniture</v>
      </c>
      <c r="E320" s="31">
        <v>793.08</v>
      </c>
      <c r="F320" s="31">
        <v>-2</v>
      </c>
      <c r="G320" s="31">
        <f t="shared" si="9"/>
        <v>0</v>
      </c>
      <c r="H320" s="30" t="s">
        <v>2386</v>
      </c>
    </row>
    <row r="321" spans="1:8" ht="15" thickBot="1">
      <c r="A321" s="30" t="s">
        <v>1688</v>
      </c>
      <c r="B321" s="30" t="s">
        <v>2188</v>
      </c>
      <c r="C321" s="30" t="s">
        <v>2376</v>
      </c>
      <c r="D321" s="30" t="str">
        <f t="shared" si="8"/>
        <v>Food</v>
      </c>
      <c r="E321" s="31">
        <v>954.81</v>
      </c>
      <c r="F321" s="31">
        <v>15</v>
      </c>
      <c r="G321" s="31">
        <f t="shared" si="9"/>
        <v>15</v>
      </c>
      <c r="H321" s="30" t="s">
        <v>2387</v>
      </c>
    </row>
    <row r="322" spans="1:8" ht="15" thickBot="1">
      <c r="A322" s="30" t="s">
        <v>1689</v>
      </c>
      <c r="B322" s="30" t="s">
        <v>2189</v>
      </c>
      <c r="C322" s="30" t="s">
        <v>2376</v>
      </c>
      <c r="D322" s="30" t="str">
        <f t="shared" si="8"/>
        <v>Food</v>
      </c>
      <c r="E322" s="31">
        <v>510.13</v>
      </c>
      <c r="F322" s="31">
        <v>47</v>
      </c>
      <c r="G322" s="31">
        <f t="shared" si="9"/>
        <v>47</v>
      </c>
      <c r="H322" s="30" t="s">
        <v>2378</v>
      </c>
    </row>
    <row r="323" spans="1:8" ht="15" thickBot="1">
      <c r="A323" s="30" t="s">
        <v>1690</v>
      </c>
      <c r="B323" s="30" t="s">
        <v>2190</v>
      </c>
      <c r="C323" s="30" t="s">
        <v>2373</v>
      </c>
      <c r="D323" s="30" t="str">
        <f t="shared" ref="D323:D386" si="10">PROPER(C323)</f>
        <v>Furniture</v>
      </c>
      <c r="E323" s="31">
        <v>188.34</v>
      </c>
      <c r="F323" s="31">
        <v>95</v>
      </c>
      <c r="G323" s="31">
        <f t="shared" ref="G323:G386" si="11">IF(F323&lt;0,0,F323)</f>
        <v>95</v>
      </c>
      <c r="H323" s="30" t="s">
        <v>2379</v>
      </c>
    </row>
    <row r="324" spans="1:8" ht="15" thickBot="1">
      <c r="A324" s="30" t="s">
        <v>1691</v>
      </c>
      <c r="B324" s="30" t="s">
        <v>2191</v>
      </c>
      <c r="C324" s="30" t="s">
        <v>2370</v>
      </c>
      <c r="D324" s="30" t="str">
        <f t="shared" si="10"/>
        <v>Electronics</v>
      </c>
      <c r="E324" s="31">
        <v>184.92</v>
      </c>
      <c r="F324" s="31">
        <v>60</v>
      </c>
      <c r="G324" s="31">
        <f t="shared" si="11"/>
        <v>60</v>
      </c>
      <c r="H324" s="30" t="s">
        <v>2380</v>
      </c>
    </row>
    <row r="325" spans="1:8" ht="15" thickBot="1">
      <c r="A325" s="30" t="s">
        <v>1692</v>
      </c>
      <c r="B325" s="30" t="s">
        <v>2192</v>
      </c>
      <c r="C325" s="30" t="s">
        <v>2370</v>
      </c>
      <c r="D325" s="30" t="str">
        <f t="shared" si="10"/>
        <v>Electronics</v>
      </c>
      <c r="E325" s="31">
        <v>550.88</v>
      </c>
      <c r="F325" s="31">
        <v>99</v>
      </c>
      <c r="G325" s="31">
        <f t="shared" si="11"/>
        <v>99</v>
      </c>
      <c r="H325" s="30" t="s">
        <v>2381</v>
      </c>
    </row>
    <row r="326" spans="1:8" ht="15" thickBot="1">
      <c r="A326" s="30" t="s">
        <v>1693</v>
      </c>
      <c r="B326" s="30" t="s">
        <v>2193</v>
      </c>
      <c r="C326" s="30" t="s">
        <v>2372</v>
      </c>
      <c r="D326" s="30" t="str">
        <f t="shared" si="10"/>
        <v>Clothing</v>
      </c>
      <c r="E326" s="31">
        <v>735.53</v>
      </c>
      <c r="F326" s="31">
        <v>-9</v>
      </c>
      <c r="G326" s="31">
        <f t="shared" si="11"/>
        <v>0</v>
      </c>
      <c r="H326" s="30" t="s">
        <v>2382</v>
      </c>
    </row>
    <row r="327" spans="1:8" ht="15" thickBot="1">
      <c r="A327" s="30" t="s">
        <v>1694</v>
      </c>
      <c r="B327" s="30" t="s">
        <v>2194</v>
      </c>
      <c r="C327" s="30" t="s">
        <v>2372</v>
      </c>
      <c r="D327" s="30" t="str">
        <f t="shared" si="10"/>
        <v>Clothing</v>
      </c>
      <c r="E327" s="31">
        <v>904.83</v>
      </c>
      <c r="F327" s="31">
        <v>3</v>
      </c>
      <c r="G327" s="31">
        <f t="shared" si="11"/>
        <v>3</v>
      </c>
      <c r="H327" s="30" t="s">
        <v>2383</v>
      </c>
    </row>
    <row r="328" spans="1:8" ht="15" thickBot="1">
      <c r="A328" s="30" t="s">
        <v>1695</v>
      </c>
      <c r="B328" s="30" t="s">
        <v>2195</v>
      </c>
      <c r="C328" s="30" t="s">
        <v>2376</v>
      </c>
      <c r="D328" s="30" t="str">
        <f t="shared" si="10"/>
        <v>Food</v>
      </c>
      <c r="E328" s="31">
        <v>880.99</v>
      </c>
      <c r="F328" s="31">
        <v>78</v>
      </c>
      <c r="G328" s="31">
        <f t="shared" si="11"/>
        <v>78</v>
      </c>
      <c r="H328" s="30" t="s">
        <v>2384</v>
      </c>
    </row>
    <row r="329" spans="1:8" ht="15" thickBot="1">
      <c r="A329" s="30" t="s">
        <v>1696</v>
      </c>
      <c r="B329" s="30" t="s">
        <v>2196</v>
      </c>
      <c r="C329" s="30" t="s">
        <v>2376</v>
      </c>
      <c r="D329" s="30" t="str">
        <f t="shared" si="10"/>
        <v>Food</v>
      </c>
      <c r="E329" s="31">
        <v>73.87</v>
      </c>
      <c r="F329" s="31">
        <v>72</v>
      </c>
      <c r="G329" s="31">
        <f t="shared" si="11"/>
        <v>72</v>
      </c>
      <c r="H329" s="32" t="s">
        <v>2385</v>
      </c>
    </row>
    <row r="330" spans="1:8" ht="15" thickBot="1">
      <c r="A330" s="30" t="s">
        <v>1697</v>
      </c>
      <c r="B330" s="30" t="s">
        <v>2197</v>
      </c>
      <c r="C330" s="30" t="s">
        <v>2373</v>
      </c>
      <c r="D330" s="30" t="str">
        <f t="shared" si="10"/>
        <v>Furniture</v>
      </c>
      <c r="E330" s="31">
        <v>894.91</v>
      </c>
      <c r="F330" s="31">
        <v>8</v>
      </c>
      <c r="G330" s="31">
        <f t="shared" si="11"/>
        <v>8</v>
      </c>
      <c r="H330" s="30" t="s">
        <v>2386</v>
      </c>
    </row>
    <row r="331" spans="1:8" ht="15" thickBot="1">
      <c r="A331" s="30" t="s">
        <v>1698</v>
      </c>
      <c r="B331" s="30" t="s">
        <v>2198</v>
      </c>
      <c r="C331" s="30" t="s">
        <v>2372</v>
      </c>
      <c r="D331" s="30" t="str">
        <f t="shared" si="10"/>
        <v>Clothing</v>
      </c>
      <c r="E331" s="31">
        <v>572.44000000000005</v>
      </c>
      <c r="F331" s="31">
        <v>72</v>
      </c>
      <c r="G331" s="31">
        <f t="shared" si="11"/>
        <v>72</v>
      </c>
      <c r="H331" s="30" t="s">
        <v>2387</v>
      </c>
    </row>
    <row r="332" spans="1:8" ht="15" thickBot="1">
      <c r="A332" s="30" t="s">
        <v>1699</v>
      </c>
      <c r="B332" s="30" t="s">
        <v>2199</v>
      </c>
      <c r="C332" s="30" t="s">
        <v>2373</v>
      </c>
      <c r="D332" s="30" t="str">
        <f t="shared" si="10"/>
        <v>Furniture</v>
      </c>
      <c r="E332" s="31">
        <v>648.57000000000005</v>
      </c>
      <c r="F332" s="31">
        <v>26</v>
      </c>
      <c r="G332" s="31">
        <f t="shared" si="11"/>
        <v>26</v>
      </c>
      <c r="H332" s="30" t="s">
        <v>2378</v>
      </c>
    </row>
    <row r="333" spans="1:8" ht="15" thickBot="1">
      <c r="A333" s="30" t="s">
        <v>1700</v>
      </c>
      <c r="B333" s="30" t="s">
        <v>2200</v>
      </c>
      <c r="C333" s="30" t="s">
        <v>2374</v>
      </c>
      <c r="D333" s="30" t="str">
        <f t="shared" si="10"/>
        <v>Stationery</v>
      </c>
      <c r="E333" s="31">
        <v>736.3</v>
      </c>
      <c r="F333" s="31">
        <v>-6</v>
      </c>
      <c r="G333" s="31">
        <f t="shared" si="11"/>
        <v>0</v>
      </c>
      <c r="H333" s="30" t="s">
        <v>2379</v>
      </c>
    </row>
    <row r="334" spans="1:8" ht="15" thickBot="1">
      <c r="A334" s="30" t="s">
        <v>1701</v>
      </c>
      <c r="B334" s="30" t="s">
        <v>2201</v>
      </c>
      <c r="C334" s="30" t="s">
        <v>2372</v>
      </c>
      <c r="D334" s="30" t="str">
        <f t="shared" si="10"/>
        <v>Clothing</v>
      </c>
      <c r="E334" s="31">
        <v>777.31</v>
      </c>
      <c r="F334" s="31">
        <v>90</v>
      </c>
      <c r="G334" s="31">
        <f t="shared" si="11"/>
        <v>90</v>
      </c>
      <c r="H334" s="30" t="s">
        <v>2380</v>
      </c>
    </row>
    <row r="335" spans="1:8" ht="15" thickBot="1">
      <c r="A335" s="30" t="s">
        <v>1702</v>
      </c>
      <c r="B335" s="30" t="s">
        <v>2202</v>
      </c>
      <c r="C335" s="30" t="s">
        <v>2373</v>
      </c>
      <c r="D335" s="30" t="str">
        <f t="shared" si="10"/>
        <v>Furniture</v>
      </c>
      <c r="E335" s="31">
        <v>693.46</v>
      </c>
      <c r="F335" s="31">
        <v>75</v>
      </c>
      <c r="G335" s="31">
        <f t="shared" si="11"/>
        <v>75</v>
      </c>
      <c r="H335" s="30" t="s">
        <v>2381</v>
      </c>
    </row>
    <row r="336" spans="1:8" ht="15" thickBot="1">
      <c r="A336" s="30" t="s">
        <v>1703</v>
      </c>
      <c r="B336" s="30" t="s">
        <v>2203</v>
      </c>
      <c r="C336" s="30" t="s">
        <v>2373</v>
      </c>
      <c r="D336" s="30" t="str">
        <f t="shared" si="10"/>
        <v>Furniture</v>
      </c>
      <c r="E336" s="31">
        <v>547.19000000000005</v>
      </c>
      <c r="F336" s="31">
        <v>30</v>
      </c>
      <c r="G336" s="31">
        <f t="shared" si="11"/>
        <v>30</v>
      </c>
      <c r="H336" s="30" t="s">
        <v>2382</v>
      </c>
    </row>
    <row r="337" spans="1:8" ht="15" thickBot="1">
      <c r="A337" s="30" t="s">
        <v>1704</v>
      </c>
      <c r="B337" s="30" t="s">
        <v>2204</v>
      </c>
      <c r="C337" s="30" t="s">
        <v>2373</v>
      </c>
      <c r="D337" s="30" t="str">
        <f t="shared" si="10"/>
        <v>Furniture</v>
      </c>
      <c r="E337" s="31">
        <v>729.63</v>
      </c>
      <c r="F337" s="31">
        <v>9</v>
      </c>
      <c r="G337" s="31">
        <f t="shared" si="11"/>
        <v>9</v>
      </c>
      <c r="H337" s="30" t="s">
        <v>2383</v>
      </c>
    </row>
    <row r="338" spans="1:8" ht="15" thickBot="1">
      <c r="A338" s="30" t="s">
        <v>1705</v>
      </c>
      <c r="B338" s="30" t="s">
        <v>2205</v>
      </c>
      <c r="C338" s="30" t="s">
        <v>2370</v>
      </c>
      <c r="D338" s="30" t="str">
        <f t="shared" si="10"/>
        <v>Electronics</v>
      </c>
      <c r="E338" s="31">
        <v>287.58</v>
      </c>
      <c r="F338" s="31">
        <v>45</v>
      </c>
      <c r="G338" s="31">
        <f t="shared" si="11"/>
        <v>45</v>
      </c>
      <c r="H338" s="30" t="s">
        <v>2384</v>
      </c>
    </row>
    <row r="339" spans="1:8" ht="15" thickBot="1">
      <c r="A339" s="30" t="s">
        <v>1706</v>
      </c>
      <c r="B339" s="30" t="s">
        <v>2206</v>
      </c>
      <c r="C339" s="30" t="s">
        <v>2374</v>
      </c>
      <c r="D339" s="30" t="str">
        <f t="shared" si="10"/>
        <v>Stationery</v>
      </c>
      <c r="E339" s="31">
        <v>222.73</v>
      </c>
      <c r="F339" s="31">
        <v>62</v>
      </c>
      <c r="G339" s="31">
        <f t="shared" si="11"/>
        <v>62</v>
      </c>
      <c r="H339" s="32" t="s">
        <v>2385</v>
      </c>
    </row>
    <row r="340" spans="1:8" ht="15" thickBot="1">
      <c r="A340" s="30" t="s">
        <v>1707</v>
      </c>
      <c r="B340" s="30" t="s">
        <v>2207</v>
      </c>
      <c r="C340" s="30" t="s">
        <v>2373</v>
      </c>
      <c r="D340" s="30" t="str">
        <f t="shared" si="10"/>
        <v>Furniture</v>
      </c>
      <c r="E340" s="31">
        <v>871.83</v>
      </c>
      <c r="F340" s="31">
        <v>71</v>
      </c>
      <c r="G340" s="31">
        <f t="shared" si="11"/>
        <v>71</v>
      </c>
      <c r="H340" s="30" t="s">
        <v>2386</v>
      </c>
    </row>
    <row r="341" spans="1:8" ht="15" thickBot="1">
      <c r="A341" s="30" t="s">
        <v>1708</v>
      </c>
      <c r="B341" s="30" t="s">
        <v>2208</v>
      </c>
      <c r="C341" s="30" t="s">
        <v>2376</v>
      </c>
      <c r="D341" s="30" t="str">
        <f t="shared" si="10"/>
        <v>Food</v>
      </c>
      <c r="E341" s="31">
        <v>236.7</v>
      </c>
      <c r="F341" s="31">
        <v>74</v>
      </c>
      <c r="G341" s="31">
        <f t="shared" si="11"/>
        <v>74</v>
      </c>
      <c r="H341" s="30" t="s">
        <v>2387</v>
      </c>
    </row>
    <row r="342" spans="1:8" ht="15" thickBot="1">
      <c r="A342" s="30" t="s">
        <v>1709</v>
      </c>
      <c r="B342" s="30" t="s">
        <v>2209</v>
      </c>
      <c r="C342" s="30" t="s">
        <v>2373</v>
      </c>
      <c r="D342" s="30" t="str">
        <f t="shared" si="10"/>
        <v>Furniture</v>
      </c>
      <c r="E342" s="31">
        <v>963.67</v>
      </c>
      <c r="F342" s="31">
        <v>23</v>
      </c>
      <c r="G342" s="31">
        <f t="shared" si="11"/>
        <v>23</v>
      </c>
      <c r="H342" s="30" t="s">
        <v>2378</v>
      </c>
    </row>
    <row r="343" spans="1:8" ht="15" thickBot="1">
      <c r="A343" s="30" t="s">
        <v>1710</v>
      </c>
      <c r="B343" s="30" t="s">
        <v>2210</v>
      </c>
      <c r="C343" s="30" t="s">
        <v>2373</v>
      </c>
      <c r="D343" s="30" t="str">
        <f t="shared" si="10"/>
        <v>Furniture</v>
      </c>
      <c r="E343" s="31">
        <v>963.39</v>
      </c>
      <c r="F343" s="31">
        <v>67</v>
      </c>
      <c r="G343" s="31">
        <f t="shared" si="11"/>
        <v>67</v>
      </c>
      <c r="H343" s="30" t="s">
        <v>2379</v>
      </c>
    </row>
    <row r="344" spans="1:8" ht="15" thickBot="1">
      <c r="A344" s="30" t="s">
        <v>1711</v>
      </c>
      <c r="B344" s="30" t="s">
        <v>2211</v>
      </c>
      <c r="C344" s="30" t="s">
        <v>2376</v>
      </c>
      <c r="D344" s="30" t="str">
        <f t="shared" si="10"/>
        <v>Food</v>
      </c>
      <c r="E344" s="31">
        <v>385.63</v>
      </c>
      <c r="F344" s="31">
        <v>-5</v>
      </c>
      <c r="G344" s="31">
        <f t="shared" si="11"/>
        <v>0</v>
      </c>
      <c r="H344" s="30" t="s">
        <v>2380</v>
      </c>
    </row>
    <row r="345" spans="1:8" ht="15" thickBot="1">
      <c r="A345" s="30" t="s">
        <v>1712</v>
      </c>
      <c r="B345" s="30" t="s">
        <v>2212</v>
      </c>
      <c r="C345" s="30" t="s">
        <v>2373</v>
      </c>
      <c r="D345" s="30" t="str">
        <f t="shared" si="10"/>
        <v>Furniture</v>
      </c>
      <c r="E345" s="31">
        <v>596.26</v>
      </c>
      <c r="F345" s="31">
        <v>-2</v>
      </c>
      <c r="G345" s="31">
        <f t="shared" si="11"/>
        <v>0</v>
      </c>
      <c r="H345" s="30" t="s">
        <v>2381</v>
      </c>
    </row>
    <row r="346" spans="1:8" ht="15" thickBot="1">
      <c r="A346" s="30" t="s">
        <v>1713</v>
      </c>
      <c r="B346" s="30" t="s">
        <v>2213</v>
      </c>
      <c r="C346" s="30" t="s">
        <v>2370</v>
      </c>
      <c r="D346" s="30" t="str">
        <f t="shared" si="10"/>
        <v>Electronics</v>
      </c>
      <c r="E346" s="31">
        <v>656.03</v>
      </c>
      <c r="F346" s="31">
        <v>5</v>
      </c>
      <c r="G346" s="31">
        <f t="shared" si="11"/>
        <v>5</v>
      </c>
      <c r="H346" s="30" t="s">
        <v>2382</v>
      </c>
    </row>
    <row r="347" spans="1:8" ht="15" thickBot="1">
      <c r="A347" s="30" t="s">
        <v>1714</v>
      </c>
      <c r="B347" s="30" t="s">
        <v>2214</v>
      </c>
      <c r="C347" s="30" t="s">
        <v>2373</v>
      </c>
      <c r="D347" s="30" t="str">
        <f t="shared" si="10"/>
        <v>Furniture</v>
      </c>
      <c r="E347" s="31">
        <v>860.38</v>
      </c>
      <c r="F347" s="31">
        <v>4</v>
      </c>
      <c r="G347" s="31">
        <f t="shared" si="11"/>
        <v>4</v>
      </c>
      <c r="H347" s="30" t="s">
        <v>2383</v>
      </c>
    </row>
    <row r="348" spans="1:8" ht="15" thickBot="1">
      <c r="A348" s="30" t="s">
        <v>1715</v>
      </c>
      <c r="B348" s="30" t="s">
        <v>2215</v>
      </c>
      <c r="C348" s="30" t="s">
        <v>2374</v>
      </c>
      <c r="D348" s="30" t="str">
        <f t="shared" si="10"/>
        <v>Stationery</v>
      </c>
      <c r="E348" s="31">
        <v>218.11</v>
      </c>
      <c r="F348" s="31">
        <v>1</v>
      </c>
      <c r="G348" s="31">
        <f t="shared" si="11"/>
        <v>1</v>
      </c>
      <c r="H348" s="30" t="s">
        <v>2384</v>
      </c>
    </row>
    <row r="349" spans="1:8" ht="15" thickBot="1">
      <c r="A349" s="30" t="s">
        <v>1716</v>
      </c>
      <c r="B349" s="30" t="s">
        <v>2216</v>
      </c>
      <c r="C349" s="30" t="s">
        <v>2373</v>
      </c>
      <c r="D349" s="30" t="str">
        <f t="shared" si="10"/>
        <v>Furniture</v>
      </c>
      <c r="E349" s="31">
        <v>869.7</v>
      </c>
      <c r="F349" s="31">
        <v>84</v>
      </c>
      <c r="G349" s="31">
        <f t="shared" si="11"/>
        <v>84</v>
      </c>
      <c r="H349" s="32" t="s">
        <v>2385</v>
      </c>
    </row>
    <row r="350" spans="1:8" ht="15" thickBot="1">
      <c r="A350" s="30" t="s">
        <v>1717</v>
      </c>
      <c r="B350" s="30" t="s">
        <v>2217</v>
      </c>
      <c r="C350" s="30" t="s">
        <v>2372</v>
      </c>
      <c r="D350" s="30" t="str">
        <f t="shared" si="10"/>
        <v>Clothing</v>
      </c>
      <c r="E350" s="31">
        <v>963.7</v>
      </c>
      <c r="F350" s="31">
        <v>4</v>
      </c>
      <c r="G350" s="31">
        <f t="shared" si="11"/>
        <v>4</v>
      </c>
      <c r="H350" s="30" t="s">
        <v>2386</v>
      </c>
    </row>
    <row r="351" spans="1:8" ht="15" thickBot="1">
      <c r="A351" s="30" t="s">
        <v>1718</v>
      </c>
      <c r="B351" s="30" t="s">
        <v>2218</v>
      </c>
      <c r="C351" s="30" t="s">
        <v>2373</v>
      </c>
      <c r="D351" s="30" t="str">
        <f t="shared" si="10"/>
        <v>Furniture</v>
      </c>
      <c r="E351" s="31">
        <v>418.92</v>
      </c>
      <c r="F351" s="31">
        <v>50</v>
      </c>
      <c r="G351" s="31">
        <f t="shared" si="11"/>
        <v>50</v>
      </c>
      <c r="H351" s="30" t="s">
        <v>2387</v>
      </c>
    </row>
    <row r="352" spans="1:8" ht="15" thickBot="1">
      <c r="A352" s="30" t="s">
        <v>1719</v>
      </c>
      <c r="B352" s="30" t="s">
        <v>2219</v>
      </c>
      <c r="C352" s="30" t="s">
        <v>2373</v>
      </c>
      <c r="D352" s="30" t="str">
        <f t="shared" si="10"/>
        <v>Furniture</v>
      </c>
      <c r="E352" s="31">
        <v>261.97000000000003</v>
      </c>
      <c r="F352" s="31">
        <v>-4</v>
      </c>
      <c r="G352" s="31">
        <f t="shared" si="11"/>
        <v>0</v>
      </c>
      <c r="H352" s="30" t="s">
        <v>2378</v>
      </c>
    </row>
    <row r="353" spans="1:8" ht="15" thickBot="1">
      <c r="A353" s="30" t="s">
        <v>1720</v>
      </c>
      <c r="B353" s="30" t="s">
        <v>2220</v>
      </c>
      <c r="C353" s="30" t="s">
        <v>2372</v>
      </c>
      <c r="D353" s="30" t="str">
        <f t="shared" si="10"/>
        <v>Clothing</v>
      </c>
      <c r="E353" s="31">
        <v>602.94000000000005</v>
      </c>
      <c r="F353" s="31">
        <v>37</v>
      </c>
      <c r="G353" s="31">
        <f t="shared" si="11"/>
        <v>37</v>
      </c>
      <c r="H353" s="30" t="s">
        <v>2379</v>
      </c>
    </row>
    <row r="354" spans="1:8" ht="15" thickBot="1">
      <c r="A354" s="30" t="s">
        <v>1721</v>
      </c>
      <c r="B354" s="30" t="s">
        <v>2221</v>
      </c>
      <c r="C354" s="30" t="s">
        <v>2372</v>
      </c>
      <c r="D354" s="30" t="str">
        <f t="shared" si="10"/>
        <v>Clothing</v>
      </c>
      <c r="E354" s="31">
        <v>816.26</v>
      </c>
      <c r="F354" s="31">
        <v>8</v>
      </c>
      <c r="G354" s="31">
        <f t="shared" si="11"/>
        <v>8</v>
      </c>
      <c r="H354" s="30" t="s">
        <v>2380</v>
      </c>
    </row>
    <row r="355" spans="1:8" ht="15" thickBot="1">
      <c r="A355" s="30" t="s">
        <v>1722</v>
      </c>
      <c r="B355" s="30" t="s">
        <v>2222</v>
      </c>
      <c r="C355" s="30" t="s">
        <v>2374</v>
      </c>
      <c r="D355" s="30" t="str">
        <f t="shared" si="10"/>
        <v>Stationery</v>
      </c>
      <c r="E355" s="31">
        <v>211.36</v>
      </c>
      <c r="F355" s="31">
        <v>42</v>
      </c>
      <c r="G355" s="31">
        <f t="shared" si="11"/>
        <v>42</v>
      </c>
      <c r="H355" s="30" t="s">
        <v>2381</v>
      </c>
    </row>
    <row r="356" spans="1:8" ht="15" thickBot="1">
      <c r="A356" s="30" t="s">
        <v>1723</v>
      </c>
      <c r="B356" s="30" t="s">
        <v>2223</v>
      </c>
      <c r="C356" s="30" t="s">
        <v>2372</v>
      </c>
      <c r="D356" s="30" t="str">
        <f t="shared" si="10"/>
        <v>Clothing</v>
      </c>
      <c r="E356" s="31">
        <v>429.86</v>
      </c>
      <c r="F356" s="31">
        <v>58</v>
      </c>
      <c r="G356" s="31">
        <f t="shared" si="11"/>
        <v>58</v>
      </c>
      <c r="H356" s="30" t="s">
        <v>2382</v>
      </c>
    </row>
    <row r="357" spans="1:8" ht="15" thickBot="1">
      <c r="A357" s="30" t="s">
        <v>1724</v>
      </c>
      <c r="B357" s="30" t="s">
        <v>2224</v>
      </c>
      <c r="C357" s="30" t="s">
        <v>2373</v>
      </c>
      <c r="D357" s="30" t="str">
        <f t="shared" si="10"/>
        <v>Furniture</v>
      </c>
      <c r="E357" s="31">
        <v>891.65</v>
      </c>
      <c r="F357" s="31">
        <v>9</v>
      </c>
      <c r="G357" s="31">
        <f t="shared" si="11"/>
        <v>9</v>
      </c>
      <c r="H357" s="30" t="s">
        <v>2383</v>
      </c>
    </row>
    <row r="358" spans="1:8" ht="15" thickBot="1">
      <c r="A358" s="30" t="s">
        <v>1725</v>
      </c>
      <c r="B358" s="30" t="s">
        <v>2225</v>
      </c>
      <c r="C358" s="30" t="s">
        <v>2372</v>
      </c>
      <c r="D358" s="30" t="str">
        <f t="shared" si="10"/>
        <v>Clothing</v>
      </c>
      <c r="E358" s="31">
        <v>683.23</v>
      </c>
      <c r="F358" s="31">
        <v>47</v>
      </c>
      <c r="G358" s="31">
        <f t="shared" si="11"/>
        <v>47</v>
      </c>
      <c r="H358" s="30" t="s">
        <v>2384</v>
      </c>
    </row>
    <row r="359" spans="1:8" ht="15" thickBot="1">
      <c r="A359" s="30" t="s">
        <v>1726</v>
      </c>
      <c r="B359" s="30" t="s">
        <v>2226</v>
      </c>
      <c r="C359" s="30" t="s">
        <v>2373</v>
      </c>
      <c r="D359" s="30" t="str">
        <f t="shared" si="10"/>
        <v>Furniture</v>
      </c>
      <c r="E359" s="31">
        <v>365.1</v>
      </c>
      <c r="F359" s="31">
        <v>80</v>
      </c>
      <c r="G359" s="31">
        <f t="shared" si="11"/>
        <v>80</v>
      </c>
      <c r="H359" s="32" t="s">
        <v>2385</v>
      </c>
    </row>
    <row r="360" spans="1:8" ht="15" thickBot="1">
      <c r="A360" s="30" t="s">
        <v>1727</v>
      </c>
      <c r="B360" s="30" t="s">
        <v>2227</v>
      </c>
      <c r="C360" s="30" t="s">
        <v>2372</v>
      </c>
      <c r="D360" s="30" t="str">
        <f t="shared" si="10"/>
        <v>Clothing</v>
      </c>
      <c r="E360" s="31">
        <v>608.1</v>
      </c>
      <c r="F360" s="31">
        <v>-2</v>
      </c>
      <c r="G360" s="31">
        <f t="shared" si="11"/>
        <v>0</v>
      </c>
      <c r="H360" s="30" t="s">
        <v>2386</v>
      </c>
    </row>
    <row r="361" spans="1:8" ht="15" thickBot="1">
      <c r="A361" s="30" t="s">
        <v>1728</v>
      </c>
      <c r="B361" s="30" t="s">
        <v>2228</v>
      </c>
      <c r="C361" s="30" t="s">
        <v>2372</v>
      </c>
      <c r="D361" s="30" t="str">
        <f t="shared" si="10"/>
        <v>Clothing</v>
      </c>
      <c r="E361" s="31">
        <v>495.37</v>
      </c>
      <c r="F361" s="31">
        <v>35</v>
      </c>
      <c r="G361" s="31">
        <f t="shared" si="11"/>
        <v>35</v>
      </c>
      <c r="H361" s="30" t="s">
        <v>2387</v>
      </c>
    </row>
    <row r="362" spans="1:8" ht="15" thickBot="1">
      <c r="A362" s="30" t="s">
        <v>1729</v>
      </c>
      <c r="B362" s="30" t="s">
        <v>2229</v>
      </c>
      <c r="C362" s="30" t="s">
        <v>2370</v>
      </c>
      <c r="D362" s="30" t="str">
        <f t="shared" si="10"/>
        <v>Electronics</v>
      </c>
      <c r="E362" s="31">
        <v>999.62</v>
      </c>
      <c r="F362" s="31">
        <v>82</v>
      </c>
      <c r="G362" s="31">
        <f t="shared" si="11"/>
        <v>82</v>
      </c>
      <c r="H362" s="30" t="s">
        <v>2378</v>
      </c>
    </row>
    <row r="363" spans="1:8" ht="15" thickBot="1">
      <c r="A363" s="30" t="s">
        <v>1730</v>
      </c>
      <c r="B363" s="30" t="s">
        <v>2230</v>
      </c>
      <c r="C363" s="30" t="s">
        <v>2373</v>
      </c>
      <c r="D363" s="30" t="str">
        <f t="shared" si="10"/>
        <v>Furniture</v>
      </c>
      <c r="E363" s="31">
        <v>810.19</v>
      </c>
      <c r="F363" s="31">
        <v>25</v>
      </c>
      <c r="G363" s="31">
        <f t="shared" si="11"/>
        <v>25</v>
      </c>
      <c r="H363" s="30" t="s">
        <v>2379</v>
      </c>
    </row>
    <row r="364" spans="1:8" ht="15" thickBot="1">
      <c r="A364" s="30" t="s">
        <v>1731</v>
      </c>
      <c r="B364" s="30" t="s">
        <v>2231</v>
      </c>
      <c r="C364" s="30" t="s">
        <v>2376</v>
      </c>
      <c r="D364" s="30" t="str">
        <f t="shared" si="10"/>
        <v>Food</v>
      </c>
      <c r="E364" s="31">
        <v>688.72</v>
      </c>
      <c r="F364" s="31">
        <v>45</v>
      </c>
      <c r="G364" s="31">
        <f t="shared" si="11"/>
        <v>45</v>
      </c>
      <c r="H364" s="30" t="s">
        <v>2380</v>
      </c>
    </row>
    <row r="365" spans="1:8" ht="15" thickBot="1">
      <c r="A365" s="30" t="s">
        <v>1732</v>
      </c>
      <c r="B365" s="30" t="s">
        <v>2232</v>
      </c>
      <c r="C365" s="30" t="s">
        <v>2372</v>
      </c>
      <c r="D365" s="30" t="str">
        <f t="shared" si="10"/>
        <v>Clothing</v>
      </c>
      <c r="E365" s="31">
        <v>804.4</v>
      </c>
      <c r="F365" s="31">
        <v>88</v>
      </c>
      <c r="G365" s="31">
        <f t="shared" si="11"/>
        <v>88</v>
      </c>
      <c r="H365" s="30" t="s">
        <v>2381</v>
      </c>
    </row>
    <row r="366" spans="1:8" ht="15" thickBot="1">
      <c r="A366" s="30" t="s">
        <v>1733</v>
      </c>
      <c r="B366" s="30" t="s">
        <v>2233</v>
      </c>
      <c r="C366" s="30" t="s">
        <v>2370</v>
      </c>
      <c r="D366" s="30" t="str">
        <f t="shared" si="10"/>
        <v>Electronics</v>
      </c>
      <c r="E366" s="31">
        <v>501.69</v>
      </c>
      <c r="F366" s="31">
        <v>70</v>
      </c>
      <c r="G366" s="31">
        <f t="shared" si="11"/>
        <v>70</v>
      </c>
      <c r="H366" s="30" t="s">
        <v>2382</v>
      </c>
    </row>
    <row r="367" spans="1:8" ht="15" thickBot="1">
      <c r="A367" s="30" t="s">
        <v>1734</v>
      </c>
      <c r="B367" s="30" t="s">
        <v>2234</v>
      </c>
      <c r="C367" s="30" t="s">
        <v>2370</v>
      </c>
      <c r="D367" s="30" t="str">
        <f t="shared" si="10"/>
        <v>Electronics</v>
      </c>
      <c r="E367" s="31">
        <v>863.92</v>
      </c>
      <c r="F367" s="31">
        <v>17</v>
      </c>
      <c r="G367" s="31">
        <f t="shared" si="11"/>
        <v>17</v>
      </c>
      <c r="H367" s="30" t="s">
        <v>2383</v>
      </c>
    </row>
    <row r="368" spans="1:8" ht="15" thickBot="1">
      <c r="A368" s="30" t="s">
        <v>1735</v>
      </c>
      <c r="B368" s="30" t="s">
        <v>2235</v>
      </c>
      <c r="C368" s="30" t="s">
        <v>2374</v>
      </c>
      <c r="D368" s="30" t="str">
        <f t="shared" si="10"/>
        <v>Stationery</v>
      </c>
      <c r="E368" s="31">
        <v>653.04</v>
      </c>
      <c r="F368" s="31">
        <v>43</v>
      </c>
      <c r="G368" s="31">
        <f t="shared" si="11"/>
        <v>43</v>
      </c>
      <c r="H368" s="30" t="s">
        <v>2384</v>
      </c>
    </row>
    <row r="369" spans="1:8" ht="15" thickBot="1">
      <c r="A369" s="30" t="s">
        <v>1736</v>
      </c>
      <c r="B369" s="30" t="s">
        <v>2236</v>
      </c>
      <c r="C369" s="30" t="s">
        <v>2370</v>
      </c>
      <c r="D369" s="30" t="str">
        <f t="shared" si="10"/>
        <v>Electronics</v>
      </c>
      <c r="E369" s="31">
        <v>287.69</v>
      </c>
      <c r="F369" s="31">
        <v>8</v>
      </c>
      <c r="G369" s="31">
        <f t="shared" si="11"/>
        <v>8</v>
      </c>
      <c r="H369" s="32" t="s">
        <v>2385</v>
      </c>
    </row>
    <row r="370" spans="1:8" ht="15" thickBot="1">
      <c r="A370" s="30" t="s">
        <v>1737</v>
      </c>
      <c r="B370" s="30" t="s">
        <v>2237</v>
      </c>
      <c r="C370" s="30" t="s">
        <v>2370</v>
      </c>
      <c r="D370" s="30" t="str">
        <f t="shared" si="10"/>
        <v>Electronics</v>
      </c>
      <c r="E370" s="31">
        <v>175.63</v>
      </c>
      <c r="F370" s="31">
        <v>3</v>
      </c>
      <c r="G370" s="31">
        <f t="shared" si="11"/>
        <v>3</v>
      </c>
      <c r="H370" s="30" t="s">
        <v>2386</v>
      </c>
    </row>
    <row r="371" spans="1:8" ht="15" thickBot="1">
      <c r="A371" s="30" t="s">
        <v>1738</v>
      </c>
      <c r="B371" s="30" t="s">
        <v>2238</v>
      </c>
      <c r="C371" s="30" t="s">
        <v>2370</v>
      </c>
      <c r="D371" s="30" t="str">
        <f t="shared" si="10"/>
        <v>Electronics</v>
      </c>
      <c r="E371" s="31">
        <v>650.97</v>
      </c>
      <c r="F371" s="31">
        <v>34</v>
      </c>
      <c r="G371" s="31">
        <f t="shared" si="11"/>
        <v>34</v>
      </c>
      <c r="H371" s="30" t="s">
        <v>2387</v>
      </c>
    </row>
    <row r="372" spans="1:8" ht="15" thickBot="1">
      <c r="A372" s="30" t="s">
        <v>1739</v>
      </c>
      <c r="B372" s="30" t="s">
        <v>2239</v>
      </c>
      <c r="C372" s="30" t="s">
        <v>2370</v>
      </c>
      <c r="D372" s="30" t="str">
        <f t="shared" si="10"/>
        <v>Electronics</v>
      </c>
      <c r="E372" s="31">
        <v>778.01</v>
      </c>
      <c r="F372" s="31">
        <v>75</v>
      </c>
      <c r="G372" s="31">
        <f t="shared" si="11"/>
        <v>75</v>
      </c>
      <c r="H372" s="30" t="s">
        <v>2378</v>
      </c>
    </row>
    <row r="373" spans="1:8" ht="15" thickBot="1">
      <c r="A373" s="30" t="s">
        <v>1740</v>
      </c>
      <c r="B373" s="30" t="s">
        <v>2240</v>
      </c>
      <c r="C373" s="30" t="s">
        <v>2372</v>
      </c>
      <c r="D373" s="30" t="str">
        <f t="shared" si="10"/>
        <v>Clothing</v>
      </c>
      <c r="E373" s="31">
        <v>358.25</v>
      </c>
      <c r="F373" s="31">
        <v>61</v>
      </c>
      <c r="G373" s="31">
        <f t="shared" si="11"/>
        <v>61</v>
      </c>
      <c r="H373" s="30" t="s">
        <v>2379</v>
      </c>
    </row>
    <row r="374" spans="1:8" ht="15" thickBot="1">
      <c r="A374" s="30" t="s">
        <v>1741</v>
      </c>
      <c r="B374" s="30" t="s">
        <v>2241</v>
      </c>
      <c r="C374" s="30" t="s">
        <v>2372</v>
      </c>
      <c r="D374" s="30" t="str">
        <f t="shared" si="10"/>
        <v>Clothing</v>
      </c>
      <c r="E374" s="31">
        <v>323</v>
      </c>
      <c r="F374" s="31">
        <v>-8</v>
      </c>
      <c r="G374" s="31">
        <f t="shared" si="11"/>
        <v>0</v>
      </c>
      <c r="H374" s="30" t="s">
        <v>2380</v>
      </c>
    </row>
    <row r="375" spans="1:8" ht="15" thickBot="1">
      <c r="A375" s="30" t="s">
        <v>1742</v>
      </c>
      <c r="B375" s="30" t="s">
        <v>2242</v>
      </c>
      <c r="C375" s="30" t="s">
        <v>2374</v>
      </c>
      <c r="D375" s="30" t="str">
        <f t="shared" si="10"/>
        <v>Stationery</v>
      </c>
      <c r="E375" s="31">
        <v>384.14</v>
      </c>
      <c r="F375" s="31">
        <v>15</v>
      </c>
      <c r="G375" s="31">
        <f t="shared" si="11"/>
        <v>15</v>
      </c>
      <c r="H375" s="30" t="s">
        <v>2381</v>
      </c>
    </row>
    <row r="376" spans="1:8" ht="15" thickBot="1">
      <c r="A376" s="30" t="s">
        <v>1743</v>
      </c>
      <c r="B376" s="30" t="s">
        <v>2243</v>
      </c>
      <c r="C376" s="30" t="s">
        <v>2374</v>
      </c>
      <c r="D376" s="30" t="str">
        <f t="shared" si="10"/>
        <v>Stationery</v>
      </c>
      <c r="E376" s="31">
        <v>952.49</v>
      </c>
      <c r="F376" s="31">
        <v>89</v>
      </c>
      <c r="G376" s="31">
        <f t="shared" si="11"/>
        <v>89</v>
      </c>
      <c r="H376" s="30" t="s">
        <v>2382</v>
      </c>
    </row>
    <row r="377" spans="1:8" ht="15" thickBot="1">
      <c r="A377" s="30" t="s">
        <v>1744</v>
      </c>
      <c r="B377" s="30" t="s">
        <v>2244</v>
      </c>
      <c r="C377" s="30" t="s">
        <v>2374</v>
      </c>
      <c r="D377" s="30" t="str">
        <f t="shared" si="10"/>
        <v>Stationery</v>
      </c>
      <c r="E377" s="31">
        <v>628.48</v>
      </c>
      <c r="F377" s="31">
        <v>27</v>
      </c>
      <c r="G377" s="31">
        <f t="shared" si="11"/>
        <v>27</v>
      </c>
      <c r="H377" s="30" t="s">
        <v>2383</v>
      </c>
    </row>
    <row r="378" spans="1:8" ht="15" thickBot="1">
      <c r="A378" s="30" t="s">
        <v>1745</v>
      </c>
      <c r="B378" s="30" t="s">
        <v>2245</v>
      </c>
      <c r="C378" s="30" t="s">
        <v>2376</v>
      </c>
      <c r="D378" s="30" t="str">
        <f t="shared" si="10"/>
        <v>Food</v>
      </c>
      <c r="E378" s="31">
        <v>827.56</v>
      </c>
      <c r="F378" s="31">
        <v>92</v>
      </c>
      <c r="G378" s="31">
        <f t="shared" si="11"/>
        <v>92</v>
      </c>
      <c r="H378" s="30" t="s">
        <v>2384</v>
      </c>
    </row>
    <row r="379" spans="1:8" ht="15" thickBot="1">
      <c r="A379" s="30" t="s">
        <v>1746</v>
      </c>
      <c r="B379" s="30" t="s">
        <v>2246</v>
      </c>
      <c r="C379" s="30" t="s">
        <v>2372</v>
      </c>
      <c r="D379" s="30" t="str">
        <f t="shared" si="10"/>
        <v>Clothing</v>
      </c>
      <c r="E379" s="31">
        <v>695.98</v>
      </c>
      <c r="F379" s="31">
        <v>57</v>
      </c>
      <c r="G379" s="31">
        <f t="shared" si="11"/>
        <v>57</v>
      </c>
      <c r="H379" s="32" t="s">
        <v>2385</v>
      </c>
    </row>
    <row r="380" spans="1:8" ht="15" thickBot="1">
      <c r="A380" s="30" t="s">
        <v>1747</v>
      </c>
      <c r="B380" s="30" t="s">
        <v>2247</v>
      </c>
      <c r="C380" s="30" t="s">
        <v>2373</v>
      </c>
      <c r="D380" s="30" t="str">
        <f t="shared" si="10"/>
        <v>Furniture</v>
      </c>
      <c r="E380" s="31">
        <v>902.33</v>
      </c>
      <c r="F380" s="31">
        <v>46</v>
      </c>
      <c r="G380" s="31">
        <f t="shared" si="11"/>
        <v>46</v>
      </c>
      <c r="H380" s="30" t="s">
        <v>2386</v>
      </c>
    </row>
    <row r="381" spans="1:8" ht="15" thickBot="1">
      <c r="A381" s="30" t="s">
        <v>1748</v>
      </c>
      <c r="B381" s="30" t="s">
        <v>2248</v>
      </c>
      <c r="C381" s="30" t="s">
        <v>2372</v>
      </c>
      <c r="D381" s="30" t="str">
        <f t="shared" si="10"/>
        <v>Clothing</v>
      </c>
      <c r="E381" s="31">
        <v>420.41</v>
      </c>
      <c r="F381" s="31">
        <v>58</v>
      </c>
      <c r="G381" s="31">
        <f t="shared" si="11"/>
        <v>58</v>
      </c>
      <c r="H381" s="30" t="s">
        <v>2387</v>
      </c>
    </row>
    <row r="382" spans="1:8" ht="15" thickBot="1">
      <c r="A382" s="30" t="s">
        <v>1749</v>
      </c>
      <c r="B382" s="30" t="s">
        <v>2249</v>
      </c>
      <c r="C382" s="30" t="s">
        <v>2372</v>
      </c>
      <c r="D382" s="30" t="str">
        <f t="shared" si="10"/>
        <v>Clothing</v>
      </c>
      <c r="E382" s="31">
        <v>798.08</v>
      </c>
      <c r="F382" s="31">
        <v>97</v>
      </c>
      <c r="G382" s="31">
        <f t="shared" si="11"/>
        <v>97</v>
      </c>
      <c r="H382" s="30" t="s">
        <v>2378</v>
      </c>
    </row>
    <row r="383" spans="1:8" ht="15" thickBot="1">
      <c r="A383" s="30" t="s">
        <v>1750</v>
      </c>
      <c r="B383" s="30" t="s">
        <v>2250</v>
      </c>
      <c r="C383" s="30" t="s">
        <v>2373</v>
      </c>
      <c r="D383" s="30" t="str">
        <f t="shared" si="10"/>
        <v>Furniture</v>
      </c>
      <c r="E383" s="31">
        <v>468.78</v>
      </c>
      <c r="F383" s="31">
        <v>-5</v>
      </c>
      <c r="G383" s="31">
        <f t="shared" si="11"/>
        <v>0</v>
      </c>
      <c r="H383" s="30" t="s">
        <v>2379</v>
      </c>
    </row>
    <row r="384" spans="1:8" ht="15" thickBot="1">
      <c r="A384" s="30" t="s">
        <v>1751</v>
      </c>
      <c r="B384" s="30" t="s">
        <v>2251</v>
      </c>
      <c r="C384" s="30" t="s">
        <v>2373</v>
      </c>
      <c r="D384" s="30" t="str">
        <f t="shared" si="10"/>
        <v>Furniture</v>
      </c>
      <c r="E384" s="31">
        <v>846.18</v>
      </c>
      <c r="F384" s="31">
        <v>37</v>
      </c>
      <c r="G384" s="31">
        <f t="shared" si="11"/>
        <v>37</v>
      </c>
      <c r="H384" s="30" t="s">
        <v>2380</v>
      </c>
    </row>
    <row r="385" spans="1:8" ht="15" thickBot="1">
      <c r="A385" s="30" t="s">
        <v>1752</v>
      </c>
      <c r="B385" s="30" t="s">
        <v>2252</v>
      </c>
      <c r="C385" s="30" t="s">
        <v>2376</v>
      </c>
      <c r="D385" s="30" t="str">
        <f t="shared" si="10"/>
        <v>Food</v>
      </c>
      <c r="E385" s="31">
        <v>668.87</v>
      </c>
      <c r="F385" s="31">
        <v>82</v>
      </c>
      <c r="G385" s="31">
        <f t="shared" si="11"/>
        <v>82</v>
      </c>
      <c r="H385" s="30" t="s">
        <v>2381</v>
      </c>
    </row>
    <row r="386" spans="1:8" ht="15" thickBot="1">
      <c r="A386" s="30" t="s">
        <v>1753</v>
      </c>
      <c r="B386" s="30" t="s">
        <v>2253</v>
      </c>
      <c r="C386" s="30" t="s">
        <v>2372</v>
      </c>
      <c r="D386" s="30" t="str">
        <f t="shared" si="10"/>
        <v>Clothing</v>
      </c>
      <c r="E386" s="31">
        <v>285.81</v>
      </c>
      <c r="F386" s="31">
        <v>1</v>
      </c>
      <c r="G386" s="31">
        <f t="shared" si="11"/>
        <v>1</v>
      </c>
      <c r="H386" s="30" t="s">
        <v>2382</v>
      </c>
    </row>
    <row r="387" spans="1:8" ht="15" thickBot="1">
      <c r="A387" s="30" t="s">
        <v>1754</v>
      </c>
      <c r="B387" s="30" t="s">
        <v>2254</v>
      </c>
      <c r="C387" s="30" t="s">
        <v>2370</v>
      </c>
      <c r="D387" s="30" t="str">
        <f t="shared" ref="D387:D450" si="12">PROPER(C387)</f>
        <v>Electronics</v>
      </c>
      <c r="E387" s="31">
        <v>901.5</v>
      </c>
      <c r="F387" s="31">
        <v>62</v>
      </c>
      <c r="G387" s="31">
        <f t="shared" ref="G387:G450" si="13">IF(F387&lt;0,0,F387)</f>
        <v>62</v>
      </c>
      <c r="H387" s="30" t="s">
        <v>2383</v>
      </c>
    </row>
    <row r="388" spans="1:8" ht="15" thickBot="1">
      <c r="A388" s="30" t="s">
        <v>1755</v>
      </c>
      <c r="B388" s="30" t="s">
        <v>2255</v>
      </c>
      <c r="C388" s="30" t="s">
        <v>2370</v>
      </c>
      <c r="D388" s="30" t="str">
        <f t="shared" si="12"/>
        <v>Electronics</v>
      </c>
      <c r="E388" s="31">
        <v>228.39</v>
      </c>
      <c r="F388" s="31">
        <v>-7</v>
      </c>
      <c r="G388" s="31">
        <f t="shared" si="13"/>
        <v>0</v>
      </c>
      <c r="H388" s="30" t="s">
        <v>2384</v>
      </c>
    </row>
    <row r="389" spans="1:8" ht="15" thickBot="1">
      <c r="A389" s="30" t="s">
        <v>1756</v>
      </c>
      <c r="B389" s="30" t="s">
        <v>2256</v>
      </c>
      <c r="C389" s="30" t="s">
        <v>2372</v>
      </c>
      <c r="D389" s="30" t="str">
        <f t="shared" si="12"/>
        <v>Clothing</v>
      </c>
      <c r="E389" s="31">
        <v>905.74</v>
      </c>
      <c r="F389" s="31">
        <v>59</v>
      </c>
      <c r="G389" s="31">
        <f t="shared" si="13"/>
        <v>59</v>
      </c>
      <c r="H389" s="32" t="s">
        <v>2385</v>
      </c>
    </row>
    <row r="390" spans="1:8" ht="15" thickBot="1">
      <c r="A390" s="30" t="s">
        <v>1757</v>
      </c>
      <c r="B390" s="30" t="s">
        <v>2257</v>
      </c>
      <c r="C390" s="30" t="s">
        <v>2373</v>
      </c>
      <c r="D390" s="30" t="str">
        <f t="shared" si="12"/>
        <v>Furniture</v>
      </c>
      <c r="E390" s="31">
        <v>821.84</v>
      </c>
      <c r="F390" s="31">
        <v>74</v>
      </c>
      <c r="G390" s="31">
        <f t="shared" si="13"/>
        <v>74</v>
      </c>
      <c r="H390" s="30" t="s">
        <v>2386</v>
      </c>
    </row>
    <row r="391" spans="1:8" ht="15" thickBot="1">
      <c r="A391" s="30" t="s">
        <v>1758</v>
      </c>
      <c r="B391" s="30" t="s">
        <v>2258</v>
      </c>
      <c r="C391" s="30" t="s">
        <v>2374</v>
      </c>
      <c r="D391" s="30" t="str">
        <f t="shared" si="12"/>
        <v>Stationery</v>
      </c>
      <c r="E391" s="31">
        <v>99.42</v>
      </c>
      <c r="F391" s="31">
        <v>92</v>
      </c>
      <c r="G391" s="31">
        <f t="shared" si="13"/>
        <v>92</v>
      </c>
      <c r="H391" s="30" t="s">
        <v>2387</v>
      </c>
    </row>
    <row r="392" spans="1:8" ht="15" thickBot="1">
      <c r="A392" s="30" t="s">
        <v>1759</v>
      </c>
      <c r="B392" s="30" t="s">
        <v>2259</v>
      </c>
      <c r="C392" s="30" t="s">
        <v>2370</v>
      </c>
      <c r="D392" s="30" t="str">
        <f t="shared" si="12"/>
        <v>Electronics</v>
      </c>
      <c r="E392" s="31">
        <v>888.88</v>
      </c>
      <c r="F392" s="31">
        <v>1</v>
      </c>
      <c r="G392" s="31">
        <f t="shared" si="13"/>
        <v>1</v>
      </c>
      <c r="H392" s="30" t="s">
        <v>2378</v>
      </c>
    </row>
    <row r="393" spans="1:8" ht="15" thickBot="1">
      <c r="A393" s="30" t="s">
        <v>1760</v>
      </c>
      <c r="B393" s="30" t="s">
        <v>2260</v>
      </c>
      <c r="C393" s="30" t="s">
        <v>2374</v>
      </c>
      <c r="D393" s="30" t="str">
        <f t="shared" si="12"/>
        <v>Stationery</v>
      </c>
      <c r="E393" s="31">
        <v>513.07000000000005</v>
      </c>
      <c r="F393" s="31">
        <v>64</v>
      </c>
      <c r="G393" s="31">
        <f t="shared" si="13"/>
        <v>64</v>
      </c>
      <c r="H393" s="30" t="s">
        <v>2379</v>
      </c>
    </row>
    <row r="394" spans="1:8" ht="15" thickBot="1">
      <c r="A394" s="30" t="s">
        <v>1761</v>
      </c>
      <c r="B394" s="30" t="s">
        <v>2261</v>
      </c>
      <c r="C394" s="30" t="s">
        <v>2374</v>
      </c>
      <c r="D394" s="30" t="str">
        <f t="shared" si="12"/>
        <v>Stationery</v>
      </c>
      <c r="E394" s="31">
        <v>145.58000000000001</v>
      </c>
      <c r="F394" s="31">
        <v>-4</v>
      </c>
      <c r="G394" s="31">
        <f t="shared" si="13"/>
        <v>0</v>
      </c>
      <c r="H394" s="30" t="s">
        <v>2380</v>
      </c>
    </row>
    <row r="395" spans="1:8" ht="15" thickBot="1">
      <c r="A395" s="30" t="s">
        <v>1762</v>
      </c>
      <c r="B395" s="30" t="s">
        <v>2262</v>
      </c>
      <c r="C395" s="30" t="s">
        <v>2370</v>
      </c>
      <c r="D395" s="30" t="str">
        <f t="shared" si="12"/>
        <v>Electronics</v>
      </c>
      <c r="E395" s="31">
        <v>958.08</v>
      </c>
      <c r="F395" s="31">
        <v>13</v>
      </c>
      <c r="G395" s="31">
        <f t="shared" si="13"/>
        <v>13</v>
      </c>
      <c r="H395" s="30" t="s">
        <v>2381</v>
      </c>
    </row>
    <row r="396" spans="1:8" ht="15" thickBot="1">
      <c r="A396" s="30" t="s">
        <v>1763</v>
      </c>
      <c r="B396" s="30" t="s">
        <v>2263</v>
      </c>
      <c r="C396" s="30" t="s">
        <v>2376</v>
      </c>
      <c r="D396" s="30" t="str">
        <f t="shared" si="12"/>
        <v>Food</v>
      </c>
      <c r="E396" s="31">
        <v>357.59</v>
      </c>
      <c r="F396" s="31">
        <v>21</v>
      </c>
      <c r="G396" s="31">
        <f t="shared" si="13"/>
        <v>21</v>
      </c>
      <c r="H396" s="30" t="s">
        <v>2382</v>
      </c>
    </row>
    <row r="397" spans="1:8" ht="15" thickBot="1">
      <c r="A397" s="30" t="s">
        <v>1764</v>
      </c>
      <c r="B397" s="30" t="s">
        <v>2264</v>
      </c>
      <c r="C397" s="30" t="s">
        <v>2376</v>
      </c>
      <c r="D397" s="30" t="str">
        <f t="shared" si="12"/>
        <v>Food</v>
      </c>
      <c r="E397" s="31">
        <v>371.86</v>
      </c>
      <c r="F397" s="31">
        <v>54</v>
      </c>
      <c r="G397" s="31">
        <f t="shared" si="13"/>
        <v>54</v>
      </c>
      <c r="H397" s="30" t="s">
        <v>2383</v>
      </c>
    </row>
    <row r="398" spans="1:8" ht="15" thickBot="1">
      <c r="A398" s="30" t="s">
        <v>1765</v>
      </c>
      <c r="B398" s="30" t="s">
        <v>2265</v>
      </c>
      <c r="C398" s="30" t="s">
        <v>2370</v>
      </c>
      <c r="D398" s="30" t="str">
        <f t="shared" si="12"/>
        <v>Electronics</v>
      </c>
      <c r="E398" s="31">
        <v>466.12</v>
      </c>
      <c r="F398" s="31">
        <v>37</v>
      </c>
      <c r="G398" s="31">
        <f t="shared" si="13"/>
        <v>37</v>
      </c>
      <c r="H398" s="30" t="s">
        <v>2384</v>
      </c>
    </row>
    <row r="399" spans="1:8" ht="15" thickBot="1">
      <c r="A399" s="30" t="s">
        <v>1766</v>
      </c>
      <c r="B399" s="30" t="s">
        <v>2266</v>
      </c>
      <c r="C399" s="30" t="s">
        <v>2370</v>
      </c>
      <c r="D399" s="30" t="str">
        <f t="shared" si="12"/>
        <v>Electronics</v>
      </c>
      <c r="E399" s="31">
        <v>822.82</v>
      </c>
      <c r="F399" s="31">
        <v>84</v>
      </c>
      <c r="G399" s="31">
        <f t="shared" si="13"/>
        <v>84</v>
      </c>
      <c r="H399" s="32" t="s">
        <v>2385</v>
      </c>
    </row>
    <row r="400" spans="1:8" ht="15" thickBot="1">
      <c r="A400" s="30" t="s">
        <v>1767</v>
      </c>
      <c r="B400" s="30" t="s">
        <v>2267</v>
      </c>
      <c r="C400" s="30" t="s">
        <v>2373</v>
      </c>
      <c r="D400" s="30" t="str">
        <f t="shared" si="12"/>
        <v>Furniture</v>
      </c>
      <c r="E400" s="31">
        <v>759.65</v>
      </c>
      <c r="F400" s="31">
        <v>75</v>
      </c>
      <c r="G400" s="31">
        <f t="shared" si="13"/>
        <v>75</v>
      </c>
      <c r="H400" s="30" t="s">
        <v>2386</v>
      </c>
    </row>
    <row r="401" spans="1:8" ht="15" thickBot="1">
      <c r="A401" s="30" t="s">
        <v>1768</v>
      </c>
      <c r="B401" s="30" t="s">
        <v>2268</v>
      </c>
      <c r="C401" s="30" t="s">
        <v>2372</v>
      </c>
      <c r="D401" s="30" t="str">
        <f t="shared" si="12"/>
        <v>Clothing</v>
      </c>
      <c r="E401" s="31">
        <v>715.03</v>
      </c>
      <c r="F401" s="31">
        <v>-6</v>
      </c>
      <c r="G401" s="31">
        <f t="shared" si="13"/>
        <v>0</v>
      </c>
      <c r="H401" s="30" t="s">
        <v>2387</v>
      </c>
    </row>
    <row r="402" spans="1:8" ht="15" thickBot="1">
      <c r="A402" s="30" t="s">
        <v>1769</v>
      </c>
      <c r="B402" s="30" t="s">
        <v>2269</v>
      </c>
      <c r="C402" s="30" t="s">
        <v>2376</v>
      </c>
      <c r="D402" s="30" t="str">
        <f t="shared" si="12"/>
        <v>Food</v>
      </c>
      <c r="E402" s="31">
        <v>960.29</v>
      </c>
      <c r="F402" s="31">
        <v>23</v>
      </c>
      <c r="G402" s="31">
        <f t="shared" si="13"/>
        <v>23</v>
      </c>
      <c r="H402" s="30" t="s">
        <v>2378</v>
      </c>
    </row>
    <row r="403" spans="1:8" ht="15" thickBot="1">
      <c r="A403" s="30" t="s">
        <v>1770</v>
      </c>
      <c r="B403" s="30" t="s">
        <v>2270</v>
      </c>
      <c r="C403" s="30" t="s">
        <v>2376</v>
      </c>
      <c r="D403" s="30" t="str">
        <f t="shared" si="12"/>
        <v>Food</v>
      </c>
      <c r="E403" s="31">
        <v>499.52</v>
      </c>
      <c r="F403" s="31">
        <v>48</v>
      </c>
      <c r="G403" s="31">
        <f t="shared" si="13"/>
        <v>48</v>
      </c>
      <c r="H403" s="30" t="s">
        <v>2379</v>
      </c>
    </row>
    <row r="404" spans="1:8" ht="15" thickBot="1">
      <c r="A404" s="30" t="s">
        <v>1771</v>
      </c>
      <c r="B404" s="30" t="s">
        <v>2271</v>
      </c>
      <c r="C404" s="30" t="s">
        <v>2376</v>
      </c>
      <c r="D404" s="30" t="str">
        <f t="shared" si="12"/>
        <v>Food</v>
      </c>
      <c r="E404" s="31">
        <v>931.21</v>
      </c>
      <c r="F404" s="31">
        <v>2</v>
      </c>
      <c r="G404" s="31">
        <f t="shared" si="13"/>
        <v>2</v>
      </c>
      <c r="H404" s="30" t="s">
        <v>2380</v>
      </c>
    </row>
    <row r="405" spans="1:8" ht="15" thickBot="1">
      <c r="A405" s="30" t="s">
        <v>1772</v>
      </c>
      <c r="B405" s="30" t="s">
        <v>2272</v>
      </c>
      <c r="C405" s="30" t="s">
        <v>2370</v>
      </c>
      <c r="D405" s="30" t="str">
        <f t="shared" si="12"/>
        <v>Electronics</v>
      </c>
      <c r="E405" s="31">
        <v>931.88</v>
      </c>
      <c r="F405" s="31">
        <v>53</v>
      </c>
      <c r="G405" s="31">
        <f t="shared" si="13"/>
        <v>53</v>
      </c>
      <c r="H405" s="30" t="s">
        <v>2381</v>
      </c>
    </row>
    <row r="406" spans="1:8" ht="15" thickBot="1">
      <c r="A406" s="30" t="s">
        <v>1773</v>
      </c>
      <c r="B406" s="30" t="s">
        <v>2273</v>
      </c>
      <c r="C406" s="30" t="s">
        <v>2374</v>
      </c>
      <c r="D406" s="30" t="str">
        <f t="shared" si="12"/>
        <v>Stationery</v>
      </c>
      <c r="E406" s="31">
        <v>895.39</v>
      </c>
      <c r="F406" s="31">
        <v>78</v>
      </c>
      <c r="G406" s="31">
        <f t="shared" si="13"/>
        <v>78</v>
      </c>
      <c r="H406" s="30" t="s">
        <v>2382</v>
      </c>
    </row>
    <row r="407" spans="1:8" ht="15" thickBot="1">
      <c r="A407" s="30" t="s">
        <v>1774</v>
      </c>
      <c r="B407" s="30" t="s">
        <v>2274</v>
      </c>
      <c r="C407" s="30" t="s">
        <v>2373</v>
      </c>
      <c r="D407" s="30" t="str">
        <f t="shared" si="12"/>
        <v>Furniture</v>
      </c>
      <c r="E407" s="31">
        <v>736.04</v>
      </c>
      <c r="F407" s="31">
        <v>-9</v>
      </c>
      <c r="G407" s="31">
        <f t="shared" si="13"/>
        <v>0</v>
      </c>
      <c r="H407" s="30" t="s">
        <v>2383</v>
      </c>
    </row>
    <row r="408" spans="1:8" ht="15" thickBot="1">
      <c r="A408" s="30" t="s">
        <v>1775</v>
      </c>
      <c r="B408" s="30" t="s">
        <v>2275</v>
      </c>
      <c r="C408" s="30" t="s">
        <v>2370</v>
      </c>
      <c r="D408" s="30" t="str">
        <f t="shared" si="12"/>
        <v>Electronics</v>
      </c>
      <c r="E408" s="31">
        <v>315.91000000000003</v>
      </c>
      <c r="F408" s="31">
        <v>63</v>
      </c>
      <c r="G408" s="31">
        <f t="shared" si="13"/>
        <v>63</v>
      </c>
      <c r="H408" s="30" t="s">
        <v>2384</v>
      </c>
    </row>
    <row r="409" spans="1:8" ht="15" thickBot="1">
      <c r="A409" s="30" t="s">
        <v>1776</v>
      </c>
      <c r="B409" s="30" t="s">
        <v>2276</v>
      </c>
      <c r="C409" s="30" t="s">
        <v>2376</v>
      </c>
      <c r="D409" s="30" t="str">
        <f t="shared" si="12"/>
        <v>Food</v>
      </c>
      <c r="E409" s="31">
        <v>390.05</v>
      </c>
      <c r="F409" s="31">
        <v>70</v>
      </c>
      <c r="G409" s="31">
        <f t="shared" si="13"/>
        <v>70</v>
      </c>
      <c r="H409" s="32" t="s">
        <v>2385</v>
      </c>
    </row>
    <row r="410" spans="1:8" ht="15" thickBot="1">
      <c r="A410" s="30" t="s">
        <v>1777</v>
      </c>
      <c r="B410" s="30" t="s">
        <v>2277</v>
      </c>
      <c r="C410" s="30" t="s">
        <v>2373</v>
      </c>
      <c r="D410" s="30" t="str">
        <f t="shared" si="12"/>
        <v>Furniture</v>
      </c>
      <c r="E410" s="31">
        <v>86.41</v>
      </c>
      <c r="F410" s="31">
        <v>64</v>
      </c>
      <c r="G410" s="31">
        <f t="shared" si="13"/>
        <v>64</v>
      </c>
      <c r="H410" s="30" t="s">
        <v>2386</v>
      </c>
    </row>
    <row r="411" spans="1:8" ht="15" thickBot="1">
      <c r="A411" s="30" t="s">
        <v>1778</v>
      </c>
      <c r="B411" s="30" t="s">
        <v>2278</v>
      </c>
      <c r="C411" s="30" t="s">
        <v>2374</v>
      </c>
      <c r="D411" s="30" t="str">
        <f t="shared" si="12"/>
        <v>Stationery</v>
      </c>
      <c r="E411" s="31">
        <v>297.97000000000003</v>
      </c>
      <c r="F411" s="31">
        <v>41</v>
      </c>
      <c r="G411" s="31">
        <f t="shared" si="13"/>
        <v>41</v>
      </c>
      <c r="H411" s="30" t="s">
        <v>2387</v>
      </c>
    </row>
    <row r="412" spans="1:8" ht="15" thickBot="1">
      <c r="A412" s="30" t="s">
        <v>1779</v>
      </c>
      <c r="B412" s="30" t="s">
        <v>2279</v>
      </c>
      <c r="C412" s="30" t="s">
        <v>2374</v>
      </c>
      <c r="D412" s="30" t="str">
        <f t="shared" si="12"/>
        <v>Stationery</v>
      </c>
      <c r="E412" s="31">
        <v>982.28</v>
      </c>
      <c r="F412" s="31">
        <v>14</v>
      </c>
      <c r="G412" s="31">
        <f t="shared" si="13"/>
        <v>14</v>
      </c>
      <c r="H412" s="30" t="s">
        <v>2378</v>
      </c>
    </row>
    <row r="413" spans="1:8" ht="15" thickBot="1">
      <c r="A413" s="30" t="s">
        <v>1780</v>
      </c>
      <c r="B413" s="30" t="s">
        <v>2280</v>
      </c>
      <c r="C413" s="30" t="s">
        <v>2373</v>
      </c>
      <c r="D413" s="30" t="str">
        <f t="shared" si="12"/>
        <v>Furniture</v>
      </c>
      <c r="E413" s="31">
        <v>229.63</v>
      </c>
      <c r="F413" s="31">
        <v>-7</v>
      </c>
      <c r="G413" s="31">
        <f t="shared" si="13"/>
        <v>0</v>
      </c>
      <c r="H413" s="30" t="s">
        <v>2379</v>
      </c>
    </row>
    <row r="414" spans="1:8" ht="15" thickBot="1">
      <c r="A414" s="30" t="s">
        <v>1781</v>
      </c>
      <c r="B414" s="30" t="s">
        <v>2281</v>
      </c>
      <c r="C414" s="30" t="s">
        <v>2374</v>
      </c>
      <c r="D414" s="30" t="str">
        <f t="shared" si="12"/>
        <v>Stationery</v>
      </c>
      <c r="E414" s="31">
        <v>324.85000000000002</v>
      </c>
      <c r="F414" s="31">
        <v>8</v>
      </c>
      <c r="G414" s="31">
        <f t="shared" si="13"/>
        <v>8</v>
      </c>
      <c r="H414" s="30" t="s">
        <v>2380</v>
      </c>
    </row>
    <row r="415" spans="1:8" ht="15" thickBot="1">
      <c r="A415" s="30" t="s">
        <v>1782</v>
      </c>
      <c r="B415" s="30" t="s">
        <v>2282</v>
      </c>
      <c r="C415" s="30" t="s">
        <v>2373</v>
      </c>
      <c r="D415" s="30" t="str">
        <f t="shared" si="12"/>
        <v>Furniture</v>
      </c>
      <c r="E415" s="31">
        <v>380.52</v>
      </c>
      <c r="F415" s="31">
        <v>49</v>
      </c>
      <c r="G415" s="31">
        <f t="shared" si="13"/>
        <v>49</v>
      </c>
      <c r="H415" s="30" t="s">
        <v>2381</v>
      </c>
    </row>
    <row r="416" spans="1:8" ht="15" thickBot="1">
      <c r="A416" s="30" t="s">
        <v>1783</v>
      </c>
      <c r="B416" s="30" t="s">
        <v>2283</v>
      </c>
      <c r="C416" s="30" t="s">
        <v>2370</v>
      </c>
      <c r="D416" s="30" t="str">
        <f t="shared" si="12"/>
        <v>Electronics</v>
      </c>
      <c r="E416" s="31">
        <v>877.99</v>
      </c>
      <c r="F416" s="31">
        <v>30</v>
      </c>
      <c r="G416" s="31">
        <f t="shared" si="13"/>
        <v>30</v>
      </c>
      <c r="H416" s="30" t="s">
        <v>2382</v>
      </c>
    </row>
    <row r="417" spans="1:8" ht="15" thickBot="1">
      <c r="A417" s="30" t="s">
        <v>1784</v>
      </c>
      <c r="B417" s="30" t="s">
        <v>2284</v>
      </c>
      <c r="C417" s="30" t="s">
        <v>2376</v>
      </c>
      <c r="D417" s="30" t="str">
        <f t="shared" si="12"/>
        <v>Food</v>
      </c>
      <c r="E417" s="31">
        <v>938.45</v>
      </c>
      <c r="F417" s="31">
        <v>53</v>
      </c>
      <c r="G417" s="31">
        <f t="shared" si="13"/>
        <v>53</v>
      </c>
      <c r="H417" s="30" t="s">
        <v>2383</v>
      </c>
    </row>
    <row r="418" spans="1:8" ht="15" thickBot="1">
      <c r="A418" s="30" t="s">
        <v>1785</v>
      </c>
      <c r="B418" s="30" t="s">
        <v>2285</v>
      </c>
      <c r="C418" s="30" t="s">
        <v>2372</v>
      </c>
      <c r="D418" s="30" t="str">
        <f t="shared" si="12"/>
        <v>Clothing</v>
      </c>
      <c r="E418" s="31">
        <v>713.93</v>
      </c>
      <c r="F418" s="31">
        <v>47</v>
      </c>
      <c r="G418" s="31">
        <f t="shared" si="13"/>
        <v>47</v>
      </c>
      <c r="H418" s="30" t="s">
        <v>2384</v>
      </c>
    </row>
    <row r="419" spans="1:8" ht="15" thickBot="1">
      <c r="A419" s="30" t="s">
        <v>1786</v>
      </c>
      <c r="B419" s="30" t="s">
        <v>2286</v>
      </c>
      <c r="C419" s="30" t="s">
        <v>2372</v>
      </c>
      <c r="D419" s="30" t="str">
        <f t="shared" si="12"/>
        <v>Clothing</v>
      </c>
      <c r="E419" s="31">
        <v>352.05</v>
      </c>
      <c r="F419" s="31">
        <v>79</v>
      </c>
      <c r="G419" s="31">
        <f t="shared" si="13"/>
        <v>79</v>
      </c>
      <c r="H419" s="32" t="s">
        <v>2385</v>
      </c>
    </row>
    <row r="420" spans="1:8" ht="15" thickBot="1">
      <c r="A420" s="30" t="s">
        <v>1787</v>
      </c>
      <c r="B420" s="30" t="s">
        <v>2287</v>
      </c>
      <c r="C420" s="30" t="s">
        <v>2376</v>
      </c>
      <c r="D420" s="30" t="str">
        <f t="shared" si="12"/>
        <v>Food</v>
      </c>
      <c r="E420" s="31">
        <v>471.7</v>
      </c>
      <c r="F420" s="31">
        <v>61</v>
      </c>
      <c r="G420" s="31">
        <f t="shared" si="13"/>
        <v>61</v>
      </c>
      <c r="H420" s="30" t="s">
        <v>2386</v>
      </c>
    </row>
    <row r="421" spans="1:8" ht="15" thickBot="1">
      <c r="A421" s="30" t="s">
        <v>1788</v>
      </c>
      <c r="B421" s="30" t="s">
        <v>2288</v>
      </c>
      <c r="C421" s="30" t="s">
        <v>2374</v>
      </c>
      <c r="D421" s="30" t="str">
        <f t="shared" si="12"/>
        <v>Stationery</v>
      </c>
      <c r="E421" s="31">
        <v>384.83</v>
      </c>
      <c r="F421" s="31">
        <v>39</v>
      </c>
      <c r="G421" s="31">
        <f t="shared" si="13"/>
        <v>39</v>
      </c>
      <c r="H421" s="30" t="s">
        <v>2387</v>
      </c>
    </row>
    <row r="422" spans="1:8" ht="15" thickBot="1">
      <c r="A422" s="30" t="s">
        <v>1789</v>
      </c>
      <c r="B422" s="30" t="s">
        <v>2289</v>
      </c>
      <c r="C422" s="30" t="s">
        <v>2372</v>
      </c>
      <c r="D422" s="30" t="str">
        <f t="shared" si="12"/>
        <v>Clothing</v>
      </c>
      <c r="E422" s="31">
        <v>925.55</v>
      </c>
      <c r="F422" s="31">
        <v>78</v>
      </c>
      <c r="G422" s="31">
        <f t="shared" si="13"/>
        <v>78</v>
      </c>
      <c r="H422" s="30" t="s">
        <v>2378</v>
      </c>
    </row>
    <row r="423" spans="1:8" ht="15" thickBot="1">
      <c r="A423" s="30" t="s">
        <v>1790</v>
      </c>
      <c r="B423" s="30" t="s">
        <v>2290</v>
      </c>
      <c r="C423" s="30" t="s">
        <v>2374</v>
      </c>
      <c r="D423" s="30" t="str">
        <f t="shared" si="12"/>
        <v>Stationery</v>
      </c>
      <c r="E423" s="31">
        <v>524.37</v>
      </c>
      <c r="F423" s="31">
        <v>-3</v>
      </c>
      <c r="G423" s="31">
        <f t="shared" si="13"/>
        <v>0</v>
      </c>
      <c r="H423" s="30" t="s">
        <v>2379</v>
      </c>
    </row>
    <row r="424" spans="1:8" ht="15" thickBot="1">
      <c r="A424" s="30" t="s">
        <v>1791</v>
      </c>
      <c r="B424" s="30" t="s">
        <v>2291</v>
      </c>
      <c r="C424" s="30" t="s">
        <v>2373</v>
      </c>
      <c r="D424" s="30" t="str">
        <f t="shared" si="12"/>
        <v>Furniture</v>
      </c>
      <c r="E424" s="31">
        <v>915.99</v>
      </c>
      <c r="F424" s="31">
        <v>39</v>
      </c>
      <c r="G424" s="31">
        <f t="shared" si="13"/>
        <v>39</v>
      </c>
      <c r="H424" s="30" t="s">
        <v>2380</v>
      </c>
    </row>
    <row r="425" spans="1:8" ht="15" thickBot="1">
      <c r="A425" s="30" t="s">
        <v>1792</v>
      </c>
      <c r="B425" s="30" t="s">
        <v>2292</v>
      </c>
      <c r="C425" s="30" t="s">
        <v>2376</v>
      </c>
      <c r="D425" s="30" t="str">
        <f t="shared" si="12"/>
        <v>Food</v>
      </c>
      <c r="E425" s="31">
        <v>88.13</v>
      </c>
      <c r="F425" s="31">
        <v>84</v>
      </c>
      <c r="G425" s="31">
        <f t="shared" si="13"/>
        <v>84</v>
      </c>
      <c r="H425" s="30" t="s">
        <v>2381</v>
      </c>
    </row>
    <row r="426" spans="1:8" ht="15" thickBot="1">
      <c r="A426" s="30" t="s">
        <v>1793</v>
      </c>
      <c r="B426" s="30" t="s">
        <v>2293</v>
      </c>
      <c r="C426" s="30" t="s">
        <v>2372</v>
      </c>
      <c r="D426" s="30" t="str">
        <f t="shared" si="12"/>
        <v>Clothing</v>
      </c>
      <c r="E426" s="31">
        <v>586.4</v>
      </c>
      <c r="F426" s="31">
        <v>37</v>
      </c>
      <c r="G426" s="31">
        <f t="shared" si="13"/>
        <v>37</v>
      </c>
      <c r="H426" s="30" t="s">
        <v>2382</v>
      </c>
    </row>
    <row r="427" spans="1:8" ht="15" thickBot="1">
      <c r="A427" s="30" t="s">
        <v>1794</v>
      </c>
      <c r="B427" s="30" t="s">
        <v>2294</v>
      </c>
      <c r="C427" s="30" t="s">
        <v>2370</v>
      </c>
      <c r="D427" s="30" t="str">
        <f t="shared" si="12"/>
        <v>Electronics</v>
      </c>
      <c r="E427" s="31">
        <v>403.36</v>
      </c>
      <c r="F427" s="31">
        <v>4</v>
      </c>
      <c r="G427" s="31">
        <f t="shared" si="13"/>
        <v>4</v>
      </c>
      <c r="H427" s="30" t="s">
        <v>2383</v>
      </c>
    </row>
    <row r="428" spans="1:8" ht="15" thickBot="1">
      <c r="A428" s="30" t="s">
        <v>1795</v>
      </c>
      <c r="B428" s="30" t="s">
        <v>2295</v>
      </c>
      <c r="C428" s="30" t="s">
        <v>2373</v>
      </c>
      <c r="D428" s="30" t="str">
        <f t="shared" si="12"/>
        <v>Furniture</v>
      </c>
      <c r="E428" s="31">
        <v>931.83</v>
      </c>
      <c r="F428" s="31">
        <v>82</v>
      </c>
      <c r="G428" s="31">
        <f t="shared" si="13"/>
        <v>82</v>
      </c>
      <c r="H428" s="30" t="s">
        <v>2384</v>
      </c>
    </row>
    <row r="429" spans="1:8" ht="15" thickBot="1">
      <c r="A429" s="30" t="s">
        <v>1796</v>
      </c>
      <c r="B429" s="30" t="s">
        <v>2296</v>
      </c>
      <c r="C429" s="30" t="s">
        <v>2370</v>
      </c>
      <c r="D429" s="30" t="str">
        <f t="shared" si="12"/>
        <v>Electronics</v>
      </c>
      <c r="E429" s="31">
        <v>786.65</v>
      </c>
      <c r="F429" s="31">
        <v>51</v>
      </c>
      <c r="G429" s="31">
        <f t="shared" si="13"/>
        <v>51</v>
      </c>
      <c r="H429" s="32" t="s">
        <v>2385</v>
      </c>
    </row>
    <row r="430" spans="1:8" ht="15" thickBot="1">
      <c r="A430" s="30" t="s">
        <v>1797</v>
      </c>
      <c r="B430" s="30" t="s">
        <v>2297</v>
      </c>
      <c r="C430" s="30" t="s">
        <v>2373</v>
      </c>
      <c r="D430" s="30" t="str">
        <f t="shared" si="12"/>
        <v>Furniture</v>
      </c>
      <c r="E430" s="31">
        <v>104.1</v>
      </c>
      <c r="F430" s="31">
        <v>26</v>
      </c>
      <c r="G430" s="31">
        <f t="shared" si="13"/>
        <v>26</v>
      </c>
      <c r="H430" s="30" t="s">
        <v>2386</v>
      </c>
    </row>
    <row r="431" spans="1:8" ht="15" thickBot="1">
      <c r="A431" s="30" t="s">
        <v>1798</v>
      </c>
      <c r="B431" s="30" t="s">
        <v>2298</v>
      </c>
      <c r="C431" s="30" t="s">
        <v>2373</v>
      </c>
      <c r="D431" s="30" t="str">
        <f t="shared" si="12"/>
        <v>Furniture</v>
      </c>
      <c r="E431" s="31">
        <v>792.62</v>
      </c>
      <c r="F431" s="31">
        <v>-1</v>
      </c>
      <c r="G431" s="31">
        <f t="shared" si="13"/>
        <v>0</v>
      </c>
      <c r="H431" s="30" t="s">
        <v>2387</v>
      </c>
    </row>
    <row r="432" spans="1:8" ht="15" thickBot="1">
      <c r="A432" s="30" t="s">
        <v>1799</v>
      </c>
      <c r="B432" s="30" t="s">
        <v>2299</v>
      </c>
      <c r="C432" s="30" t="s">
        <v>2373</v>
      </c>
      <c r="D432" s="30" t="str">
        <f t="shared" si="12"/>
        <v>Furniture</v>
      </c>
      <c r="E432" s="31">
        <v>772.48</v>
      </c>
      <c r="F432" s="31">
        <v>78</v>
      </c>
      <c r="G432" s="31">
        <f t="shared" si="13"/>
        <v>78</v>
      </c>
      <c r="H432" s="30" t="s">
        <v>2378</v>
      </c>
    </row>
    <row r="433" spans="1:8" ht="15" thickBot="1">
      <c r="A433" s="30" t="s">
        <v>1800</v>
      </c>
      <c r="B433" s="30" t="s">
        <v>2300</v>
      </c>
      <c r="C433" s="30" t="s">
        <v>2376</v>
      </c>
      <c r="D433" s="30" t="str">
        <f t="shared" si="12"/>
        <v>Food</v>
      </c>
      <c r="E433" s="31">
        <v>251.37</v>
      </c>
      <c r="F433" s="31">
        <v>73</v>
      </c>
      <c r="G433" s="31">
        <f t="shared" si="13"/>
        <v>73</v>
      </c>
      <c r="H433" s="30" t="s">
        <v>2379</v>
      </c>
    </row>
    <row r="434" spans="1:8" ht="15" thickBot="1">
      <c r="A434" s="30" t="s">
        <v>1801</v>
      </c>
      <c r="B434" s="30" t="s">
        <v>2301</v>
      </c>
      <c r="C434" s="30" t="s">
        <v>2374</v>
      </c>
      <c r="D434" s="30" t="str">
        <f t="shared" si="12"/>
        <v>Stationery</v>
      </c>
      <c r="E434" s="31">
        <v>697.04</v>
      </c>
      <c r="F434" s="31">
        <v>77</v>
      </c>
      <c r="G434" s="31">
        <f t="shared" si="13"/>
        <v>77</v>
      </c>
      <c r="H434" s="30" t="s">
        <v>2380</v>
      </c>
    </row>
    <row r="435" spans="1:8" ht="15" thickBot="1">
      <c r="A435" s="30" t="s">
        <v>1802</v>
      </c>
      <c r="B435" s="30" t="s">
        <v>2302</v>
      </c>
      <c r="C435" s="30" t="s">
        <v>2376</v>
      </c>
      <c r="D435" s="30" t="str">
        <f t="shared" si="12"/>
        <v>Food</v>
      </c>
      <c r="E435" s="31">
        <v>954.59</v>
      </c>
      <c r="F435" s="31">
        <v>52</v>
      </c>
      <c r="G435" s="31">
        <f t="shared" si="13"/>
        <v>52</v>
      </c>
      <c r="H435" s="30" t="s">
        <v>2381</v>
      </c>
    </row>
    <row r="436" spans="1:8" ht="15" thickBot="1">
      <c r="A436" s="30" t="s">
        <v>1803</v>
      </c>
      <c r="B436" s="30" t="s">
        <v>2303</v>
      </c>
      <c r="C436" s="30" t="s">
        <v>2372</v>
      </c>
      <c r="D436" s="30" t="str">
        <f t="shared" si="12"/>
        <v>Clothing</v>
      </c>
      <c r="E436" s="31">
        <v>763.67</v>
      </c>
      <c r="F436" s="31">
        <v>52</v>
      </c>
      <c r="G436" s="31">
        <f t="shared" si="13"/>
        <v>52</v>
      </c>
      <c r="H436" s="30" t="s">
        <v>2382</v>
      </c>
    </row>
    <row r="437" spans="1:8" ht="15" thickBot="1">
      <c r="A437" s="30" t="s">
        <v>1804</v>
      </c>
      <c r="B437" s="30" t="s">
        <v>2304</v>
      </c>
      <c r="C437" s="30" t="s">
        <v>2376</v>
      </c>
      <c r="D437" s="30" t="str">
        <f t="shared" si="12"/>
        <v>Food</v>
      </c>
      <c r="E437" s="31">
        <v>260.13</v>
      </c>
      <c r="F437" s="31">
        <v>27</v>
      </c>
      <c r="G437" s="31">
        <f t="shared" si="13"/>
        <v>27</v>
      </c>
      <c r="H437" s="30" t="s">
        <v>2383</v>
      </c>
    </row>
    <row r="438" spans="1:8" ht="15" thickBot="1">
      <c r="A438" s="30" t="s">
        <v>1805</v>
      </c>
      <c r="B438" s="30" t="s">
        <v>2305</v>
      </c>
      <c r="C438" s="30" t="s">
        <v>2374</v>
      </c>
      <c r="D438" s="30" t="str">
        <f t="shared" si="12"/>
        <v>Stationery</v>
      </c>
      <c r="E438" s="31">
        <v>167.31</v>
      </c>
      <c r="F438" s="31">
        <v>-1</v>
      </c>
      <c r="G438" s="31">
        <f t="shared" si="13"/>
        <v>0</v>
      </c>
      <c r="H438" s="30" t="s">
        <v>2384</v>
      </c>
    </row>
    <row r="439" spans="1:8" ht="15" thickBot="1">
      <c r="A439" s="30" t="s">
        <v>1806</v>
      </c>
      <c r="B439" s="30" t="s">
        <v>2306</v>
      </c>
      <c r="C439" s="30" t="s">
        <v>2372</v>
      </c>
      <c r="D439" s="30" t="str">
        <f t="shared" si="12"/>
        <v>Clothing</v>
      </c>
      <c r="E439" s="31">
        <v>476.71</v>
      </c>
      <c r="F439" s="31">
        <v>16</v>
      </c>
      <c r="G439" s="31">
        <f t="shared" si="13"/>
        <v>16</v>
      </c>
      <c r="H439" s="32" t="s">
        <v>2385</v>
      </c>
    </row>
    <row r="440" spans="1:8" ht="15" thickBot="1">
      <c r="A440" s="30" t="s">
        <v>1807</v>
      </c>
      <c r="B440" s="30" t="s">
        <v>2307</v>
      </c>
      <c r="C440" s="30" t="s">
        <v>2376</v>
      </c>
      <c r="D440" s="30" t="str">
        <f t="shared" si="12"/>
        <v>Food</v>
      </c>
      <c r="E440" s="31">
        <v>821.49</v>
      </c>
      <c r="F440" s="31">
        <v>2</v>
      </c>
      <c r="G440" s="31">
        <f t="shared" si="13"/>
        <v>2</v>
      </c>
      <c r="H440" s="30" t="s">
        <v>2386</v>
      </c>
    </row>
    <row r="441" spans="1:8" ht="15" thickBot="1">
      <c r="A441" s="30" t="s">
        <v>1808</v>
      </c>
      <c r="B441" s="30" t="s">
        <v>2308</v>
      </c>
      <c r="C441" s="30" t="s">
        <v>2373</v>
      </c>
      <c r="D441" s="30" t="str">
        <f t="shared" si="12"/>
        <v>Furniture</v>
      </c>
      <c r="E441" s="31">
        <v>355.44</v>
      </c>
      <c r="F441" s="31">
        <v>37</v>
      </c>
      <c r="G441" s="31">
        <f t="shared" si="13"/>
        <v>37</v>
      </c>
      <c r="H441" s="30" t="s">
        <v>2387</v>
      </c>
    </row>
    <row r="442" spans="1:8" ht="15" thickBot="1">
      <c r="A442" s="30" t="s">
        <v>1809</v>
      </c>
      <c r="B442" s="30" t="s">
        <v>2309</v>
      </c>
      <c r="C442" s="30" t="s">
        <v>2374</v>
      </c>
      <c r="D442" s="30" t="str">
        <f t="shared" si="12"/>
        <v>Stationery</v>
      </c>
      <c r="E442" s="31">
        <v>484.2</v>
      </c>
      <c r="F442" s="31">
        <v>96</v>
      </c>
      <c r="G442" s="31">
        <f t="shared" si="13"/>
        <v>96</v>
      </c>
      <c r="H442" s="30" t="s">
        <v>2378</v>
      </c>
    </row>
    <row r="443" spans="1:8" ht="15" thickBot="1">
      <c r="A443" s="30" t="s">
        <v>1810</v>
      </c>
      <c r="B443" s="30" t="s">
        <v>2310</v>
      </c>
      <c r="C443" s="30" t="s">
        <v>2373</v>
      </c>
      <c r="D443" s="30" t="str">
        <f t="shared" si="12"/>
        <v>Furniture</v>
      </c>
      <c r="E443" s="31">
        <v>909.45</v>
      </c>
      <c r="F443" s="31">
        <v>0</v>
      </c>
      <c r="G443" s="31">
        <f t="shared" si="13"/>
        <v>0</v>
      </c>
      <c r="H443" s="30" t="s">
        <v>2379</v>
      </c>
    </row>
    <row r="444" spans="1:8" ht="15" thickBot="1">
      <c r="A444" s="30" t="s">
        <v>1811</v>
      </c>
      <c r="B444" s="30" t="s">
        <v>2311</v>
      </c>
      <c r="C444" s="30" t="s">
        <v>2376</v>
      </c>
      <c r="D444" s="30" t="str">
        <f t="shared" si="12"/>
        <v>Food</v>
      </c>
      <c r="E444" s="31">
        <v>219.38</v>
      </c>
      <c r="F444" s="31">
        <v>96</v>
      </c>
      <c r="G444" s="31">
        <f t="shared" si="13"/>
        <v>96</v>
      </c>
      <c r="H444" s="30" t="s">
        <v>2380</v>
      </c>
    </row>
    <row r="445" spans="1:8" ht="15" thickBot="1">
      <c r="A445" s="30" t="s">
        <v>1812</v>
      </c>
      <c r="B445" s="30" t="s">
        <v>2312</v>
      </c>
      <c r="C445" s="30" t="s">
        <v>2373</v>
      </c>
      <c r="D445" s="30" t="str">
        <f t="shared" si="12"/>
        <v>Furniture</v>
      </c>
      <c r="E445" s="31">
        <v>498.82</v>
      </c>
      <c r="F445" s="31">
        <v>51</v>
      </c>
      <c r="G445" s="31">
        <f t="shared" si="13"/>
        <v>51</v>
      </c>
      <c r="H445" s="30" t="s">
        <v>2381</v>
      </c>
    </row>
    <row r="446" spans="1:8" ht="15" thickBot="1">
      <c r="A446" s="30" t="s">
        <v>1813</v>
      </c>
      <c r="B446" s="30" t="s">
        <v>2313</v>
      </c>
      <c r="C446" s="30" t="s">
        <v>2373</v>
      </c>
      <c r="D446" s="30" t="str">
        <f t="shared" si="12"/>
        <v>Furniture</v>
      </c>
      <c r="E446" s="31">
        <v>266.77999999999997</v>
      </c>
      <c r="F446" s="31">
        <v>72</v>
      </c>
      <c r="G446" s="31">
        <f t="shared" si="13"/>
        <v>72</v>
      </c>
      <c r="H446" s="30" t="s">
        <v>2382</v>
      </c>
    </row>
    <row r="447" spans="1:8" ht="15" thickBot="1">
      <c r="A447" s="30" t="s">
        <v>1814</v>
      </c>
      <c r="B447" s="30" t="s">
        <v>2314</v>
      </c>
      <c r="C447" s="30" t="s">
        <v>2374</v>
      </c>
      <c r="D447" s="30" t="str">
        <f t="shared" si="12"/>
        <v>Stationery</v>
      </c>
      <c r="E447" s="31">
        <v>171.68</v>
      </c>
      <c r="F447" s="31">
        <v>67</v>
      </c>
      <c r="G447" s="31">
        <f t="shared" si="13"/>
        <v>67</v>
      </c>
      <c r="H447" s="30" t="s">
        <v>2383</v>
      </c>
    </row>
    <row r="448" spans="1:8" ht="15" thickBot="1">
      <c r="A448" s="30" t="s">
        <v>1815</v>
      </c>
      <c r="B448" s="30" t="s">
        <v>2315</v>
      </c>
      <c r="C448" s="30" t="s">
        <v>2372</v>
      </c>
      <c r="D448" s="30" t="str">
        <f t="shared" si="12"/>
        <v>Clothing</v>
      </c>
      <c r="E448" s="31">
        <v>328.08</v>
      </c>
      <c r="F448" s="31">
        <v>67</v>
      </c>
      <c r="G448" s="31">
        <f t="shared" si="13"/>
        <v>67</v>
      </c>
      <c r="H448" s="30" t="s">
        <v>2384</v>
      </c>
    </row>
    <row r="449" spans="1:8" ht="15" thickBot="1">
      <c r="A449" s="30" t="s">
        <v>1816</v>
      </c>
      <c r="B449" s="30" t="s">
        <v>2316</v>
      </c>
      <c r="C449" s="30" t="s">
        <v>2376</v>
      </c>
      <c r="D449" s="30" t="str">
        <f t="shared" si="12"/>
        <v>Food</v>
      </c>
      <c r="E449" s="31">
        <v>733.66</v>
      </c>
      <c r="F449" s="31">
        <v>30</v>
      </c>
      <c r="G449" s="31">
        <f t="shared" si="13"/>
        <v>30</v>
      </c>
      <c r="H449" s="32" t="s">
        <v>2385</v>
      </c>
    </row>
    <row r="450" spans="1:8" ht="15" thickBot="1">
      <c r="A450" s="30" t="s">
        <v>1817</v>
      </c>
      <c r="B450" s="30" t="s">
        <v>2317</v>
      </c>
      <c r="C450" s="30" t="s">
        <v>2373</v>
      </c>
      <c r="D450" s="30" t="str">
        <f t="shared" si="12"/>
        <v>Furniture</v>
      </c>
      <c r="E450" s="31">
        <v>958.9</v>
      </c>
      <c r="F450" s="31">
        <v>65</v>
      </c>
      <c r="G450" s="31">
        <f t="shared" si="13"/>
        <v>65</v>
      </c>
      <c r="H450" s="30" t="s">
        <v>2386</v>
      </c>
    </row>
    <row r="451" spans="1:8" ht="15" thickBot="1">
      <c r="A451" s="30" t="s">
        <v>1818</v>
      </c>
      <c r="B451" s="30" t="s">
        <v>2318</v>
      </c>
      <c r="C451" s="30" t="s">
        <v>2374</v>
      </c>
      <c r="D451" s="30" t="str">
        <f t="shared" ref="D451:D501" si="14">PROPER(C451)</f>
        <v>Stationery</v>
      </c>
      <c r="E451" s="31">
        <v>644.04</v>
      </c>
      <c r="F451" s="31">
        <v>51</v>
      </c>
      <c r="G451" s="31">
        <f t="shared" ref="G451:G501" si="15">IF(F451&lt;0,0,F451)</f>
        <v>51</v>
      </c>
      <c r="H451" s="30" t="s">
        <v>2387</v>
      </c>
    </row>
    <row r="452" spans="1:8" ht="15" thickBot="1">
      <c r="A452" s="30" t="s">
        <v>1819</v>
      </c>
      <c r="B452" s="30" t="s">
        <v>2319</v>
      </c>
      <c r="C452" s="30" t="s">
        <v>2370</v>
      </c>
      <c r="D452" s="30" t="str">
        <f t="shared" si="14"/>
        <v>Electronics</v>
      </c>
      <c r="E452" s="31">
        <v>752.65</v>
      </c>
      <c r="F452" s="31">
        <v>79</v>
      </c>
      <c r="G452" s="31">
        <f t="shared" si="15"/>
        <v>79</v>
      </c>
      <c r="H452" s="30" t="s">
        <v>2378</v>
      </c>
    </row>
    <row r="453" spans="1:8" ht="15" thickBot="1">
      <c r="A453" s="30" t="s">
        <v>1820</v>
      </c>
      <c r="B453" s="30" t="s">
        <v>2320</v>
      </c>
      <c r="C453" s="30" t="s">
        <v>2370</v>
      </c>
      <c r="D453" s="30" t="str">
        <f t="shared" si="14"/>
        <v>Electronics</v>
      </c>
      <c r="E453" s="31">
        <v>661.07</v>
      </c>
      <c r="F453" s="31">
        <v>32</v>
      </c>
      <c r="G453" s="31">
        <f t="shared" si="15"/>
        <v>32</v>
      </c>
      <c r="H453" s="30" t="s">
        <v>2379</v>
      </c>
    </row>
    <row r="454" spans="1:8" ht="15" thickBot="1">
      <c r="A454" s="30" t="s">
        <v>1821</v>
      </c>
      <c r="B454" s="30" t="s">
        <v>2321</v>
      </c>
      <c r="C454" s="30" t="s">
        <v>2376</v>
      </c>
      <c r="D454" s="30" t="str">
        <f t="shared" si="14"/>
        <v>Food</v>
      </c>
      <c r="E454" s="31">
        <v>122.17</v>
      </c>
      <c r="F454" s="31">
        <v>-10</v>
      </c>
      <c r="G454" s="31">
        <f t="shared" si="15"/>
        <v>0</v>
      </c>
      <c r="H454" s="30" t="s">
        <v>2380</v>
      </c>
    </row>
    <row r="455" spans="1:8" ht="15" thickBot="1">
      <c r="A455" s="30" t="s">
        <v>1822</v>
      </c>
      <c r="B455" s="30" t="s">
        <v>2322</v>
      </c>
      <c r="C455" s="30" t="s">
        <v>2372</v>
      </c>
      <c r="D455" s="30" t="str">
        <f t="shared" si="14"/>
        <v>Clothing</v>
      </c>
      <c r="E455" s="31">
        <v>788.1</v>
      </c>
      <c r="F455" s="31">
        <v>87</v>
      </c>
      <c r="G455" s="31">
        <f t="shared" si="15"/>
        <v>87</v>
      </c>
      <c r="H455" s="30" t="s">
        <v>2381</v>
      </c>
    </row>
    <row r="456" spans="1:8" ht="15" thickBot="1">
      <c r="A456" s="30" t="s">
        <v>1823</v>
      </c>
      <c r="B456" s="30" t="s">
        <v>2323</v>
      </c>
      <c r="C456" s="30" t="s">
        <v>2370</v>
      </c>
      <c r="D456" s="30" t="str">
        <f t="shared" si="14"/>
        <v>Electronics</v>
      </c>
      <c r="E456" s="31">
        <v>525.85</v>
      </c>
      <c r="F456" s="31">
        <v>88</v>
      </c>
      <c r="G456" s="31">
        <f t="shared" si="15"/>
        <v>88</v>
      </c>
      <c r="H456" s="30" t="s">
        <v>2382</v>
      </c>
    </row>
    <row r="457" spans="1:8" ht="15" thickBot="1">
      <c r="A457" s="30" t="s">
        <v>1824</v>
      </c>
      <c r="B457" s="30" t="s">
        <v>2324</v>
      </c>
      <c r="C457" s="30" t="s">
        <v>2370</v>
      </c>
      <c r="D457" s="30" t="str">
        <f t="shared" si="14"/>
        <v>Electronics</v>
      </c>
      <c r="E457" s="31">
        <v>880.15</v>
      </c>
      <c r="F457" s="31">
        <v>3</v>
      </c>
      <c r="G457" s="31">
        <f t="shared" si="15"/>
        <v>3</v>
      </c>
      <c r="H457" s="30" t="s">
        <v>2383</v>
      </c>
    </row>
    <row r="458" spans="1:8" ht="15" thickBot="1">
      <c r="A458" s="30" t="s">
        <v>1825</v>
      </c>
      <c r="B458" s="30" t="s">
        <v>2325</v>
      </c>
      <c r="C458" s="30" t="s">
        <v>2370</v>
      </c>
      <c r="D458" s="30" t="str">
        <f t="shared" si="14"/>
        <v>Electronics</v>
      </c>
      <c r="E458" s="31">
        <v>797.5</v>
      </c>
      <c r="F458" s="31">
        <v>55</v>
      </c>
      <c r="G458" s="31">
        <f t="shared" si="15"/>
        <v>55</v>
      </c>
      <c r="H458" s="30" t="s">
        <v>2384</v>
      </c>
    </row>
    <row r="459" spans="1:8" ht="15" thickBot="1">
      <c r="A459" s="30" t="s">
        <v>1826</v>
      </c>
      <c r="B459" s="30" t="s">
        <v>2326</v>
      </c>
      <c r="C459" s="30" t="s">
        <v>2374</v>
      </c>
      <c r="D459" s="30" t="str">
        <f t="shared" si="14"/>
        <v>Stationery</v>
      </c>
      <c r="E459" s="31">
        <v>714.46</v>
      </c>
      <c r="F459" s="31">
        <v>60</v>
      </c>
      <c r="G459" s="31">
        <f t="shared" si="15"/>
        <v>60</v>
      </c>
      <c r="H459" s="32" t="s">
        <v>2385</v>
      </c>
    </row>
    <row r="460" spans="1:8" ht="15" thickBot="1">
      <c r="A460" s="30" t="s">
        <v>1827</v>
      </c>
      <c r="B460" s="30" t="s">
        <v>2327</v>
      </c>
      <c r="C460" s="30" t="s">
        <v>2372</v>
      </c>
      <c r="D460" s="30" t="str">
        <f t="shared" si="14"/>
        <v>Clothing</v>
      </c>
      <c r="E460" s="31">
        <v>246.84</v>
      </c>
      <c r="F460" s="31">
        <v>62</v>
      </c>
      <c r="G460" s="31">
        <f t="shared" si="15"/>
        <v>62</v>
      </c>
      <c r="H460" s="30" t="s">
        <v>2386</v>
      </c>
    </row>
    <row r="461" spans="1:8" ht="15" thickBot="1">
      <c r="A461" s="30" t="s">
        <v>1828</v>
      </c>
      <c r="B461" s="30" t="s">
        <v>2328</v>
      </c>
      <c r="C461" s="30" t="s">
        <v>2376</v>
      </c>
      <c r="D461" s="30" t="str">
        <f t="shared" si="14"/>
        <v>Food</v>
      </c>
      <c r="E461" s="31">
        <v>747.89</v>
      </c>
      <c r="F461" s="31">
        <v>73</v>
      </c>
      <c r="G461" s="31">
        <f t="shared" si="15"/>
        <v>73</v>
      </c>
      <c r="H461" s="30" t="s">
        <v>2387</v>
      </c>
    </row>
    <row r="462" spans="1:8" ht="15" thickBot="1">
      <c r="A462" s="30" t="s">
        <v>1829</v>
      </c>
      <c r="B462" s="30" t="s">
        <v>2329</v>
      </c>
      <c r="C462" s="30" t="s">
        <v>2370</v>
      </c>
      <c r="D462" s="30" t="str">
        <f t="shared" si="14"/>
        <v>Electronics</v>
      </c>
      <c r="E462" s="31">
        <v>412.17</v>
      </c>
      <c r="F462" s="31">
        <v>49</v>
      </c>
      <c r="G462" s="31">
        <f t="shared" si="15"/>
        <v>49</v>
      </c>
      <c r="H462" s="30" t="s">
        <v>2378</v>
      </c>
    </row>
    <row r="463" spans="1:8" ht="15" thickBot="1">
      <c r="A463" s="30" t="s">
        <v>1830</v>
      </c>
      <c r="B463" s="30" t="s">
        <v>2330</v>
      </c>
      <c r="C463" s="30" t="s">
        <v>2373</v>
      </c>
      <c r="D463" s="30" t="str">
        <f t="shared" si="14"/>
        <v>Furniture</v>
      </c>
      <c r="E463" s="31">
        <v>208.83</v>
      </c>
      <c r="F463" s="31">
        <v>37</v>
      </c>
      <c r="G463" s="31">
        <f t="shared" si="15"/>
        <v>37</v>
      </c>
      <c r="H463" s="30" t="s">
        <v>2379</v>
      </c>
    </row>
    <row r="464" spans="1:8" ht="15" thickBot="1">
      <c r="A464" s="30" t="s">
        <v>1831</v>
      </c>
      <c r="B464" s="30" t="s">
        <v>2331</v>
      </c>
      <c r="C464" s="30" t="s">
        <v>2370</v>
      </c>
      <c r="D464" s="30" t="str">
        <f t="shared" si="14"/>
        <v>Electronics</v>
      </c>
      <c r="E464" s="31">
        <v>945.09</v>
      </c>
      <c r="F464" s="31">
        <v>31</v>
      </c>
      <c r="G464" s="31">
        <f t="shared" si="15"/>
        <v>31</v>
      </c>
      <c r="H464" s="30" t="s">
        <v>2380</v>
      </c>
    </row>
    <row r="465" spans="1:8" ht="15" thickBot="1">
      <c r="A465" s="30" t="s">
        <v>1832</v>
      </c>
      <c r="B465" s="30" t="s">
        <v>2332</v>
      </c>
      <c r="C465" s="30" t="s">
        <v>2373</v>
      </c>
      <c r="D465" s="30" t="str">
        <f t="shared" si="14"/>
        <v>Furniture</v>
      </c>
      <c r="E465" s="31">
        <v>697.99</v>
      </c>
      <c r="F465" s="31">
        <v>52</v>
      </c>
      <c r="G465" s="31">
        <f t="shared" si="15"/>
        <v>52</v>
      </c>
      <c r="H465" s="30" t="s">
        <v>2381</v>
      </c>
    </row>
    <row r="466" spans="1:8" ht="15" thickBot="1">
      <c r="A466" s="30" t="s">
        <v>1833</v>
      </c>
      <c r="B466" s="30" t="s">
        <v>2333</v>
      </c>
      <c r="C466" s="30" t="s">
        <v>2372</v>
      </c>
      <c r="D466" s="30" t="str">
        <f t="shared" si="14"/>
        <v>Clothing</v>
      </c>
      <c r="E466" s="31">
        <v>438.87</v>
      </c>
      <c r="F466" s="31">
        <v>98</v>
      </c>
      <c r="G466" s="31">
        <f t="shared" si="15"/>
        <v>98</v>
      </c>
      <c r="H466" s="30" t="s">
        <v>2382</v>
      </c>
    </row>
    <row r="467" spans="1:8" ht="15" thickBot="1">
      <c r="A467" s="30" t="s">
        <v>1834</v>
      </c>
      <c r="B467" s="30" t="s">
        <v>2334</v>
      </c>
      <c r="C467" s="30" t="s">
        <v>2370</v>
      </c>
      <c r="D467" s="30" t="str">
        <f t="shared" si="14"/>
        <v>Electronics</v>
      </c>
      <c r="E467" s="31">
        <v>933.13</v>
      </c>
      <c r="F467" s="31">
        <v>-9</v>
      </c>
      <c r="G467" s="31">
        <f t="shared" si="15"/>
        <v>0</v>
      </c>
      <c r="H467" s="30" t="s">
        <v>2383</v>
      </c>
    </row>
    <row r="468" spans="1:8" ht="15" thickBot="1">
      <c r="A468" s="30" t="s">
        <v>1835</v>
      </c>
      <c r="B468" s="30" t="s">
        <v>2335</v>
      </c>
      <c r="C468" s="30" t="s">
        <v>2376</v>
      </c>
      <c r="D468" s="30" t="str">
        <f t="shared" si="14"/>
        <v>Food</v>
      </c>
      <c r="E468" s="31">
        <v>212.2</v>
      </c>
      <c r="F468" s="31">
        <v>26</v>
      </c>
      <c r="G468" s="31">
        <f t="shared" si="15"/>
        <v>26</v>
      </c>
      <c r="H468" s="30" t="s">
        <v>2384</v>
      </c>
    </row>
    <row r="469" spans="1:8" ht="15" thickBot="1">
      <c r="A469" s="30" t="s">
        <v>1836</v>
      </c>
      <c r="B469" s="30" t="s">
        <v>2336</v>
      </c>
      <c r="C469" s="30" t="s">
        <v>2374</v>
      </c>
      <c r="D469" s="30" t="str">
        <f t="shared" si="14"/>
        <v>Stationery</v>
      </c>
      <c r="E469" s="31">
        <v>775.72</v>
      </c>
      <c r="F469" s="31">
        <v>89</v>
      </c>
      <c r="G469" s="31">
        <f t="shared" si="15"/>
        <v>89</v>
      </c>
      <c r="H469" s="32" t="s">
        <v>2385</v>
      </c>
    </row>
    <row r="470" spans="1:8" ht="15" thickBot="1">
      <c r="A470" s="30" t="s">
        <v>1837</v>
      </c>
      <c r="B470" s="30" t="s">
        <v>2337</v>
      </c>
      <c r="C470" s="30" t="s">
        <v>2374</v>
      </c>
      <c r="D470" s="30" t="str">
        <f t="shared" si="14"/>
        <v>Stationery</v>
      </c>
      <c r="E470" s="31">
        <v>548.39</v>
      </c>
      <c r="F470" s="31">
        <v>46</v>
      </c>
      <c r="G470" s="31">
        <f t="shared" si="15"/>
        <v>46</v>
      </c>
      <c r="H470" s="30" t="s">
        <v>2386</v>
      </c>
    </row>
    <row r="471" spans="1:8" ht="15" thickBot="1">
      <c r="A471" s="30" t="s">
        <v>1838</v>
      </c>
      <c r="B471" s="30" t="s">
        <v>2338</v>
      </c>
      <c r="C471" s="30" t="s">
        <v>2376</v>
      </c>
      <c r="D471" s="30" t="str">
        <f t="shared" si="14"/>
        <v>Food</v>
      </c>
      <c r="E471" s="31">
        <v>715.81</v>
      </c>
      <c r="F471" s="31">
        <v>28</v>
      </c>
      <c r="G471" s="31">
        <f t="shared" si="15"/>
        <v>28</v>
      </c>
      <c r="H471" s="30" t="s">
        <v>2387</v>
      </c>
    </row>
    <row r="472" spans="1:8" ht="15" thickBot="1">
      <c r="A472" s="30" t="s">
        <v>1839</v>
      </c>
      <c r="B472" s="30" t="s">
        <v>2339</v>
      </c>
      <c r="C472" s="30" t="s">
        <v>2370</v>
      </c>
      <c r="D472" s="30" t="str">
        <f t="shared" si="14"/>
        <v>Electronics</v>
      </c>
      <c r="E472" s="31">
        <v>910.29</v>
      </c>
      <c r="F472" s="31">
        <v>72</v>
      </c>
      <c r="G472" s="31">
        <f t="shared" si="15"/>
        <v>72</v>
      </c>
      <c r="H472" s="30" t="s">
        <v>2378</v>
      </c>
    </row>
    <row r="473" spans="1:8" ht="15" thickBot="1">
      <c r="A473" s="30" t="s">
        <v>1840</v>
      </c>
      <c r="B473" s="30" t="s">
        <v>2340</v>
      </c>
      <c r="C473" s="30" t="s">
        <v>2372</v>
      </c>
      <c r="D473" s="30" t="str">
        <f t="shared" si="14"/>
        <v>Clothing</v>
      </c>
      <c r="E473" s="31">
        <v>916.16</v>
      </c>
      <c r="F473" s="31">
        <v>31</v>
      </c>
      <c r="G473" s="31">
        <f t="shared" si="15"/>
        <v>31</v>
      </c>
      <c r="H473" s="30" t="s">
        <v>2379</v>
      </c>
    </row>
    <row r="474" spans="1:8" ht="15" thickBot="1">
      <c r="A474" s="30" t="s">
        <v>1841</v>
      </c>
      <c r="B474" s="30" t="s">
        <v>2341</v>
      </c>
      <c r="C474" s="30" t="s">
        <v>2373</v>
      </c>
      <c r="D474" s="30" t="str">
        <f t="shared" si="14"/>
        <v>Furniture</v>
      </c>
      <c r="E474" s="31">
        <v>390.05</v>
      </c>
      <c r="F474" s="31">
        <v>7</v>
      </c>
      <c r="G474" s="31">
        <f t="shared" si="15"/>
        <v>7</v>
      </c>
      <c r="H474" s="30" t="s">
        <v>2380</v>
      </c>
    </row>
    <row r="475" spans="1:8" ht="15" thickBot="1">
      <c r="A475" s="30" t="s">
        <v>1842</v>
      </c>
      <c r="B475" s="30" t="s">
        <v>2342</v>
      </c>
      <c r="C475" s="30" t="s">
        <v>2372</v>
      </c>
      <c r="D475" s="30" t="str">
        <f t="shared" si="14"/>
        <v>Clothing</v>
      </c>
      <c r="E475" s="31">
        <v>972.19</v>
      </c>
      <c r="F475" s="31">
        <v>57</v>
      </c>
      <c r="G475" s="31">
        <f t="shared" si="15"/>
        <v>57</v>
      </c>
      <c r="H475" s="30" t="s">
        <v>2381</v>
      </c>
    </row>
    <row r="476" spans="1:8" ht="15" thickBot="1">
      <c r="A476" s="30" t="s">
        <v>1843</v>
      </c>
      <c r="B476" s="30" t="s">
        <v>2343</v>
      </c>
      <c r="C476" s="30" t="s">
        <v>2376</v>
      </c>
      <c r="D476" s="30" t="str">
        <f t="shared" si="14"/>
        <v>Food</v>
      </c>
      <c r="E476" s="31">
        <v>469.35</v>
      </c>
      <c r="F476" s="31">
        <v>11</v>
      </c>
      <c r="G476" s="31">
        <f t="shared" si="15"/>
        <v>11</v>
      </c>
      <c r="H476" s="30" t="s">
        <v>2382</v>
      </c>
    </row>
    <row r="477" spans="1:8" ht="15" thickBot="1">
      <c r="A477" s="30" t="s">
        <v>1844</v>
      </c>
      <c r="B477" s="30" t="s">
        <v>2344</v>
      </c>
      <c r="C477" s="30" t="s">
        <v>2372</v>
      </c>
      <c r="D477" s="30" t="str">
        <f t="shared" si="14"/>
        <v>Clothing</v>
      </c>
      <c r="E477" s="31">
        <v>954.63</v>
      </c>
      <c r="F477" s="31">
        <v>-7</v>
      </c>
      <c r="G477" s="31">
        <f t="shared" si="15"/>
        <v>0</v>
      </c>
      <c r="H477" s="30" t="s">
        <v>2383</v>
      </c>
    </row>
    <row r="478" spans="1:8" ht="15" thickBot="1">
      <c r="A478" s="30" t="s">
        <v>1845</v>
      </c>
      <c r="B478" s="30" t="s">
        <v>2345</v>
      </c>
      <c r="C478" s="30" t="s">
        <v>2370</v>
      </c>
      <c r="D478" s="30" t="str">
        <f t="shared" si="14"/>
        <v>Electronics</v>
      </c>
      <c r="E478" s="31">
        <v>555.6</v>
      </c>
      <c r="F478" s="31">
        <v>-8</v>
      </c>
      <c r="G478" s="31">
        <f t="shared" si="15"/>
        <v>0</v>
      </c>
      <c r="H478" s="30" t="s">
        <v>2384</v>
      </c>
    </row>
    <row r="479" spans="1:8" ht="15" thickBot="1">
      <c r="A479" s="30" t="s">
        <v>1846</v>
      </c>
      <c r="B479" s="30" t="s">
        <v>2346</v>
      </c>
      <c r="C479" s="30" t="s">
        <v>2373</v>
      </c>
      <c r="D479" s="30" t="str">
        <f t="shared" si="14"/>
        <v>Furniture</v>
      </c>
      <c r="E479" s="31">
        <v>223.33</v>
      </c>
      <c r="F479" s="31">
        <v>19</v>
      </c>
      <c r="G479" s="31">
        <f t="shared" si="15"/>
        <v>19</v>
      </c>
      <c r="H479" s="32" t="s">
        <v>2385</v>
      </c>
    </row>
    <row r="480" spans="1:8" ht="15" thickBot="1">
      <c r="A480" s="30" t="s">
        <v>1847</v>
      </c>
      <c r="B480" s="30" t="s">
        <v>2347</v>
      </c>
      <c r="C480" s="30" t="s">
        <v>2370</v>
      </c>
      <c r="D480" s="30" t="str">
        <f t="shared" si="14"/>
        <v>Electronics</v>
      </c>
      <c r="E480" s="31">
        <v>228.16</v>
      </c>
      <c r="F480" s="31">
        <v>82</v>
      </c>
      <c r="G480" s="31">
        <f t="shared" si="15"/>
        <v>82</v>
      </c>
      <c r="H480" s="30" t="s">
        <v>2386</v>
      </c>
    </row>
    <row r="481" spans="1:8" ht="15" thickBot="1">
      <c r="A481" s="30" t="s">
        <v>1848</v>
      </c>
      <c r="B481" s="30" t="s">
        <v>2348</v>
      </c>
      <c r="C481" s="30" t="s">
        <v>2376</v>
      </c>
      <c r="D481" s="30" t="str">
        <f t="shared" si="14"/>
        <v>Food</v>
      </c>
      <c r="E481" s="31">
        <v>624.48</v>
      </c>
      <c r="F481" s="31">
        <v>20</v>
      </c>
      <c r="G481" s="31">
        <f t="shared" si="15"/>
        <v>20</v>
      </c>
      <c r="H481" s="30" t="s">
        <v>2387</v>
      </c>
    </row>
    <row r="482" spans="1:8" ht="15" thickBot="1">
      <c r="A482" s="30" t="s">
        <v>1849</v>
      </c>
      <c r="B482" s="30" t="s">
        <v>2349</v>
      </c>
      <c r="C482" s="30" t="s">
        <v>2372</v>
      </c>
      <c r="D482" s="30" t="str">
        <f t="shared" si="14"/>
        <v>Clothing</v>
      </c>
      <c r="E482" s="31">
        <v>849.96</v>
      </c>
      <c r="F482" s="31">
        <v>88</v>
      </c>
      <c r="G482" s="31">
        <f t="shared" si="15"/>
        <v>88</v>
      </c>
      <c r="H482" s="30" t="s">
        <v>2378</v>
      </c>
    </row>
    <row r="483" spans="1:8" ht="15" thickBot="1">
      <c r="A483" s="30" t="s">
        <v>1850</v>
      </c>
      <c r="B483" s="30" t="s">
        <v>2350</v>
      </c>
      <c r="C483" s="30" t="s">
        <v>2373</v>
      </c>
      <c r="D483" s="30" t="str">
        <f t="shared" si="14"/>
        <v>Furniture</v>
      </c>
      <c r="E483" s="31">
        <v>835.6</v>
      </c>
      <c r="F483" s="31">
        <v>41</v>
      </c>
      <c r="G483" s="31">
        <f t="shared" si="15"/>
        <v>41</v>
      </c>
      <c r="H483" s="30" t="s">
        <v>2379</v>
      </c>
    </row>
    <row r="484" spans="1:8" ht="15" thickBot="1">
      <c r="A484" s="30" t="s">
        <v>1851</v>
      </c>
      <c r="B484" s="30" t="s">
        <v>2351</v>
      </c>
      <c r="C484" s="30" t="s">
        <v>2372</v>
      </c>
      <c r="D484" s="30" t="str">
        <f t="shared" si="14"/>
        <v>Clothing</v>
      </c>
      <c r="E484" s="31">
        <v>262.29000000000002</v>
      </c>
      <c r="F484" s="31">
        <v>47</v>
      </c>
      <c r="G484" s="31">
        <f t="shared" si="15"/>
        <v>47</v>
      </c>
      <c r="H484" s="30" t="s">
        <v>2380</v>
      </c>
    </row>
    <row r="485" spans="1:8" ht="15" thickBot="1">
      <c r="A485" s="30" t="s">
        <v>1852</v>
      </c>
      <c r="B485" s="30" t="s">
        <v>2352</v>
      </c>
      <c r="C485" s="30" t="s">
        <v>2376</v>
      </c>
      <c r="D485" s="30" t="str">
        <f t="shared" si="14"/>
        <v>Food</v>
      </c>
      <c r="E485" s="31">
        <v>515.14</v>
      </c>
      <c r="F485" s="31">
        <v>-8</v>
      </c>
      <c r="G485" s="31">
        <f t="shared" si="15"/>
        <v>0</v>
      </c>
      <c r="H485" s="30" t="s">
        <v>2381</v>
      </c>
    </row>
    <row r="486" spans="1:8" ht="15" thickBot="1">
      <c r="A486" s="30" t="s">
        <v>1853</v>
      </c>
      <c r="B486" s="30" t="s">
        <v>2353</v>
      </c>
      <c r="C486" s="30" t="s">
        <v>2373</v>
      </c>
      <c r="D486" s="30" t="str">
        <f t="shared" si="14"/>
        <v>Furniture</v>
      </c>
      <c r="E486" s="31">
        <v>869.96</v>
      </c>
      <c r="F486" s="31">
        <v>15</v>
      </c>
      <c r="G486" s="31">
        <f t="shared" si="15"/>
        <v>15</v>
      </c>
      <c r="H486" s="30" t="s">
        <v>2382</v>
      </c>
    </row>
    <row r="487" spans="1:8" ht="15" thickBot="1">
      <c r="A487" s="30" t="s">
        <v>1854</v>
      </c>
      <c r="B487" s="30" t="s">
        <v>2354</v>
      </c>
      <c r="C487" s="30" t="s">
        <v>2372</v>
      </c>
      <c r="D487" s="30" t="str">
        <f t="shared" si="14"/>
        <v>Clothing</v>
      </c>
      <c r="E487" s="31">
        <v>522.66999999999996</v>
      </c>
      <c r="F487" s="31">
        <v>76</v>
      </c>
      <c r="G487" s="31">
        <f t="shared" si="15"/>
        <v>76</v>
      </c>
      <c r="H487" s="30" t="s">
        <v>2383</v>
      </c>
    </row>
    <row r="488" spans="1:8" ht="15" thickBot="1">
      <c r="A488" s="30" t="s">
        <v>1855</v>
      </c>
      <c r="B488" s="30" t="s">
        <v>2355</v>
      </c>
      <c r="C488" s="30" t="s">
        <v>2376</v>
      </c>
      <c r="D488" s="30" t="str">
        <f t="shared" si="14"/>
        <v>Food</v>
      </c>
      <c r="E488" s="31">
        <v>357.51</v>
      </c>
      <c r="F488" s="31">
        <v>96</v>
      </c>
      <c r="G488" s="31">
        <f t="shared" si="15"/>
        <v>96</v>
      </c>
      <c r="H488" s="30" t="s">
        <v>2384</v>
      </c>
    </row>
    <row r="489" spans="1:8" ht="15" thickBot="1">
      <c r="A489" s="30" t="s">
        <v>1856</v>
      </c>
      <c r="B489" s="30" t="s">
        <v>2356</v>
      </c>
      <c r="C489" s="30" t="s">
        <v>2372</v>
      </c>
      <c r="D489" s="30" t="str">
        <f t="shared" si="14"/>
        <v>Clothing</v>
      </c>
      <c r="E489" s="31">
        <v>316.04000000000002</v>
      </c>
      <c r="F489" s="31">
        <v>68</v>
      </c>
      <c r="G489" s="31">
        <f t="shared" si="15"/>
        <v>68</v>
      </c>
      <c r="H489" s="32" t="s">
        <v>2385</v>
      </c>
    </row>
    <row r="490" spans="1:8" ht="15" thickBot="1">
      <c r="A490" s="30" t="s">
        <v>1857</v>
      </c>
      <c r="B490" s="30" t="s">
        <v>2357</v>
      </c>
      <c r="C490" s="30" t="s">
        <v>2370</v>
      </c>
      <c r="D490" s="30" t="str">
        <f t="shared" si="14"/>
        <v>Electronics</v>
      </c>
      <c r="E490" s="31">
        <v>637.07000000000005</v>
      </c>
      <c r="F490" s="31">
        <v>-8</v>
      </c>
      <c r="G490" s="31">
        <f t="shared" si="15"/>
        <v>0</v>
      </c>
      <c r="H490" s="30" t="s">
        <v>2386</v>
      </c>
    </row>
    <row r="491" spans="1:8" ht="15" thickBot="1">
      <c r="A491" s="30" t="s">
        <v>1858</v>
      </c>
      <c r="B491" s="30" t="s">
        <v>2358</v>
      </c>
      <c r="C491" s="30" t="s">
        <v>2374</v>
      </c>
      <c r="D491" s="30" t="str">
        <f t="shared" si="14"/>
        <v>Stationery</v>
      </c>
      <c r="E491" s="31">
        <v>767.59</v>
      </c>
      <c r="F491" s="31">
        <v>4</v>
      </c>
      <c r="G491" s="31">
        <f t="shared" si="15"/>
        <v>4</v>
      </c>
      <c r="H491" s="30" t="s">
        <v>2387</v>
      </c>
    </row>
    <row r="492" spans="1:8" ht="15" thickBot="1">
      <c r="A492" s="30" t="s">
        <v>1859</v>
      </c>
      <c r="B492" s="30" t="s">
        <v>2359</v>
      </c>
      <c r="C492" s="30" t="s">
        <v>2373</v>
      </c>
      <c r="D492" s="30" t="str">
        <f t="shared" si="14"/>
        <v>Furniture</v>
      </c>
      <c r="E492" s="31">
        <v>105.85</v>
      </c>
      <c r="F492" s="31">
        <v>22</v>
      </c>
      <c r="G492" s="31">
        <f t="shared" si="15"/>
        <v>22</v>
      </c>
      <c r="H492" s="30" t="s">
        <v>2378</v>
      </c>
    </row>
    <row r="493" spans="1:8" ht="15" thickBot="1">
      <c r="A493" s="30" t="s">
        <v>1860</v>
      </c>
      <c r="B493" s="30" t="s">
        <v>2360</v>
      </c>
      <c r="C493" s="30" t="s">
        <v>2376</v>
      </c>
      <c r="D493" s="30" t="str">
        <f t="shared" si="14"/>
        <v>Food</v>
      </c>
      <c r="E493" s="31">
        <v>101.25</v>
      </c>
      <c r="F493" s="31">
        <v>0</v>
      </c>
      <c r="G493" s="31">
        <f t="shared" si="15"/>
        <v>0</v>
      </c>
      <c r="H493" s="30" t="s">
        <v>2379</v>
      </c>
    </row>
    <row r="494" spans="1:8" ht="15" thickBot="1">
      <c r="A494" s="30" t="s">
        <v>1861</v>
      </c>
      <c r="B494" s="30" t="s">
        <v>2361</v>
      </c>
      <c r="C494" s="30" t="s">
        <v>2372</v>
      </c>
      <c r="D494" s="30" t="str">
        <f t="shared" si="14"/>
        <v>Clothing</v>
      </c>
      <c r="E494" s="31">
        <v>711.14</v>
      </c>
      <c r="F494" s="31">
        <v>16</v>
      </c>
      <c r="G494" s="31">
        <f t="shared" si="15"/>
        <v>16</v>
      </c>
      <c r="H494" s="30" t="s">
        <v>2380</v>
      </c>
    </row>
    <row r="495" spans="1:8" ht="15" thickBot="1">
      <c r="A495" s="30" t="s">
        <v>1862</v>
      </c>
      <c r="B495" s="30" t="s">
        <v>2362</v>
      </c>
      <c r="C495" s="30" t="s">
        <v>2376</v>
      </c>
      <c r="D495" s="30" t="str">
        <f t="shared" si="14"/>
        <v>Food</v>
      </c>
      <c r="E495" s="31">
        <v>260.72000000000003</v>
      </c>
      <c r="F495" s="31">
        <v>-4</v>
      </c>
      <c r="G495" s="31">
        <f t="shared" si="15"/>
        <v>0</v>
      </c>
      <c r="H495" s="30" t="s">
        <v>2381</v>
      </c>
    </row>
    <row r="496" spans="1:8" ht="15" thickBot="1">
      <c r="A496" s="30" t="s">
        <v>1863</v>
      </c>
      <c r="B496" s="30" t="s">
        <v>2363</v>
      </c>
      <c r="C496" s="30" t="s">
        <v>2370</v>
      </c>
      <c r="D496" s="30" t="str">
        <f t="shared" si="14"/>
        <v>Electronics</v>
      </c>
      <c r="E496" s="31">
        <v>732.11</v>
      </c>
      <c r="F496" s="31">
        <v>49</v>
      </c>
      <c r="G496" s="31">
        <f t="shared" si="15"/>
        <v>49</v>
      </c>
      <c r="H496" s="30" t="s">
        <v>2382</v>
      </c>
    </row>
    <row r="497" spans="1:8" ht="15" thickBot="1">
      <c r="A497" s="30" t="s">
        <v>1864</v>
      </c>
      <c r="B497" s="30" t="s">
        <v>2364</v>
      </c>
      <c r="C497" s="30" t="s">
        <v>2370</v>
      </c>
      <c r="D497" s="30" t="str">
        <f t="shared" si="14"/>
        <v>Electronics</v>
      </c>
      <c r="E497" s="31">
        <v>408.03</v>
      </c>
      <c r="F497" s="31">
        <v>78</v>
      </c>
      <c r="G497" s="31">
        <f t="shared" si="15"/>
        <v>78</v>
      </c>
      <c r="H497" s="30" t="s">
        <v>2383</v>
      </c>
    </row>
    <row r="498" spans="1:8" ht="15" thickBot="1">
      <c r="A498" s="30" t="s">
        <v>1865</v>
      </c>
      <c r="B498" s="30" t="s">
        <v>2365</v>
      </c>
      <c r="C498" s="30" t="s">
        <v>2376</v>
      </c>
      <c r="D498" s="30" t="str">
        <f t="shared" si="14"/>
        <v>Food</v>
      </c>
      <c r="E498" s="31">
        <v>273.8</v>
      </c>
      <c r="F498" s="31">
        <v>51</v>
      </c>
      <c r="G498" s="31">
        <f t="shared" si="15"/>
        <v>51</v>
      </c>
      <c r="H498" s="30" t="s">
        <v>2384</v>
      </c>
    </row>
    <row r="499" spans="1:8" ht="15" thickBot="1">
      <c r="A499" s="30" t="s">
        <v>1866</v>
      </c>
      <c r="B499" s="30" t="s">
        <v>2366</v>
      </c>
      <c r="C499" s="30" t="s">
        <v>2376</v>
      </c>
      <c r="D499" s="30" t="str">
        <f t="shared" si="14"/>
        <v>Food</v>
      </c>
      <c r="E499" s="31">
        <v>424.2</v>
      </c>
      <c r="F499" s="31">
        <v>18</v>
      </c>
      <c r="G499" s="31">
        <f t="shared" si="15"/>
        <v>18</v>
      </c>
      <c r="H499" s="32" t="s">
        <v>2385</v>
      </c>
    </row>
    <row r="500" spans="1:8" ht="15" thickBot="1">
      <c r="A500" s="30" t="s">
        <v>1867</v>
      </c>
      <c r="B500" s="30" t="s">
        <v>2367</v>
      </c>
      <c r="C500" s="30" t="s">
        <v>2372</v>
      </c>
      <c r="D500" s="30" t="str">
        <f t="shared" si="14"/>
        <v>Clothing</v>
      </c>
      <c r="E500" s="31">
        <v>468.88</v>
      </c>
      <c r="F500" s="31">
        <v>83</v>
      </c>
      <c r="G500" s="31">
        <f t="shared" si="15"/>
        <v>83</v>
      </c>
      <c r="H500" s="30" t="s">
        <v>2386</v>
      </c>
    </row>
    <row r="501" spans="1:8" ht="15" thickBot="1">
      <c r="A501" s="30" t="s">
        <v>1868</v>
      </c>
      <c r="B501" s="30" t="s">
        <v>2368</v>
      </c>
      <c r="C501" s="30" t="s">
        <v>2376</v>
      </c>
      <c r="D501" s="30" t="str">
        <f t="shared" si="14"/>
        <v>Food</v>
      </c>
      <c r="E501" s="31">
        <v>975.37</v>
      </c>
      <c r="F501" s="31">
        <v>38</v>
      </c>
      <c r="G501" s="31">
        <f t="shared" si="15"/>
        <v>38</v>
      </c>
      <c r="H501" s="30" t="s">
        <v>2387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FCF20-8435-485B-B2EB-1C0C0F88404F}">
  <sheetPr codeName="Sheet5"/>
  <dimension ref="A1:C4"/>
  <sheetViews>
    <sheetView workbookViewId="0"/>
  </sheetViews>
  <sheetFormatPr defaultRowHeight="14.5"/>
  <cols>
    <col min="1" max="1" width="18.7265625" customWidth="1"/>
    <col min="2" max="2" width="13.81640625" customWidth="1"/>
  </cols>
  <sheetData>
    <row r="1" spans="1:3">
      <c r="A1" t="s">
        <v>2397</v>
      </c>
      <c r="B1" t="s">
        <v>2395</v>
      </c>
    </row>
    <row r="2" spans="1:3">
      <c r="A2" t="s">
        <v>2390</v>
      </c>
      <c r="B2">
        <v>110065</v>
      </c>
      <c r="C2" t="s">
        <v>2392</v>
      </c>
    </row>
    <row r="3" spans="1:3">
      <c r="A3" t="s">
        <v>2391</v>
      </c>
      <c r="B3">
        <v>110089</v>
      </c>
      <c r="C3" t="s">
        <v>2393</v>
      </c>
    </row>
    <row r="4" spans="1:3">
      <c r="A4" t="s">
        <v>2394</v>
      </c>
      <c r="B4">
        <v>110076</v>
      </c>
      <c r="C4" t="s">
        <v>2396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BF256-E1D5-458C-874C-018DBCD0193F}">
  <sheetPr codeName="Sheet6"/>
  <dimension ref="A1:J13"/>
  <sheetViews>
    <sheetView workbookViewId="0">
      <selection activeCell="N7" sqref="N7"/>
    </sheetView>
  </sheetViews>
  <sheetFormatPr defaultRowHeight="14.5"/>
  <cols>
    <col min="1" max="1" width="13.08984375" customWidth="1"/>
    <col min="2" max="2" width="14.54296875" style="36" customWidth="1"/>
    <col min="3" max="4" width="12.81640625" customWidth="1"/>
    <col min="5" max="5" width="13.6328125" customWidth="1"/>
    <col min="6" max="6" width="11.81640625" customWidth="1"/>
    <col min="7" max="7" width="12.90625" customWidth="1"/>
    <col min="8" max="8" width="11.26953125" customWidth="1"/>
    <col min="9" max="9" width="17.1796875" customWidth="1"/>
    <col min="10" max="10" width="10.90625" customWidth="1"/>
  </cols>
  <sheetData>
    <row r="1" spans="1:10">
      <c r="A1" s="44" t="s">
        <v>2398</v>
      </c>
      <c r="B1" s="45" t="s">
        <v>2399</v>
      </c>
      <c r="C1" s="44" t="s">
        <v>1003</v>
      </c>
      <c r="D1" s="44" t="s">
        <v>1006</v>
      </c>
      <c r="E1" s="44" t="s">
        <v>2400</v>
      </c>
      <c r="F1" s="44" t="s">
        <v>2413</v>
      </c>
      <c r="G1" s="44" t="s">
        <v>2412</v>
      </c>
    </row>
    <row r="2" spans="1:10" ht="15" thickBot="1">
      <c r="A2" s="38" t="s">
        <v>4</v>
      </c>
      <c r="B2" s="39" t="s">
        <v>504</v>
      </c>
      <c r="C2" s="38" t="s">
        <v>1004</v>
      </c>
      <c r="D2" s="40">
        <v>72704</v>
      </c>
      <c r="E2" s="1" t="str">
        <f>IF(D2&gt;=50000,"Complete","Incomplete")</f>
        <v>Complete</v>
      </c>
      <c r="F2" s="1">
        <f>IF(D2&gt;75000,D2*20%,IF(D2&gt;50000,D2*15%,D2*10%))</f>
        <v>10905.6</v>
      </c>
      <c r="G2" s="1" cm="1">
        <f t="array" ref="G2">_xlfn.IFS(D2&gt;75000,D2*20%,D2&gt;50000,D2*15%,D2&lt;=50000,D2*10%)</f>
        <v>10905.6</v>
      </c>
      <c r="I2" s="42" t="s">
        <v>2401</v>
      </c>
    </row>
    <row r="3" spans="1:10" ht="15" thickBot="1">
      <c r="A3" s="3" t="s">
        <v>5</v>
      </c>
      <c r="B3" s="35" t="s">
        <v>505</v>
      </c>
      <c r="C3" s="3" t="s">
        <v>1005</v>
      </c>
      <c r="D3" s="41">
        <v>44718</v>
      </c>
      <c r="E3" s="1" t="str">
        <f t="shared" ref="E3:E13" si="0">IF(D3&gt;=50000,"Complete","Incomplete")</f>
        <v>Incomplete</v>
      </c>
      <c r="F3" s="1">
        <f t="shared" ref="F3:F13" si="1">IF(D3&gt;75000,D3*20%,IF(D3&gt;50000,D3*15%,D3*10%))</f>
        <v>4471.8</v>
      </c>
      <c r="G3" s="1" cm="1">
        <f t="array" ref="G3">_xlfn.IFS(D3&gt;75000,D3*20%,D3&gt;50000,D3*15%,D3&lt;=50000,D3*10%)</f>
        <v>4471.8</v>
      </c>
      <c r="I3" t="s">
        <v>2402</v>
      </c>
      <c r="J3" t="s">
        <v>2405</v>
      </c>
    </row>
    <row r="4" spans="1:10" ht="15" thickBot="1">
      <c r="A4" s="3" t="s">
        <v>6</v>
      </c>
      <c r="B4" s="35" t="s">
        <v>506</v>
      </c>
      <c r="C4" s="3" t="s">
        <v>1006</v>
      </c>
      <c r="D4" s="41">
        <v>35210</v>
      </c>
      <c r="E4" s="1" t="str">
        <f t="shared" si="0"/>
        <v>Incomplete</v>
      </c>
      <c r="F4" s="1">
        <f t="shared" si="1"/>
        <v>3521</v>
      </c>
      <c r="G4" s="1" cm="1">
        <f t="array" ref="G4">_xlfn.IFS(D4&gt;75000,D4*20%,D4&gt;50000,D4*15%,D4&lt;=50000,D4*10%)</f>
        <v>3521</v>
      </c>
      <c r="I4" t="s">
        <v>2403</v>
      </c>
      <c r="J4" s="32" t="s">
        <v>2406</v>
      </c>
    </row>
    <row r="5" spans="1:10" ht="15" thickBot="1">
      <c r="A5" s="3" t="s">
        <v>7</v>
      </c>
      <c r="B5" s="35" t="s">
        <v>507</v>
      </c>
      <c r="C5" s="3" t="s">
        <v>1004</v>
      </c>
      <c r="D5" s="41">
        <v>30681</v>
      </c>
      <c r="E5" s="1" t="str">
        <f t="shared" si="0"/>
        <v>Incomplete</v>
      </c>
      <c r="F5" s="1">
        <f t="shared" si="1"/>
        <v>3068.1000000000004</v>
      </c>
      <c r="G5" s="1" cm="1">
        <f t="array" ref="G5">_xlfn.IFS(D5&gt;75000,D5*20%,D5&gt;50000,D5*15%,D5&lt;=50000,D5*10%)</f>
        <v>3068.1000000000004</v>
      </c>
      <c r="I5" t="s">
        <v>2404</v>
      </c>
      <c r="J5" s="30" t="s">
        <v>2407</v>
      </c>
    </row>
    <row r="6" spans="1:10" ht="15" thickBot="1">
      <c r="A6" s="3" t="s">
        <v>8</v>
      </c>
      <c r="B6" s="35" t="s">
        <v>508</v>
      </c>
      <c r="C6" s="3" t="s">
        <v>1005</v>
      </c>
      <c r="D6" s="41">
        <v>47487</v>
      </c>
      <c r="E6" s="1" t="str">
        <f t="shared" si="0"/>
        <v>Incomplete</v>
      </c>
      <c r="F6" s="1">
        <f t="shared" si="1"/>
        <v>4748.7</v>
      </c>
      <c r="G6" s="1" cm="1">
        <f t="array" ref="G6">_xlfn.IFS(D6&gt;75000,D6*20%,D6&gt;50000,D6*15%,D6&lt;=50000,D6*10%)</f>
        <v>4748.7</v>
      </c>
    </row>
    <row r="7" spans="1:10" ht="15" thickBot="1">
      <c r="A7" s="3" t="s">
        <v>9</v>
      </c>
      <c r="B7" s="35" t="s">
        <v>506</v>
      </c>
      <c r="C7" s="3" t="s">
        <v>1005</v>
      </c>
      <c r="D7" s="41">
        <v>75613</v>
      </c>
      <c r="E7" s="1" t="str">
        <f t="shared" si="0"/>
        <v>Complete</v>
      </c>
      <c r="F7" s="1">
        <f t="shared" si="1"/>
        <v>15122.6</v>
      </c>
      <c r="G7" s="1" cm="1">
        <f t="array" ref="G7">_xlfn.IFS(D7&gt;75000,D7*20%,D7&gt;50000,D7*15%,D7&lt;=50000,D7*10%)</f>
        <v>15122.6</v>
      </c>
    </row>
    <row r="8" spans="1:10" ht="15" thickBot="1">
      <c r="A8" s="3" t="s">
        <v>10</v>
      </c>
      <c r="B8" s="35" t="s">
        <v>509</v>
      </c>
      <c r="C8" s="3" t="s">
        <v>1006</v>
      </c>
      <c r="D8" s="41">
        <v>63671</v>
      </c>
      <c r="E8" s="1" t="str">
        <f t="shared" si="0"/>
        <v>Complete</v>
      </c>
      <c r="F8" s="1">
        <f t="shared" si="1"/>
        <v>9550.65</v>
      </c>
      <c r="G8" s="1" cm="1">
        <f t="array" ref="G8">_xlfn.IFS(D8&gt;75000,D8*20%,D8&gt;50000,D8*15%,D8&lt;=50000,D8*10%)</f>
        <v>9550.65</v>
      </c>
      <c r="I8" s="60" t="s">
        <v>2408</v>
      </c>
      <c r="J8" s="61"/>
    </row>
    <row r="9" spans="1:10" ht="15" thickBot="1">
      <c r="A9" s="3" t="s">
        <v>11</v>
      </c>
      <c r="B9" s="35" t="s">
        <v>510</v>
      </c>
      <c r="C9" s="3" t="s">
        <v>1004</v>
      </c>
      <c r="D9" s="41">
        <v>38966</v>
      </c>
      <c r="E9" s="1" t="str">
        <f t="shared" si="0"/>
        <v>Incomplete</v>
      </c>
      <c r="F9" s="1">
        <f t="shared" si="1"/>
        <v>3896.6000000000004</v>
      </c>
      <c r="G9" s="1" cm="1">
        <f t="array" ref="G9">_xlfn.IFS(D9&gt;75000,D9*20%,D9&gt;50000,D9*15%,D9&lt;=50000,D9*10%)</f>
        <v>3896.6000000000004</v>
      </c>
      <c r="I9" s="18" t="s">
        <v>1006</v>
      </c>
      <c r="J9" s="18" t="s">
        <v>2411</v>
      </c>
    </row>
    <row r="10" spans="1:10" ht="15" thickBot="1">
      <c r="A10" s="3" t="s">
        <v>12</v>
      </c>
      <c r="B10" s="35" t="s">
        <v>511</v>
      </c>
      <c r="C10" s="3" t="s">
        <v>1005</v>
      </c>
      <c r="D10" s="41">
        <v>77052</v>
      </c>
      <c r="E10" s="1" t="str">
        <f t="shared" si="0"/>
        <v>Complete</v>
      </c>
      <c r="F10" s="1">
        <f t="shared" si="1"/>
        <v>15410.400000000001</v>
      </c>
      <c r="G10" s="1" cm="1">
        <f t="array" ref="G10">_xlfn.IFS(D10&gt;75000,D10*20%,D10&gt;50000,D10*15%,D10&lt;=50000,D10*10%)</f>
        <v>15410.400000000001</v>
      </c>
      <c r="I10" s="18" t="s">
        <v>2409</v>
      </c>
      <c r="J10" s="43">
        <v>0.2</v>
      </c>
    </row>
    <row r="11" spans="1:10" ht="15" thickBot="1">
      <c r="A11" s="3" t="s">
        <v>13</v>
      </c>
      <c r="B11" s="35" t="s">
        <v>512</v>
      </c>
      <c r="C11" s="3" t="s">
        <v>1006</v>
      </c>
      <c r="D11" s="41">
        <v>86570</v>
      </c>
      <c r="E11" s="1" t="str">
        <f t="shared" si="0"/>
        <v>Complete</v>
      </c>
      <c r="F11" s="1">
        <f t="shared" si="1"/>
        <v>17314</v>
      </c>
      <c r="G11" s="1" cm="1">
        <f t="array" ref="G11">_xlfn.IFS(D11&gt;75000,D11*20%,D11&gt;50000,D11*15%,D11&lt;=50000,D11*10%)</f>
        <v>17314</v>
      </c>
      <c r="I11" s="18" t="s">
        <v>2410</v>
      </c>
      <c r="J11" s="43">
        <v>0.15</v>
      </c>
    </row>
    <row r="12" spans="1:10" ht="15" thickBot="1">
      <c r="A12" s="3" t="s">
        <v>14</v>
      </c>
      <c r="B12" s="35" t="s">
        <v>513</v>
      </c>
      <c r="C12" s="3" t="s">
        <v>1006</v>
      </c>
      <c r="D12" s="41">
        <v>30250</v>
      </c>
      <c r="E12" s="1" t="str">
        <f t="shared" si="0"/>
        <v>Incomplete</v>
      </c>
      <c r="F12" s="1">
        <f t="shared" si="1"/>
        <v>3025</v>
      </c>
      <c r="G12" s="1" cm="1">
        <f t="array" ref="G12">_xlfn.IFS(D12&gt;75000,D12*20%,D12&gt;50000,D12*15%,D12&lt;=50000,D12*10%)</f>
        <v>3025</v>
      </c>
      <c r="I12" s="18" t="s">
        <v>2404</v>
      </c>
      <c r="J12" s="43">
        <v>0.1</v>
      </c>
    </row>
    <row r="13" spans="1:10" ht="15" thickBot="1">
      <c r="A13" s="3" t="s">
        <v>15</v>
      </c>
      <c r="B13" s="35" t="s">
        <v>514</v>
      </c>
      <c r="C13" s="3" t="s">
        <v>1005</v>
      </c>
      <c r="D13" s="41">
        <v>71584</v>
      </c>
      <c r="E13" s="1" t="str">
        <f t="shared" si="0"/>
        <v>Complete</v>
      </c>
      <c r="F13" s="1">
        <f t="shared" si="1"/>
        <v>10737.6</v>
      </c>
      <c r="G13" s="1" cm="1">
        <f t="array" ref="G13">_xlfn.IFS(D13&gt;75000,D13*20%,D13&gt;50000,D13*15%,D13&lt;=50000,D13*10%)</f>
        <v>10737.6</v>
      </c>
    </row>
  </sheetData>
  <mergeCells count="1">
    <mergeCell ref="I8:J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E78B4-69C2-476C-86D5-BDE74615294D}">
  <sheetPr codeName="Sheet7"/>
  <dimension ref="A1:J13"/>
  <sheetViews>
    <sheetView workbookViewId="0">
      <selection activeCell="F2" sqref="F2"/>
    </sheetView>
  </sheetViews>
  <sheetFormatPr defaultRowHeight="14.5"/>
  <cols>
    <col min="1" max="1" width="13.54296875" customWidth="1"/>
    <col min="2" max="2" width="12.453125" customWidth="1"/>
    <col min="3" max="3" width="16" customWidth="1"/>
    <col min="4" max="4" width="13.54296875" customWidth="1"/>
    <col min="5" max="5" width="15.453125" style="36" customWidth="1"/>
    <col min="6" max="6" width="15.54296875" customWidth="1"/>
    <col min="10" max="10" width="10.1796875" customWidth="1"/>
  </cols>
  <sheetData>
    <row r="1" spans="1:10" ht="15" thickBot="1">
      <c r="A1" s="46" t="s">
        <v>2414</v>
      </c>
      <c r="B1" s="47" t="s">
        <v>1003</v>
      </c>
      <c r="C1" s="47" t="s">
        <v>2415</v>
      </c>
      <c r="D1" s="47" t="s">
        <v>2</v>
      </c>
      <c r="E1" s="54" t="s">
        <v>2423</v>
      </c>
      <c r="F1" s="53" t="s">
        <v>2424</v>
      </c>
      <c r="H1" s="48" t="s">
        <v>2416</v>
      </c>
    </row>
    <row r="2" spans="1:10" ht="15" thickBot="1">
      <c r="A2" s="34" t="s">
        <v>504</v>
      </c>
      <c r="B2" s="2" t="s">
        <v>1004</v>
      </c>
      <c r="C2" s="37">
        <v>5</v>
      </c>
      <c r="D2" s="55">
        <v>41954</v>
      </c>
      <c r="E2" s="57" t="str">
        <f>IF(AND(B2="Finance",C2&gt;=5),"Yes", "No")</f>
        <v>Yes</v>
      </c>
      <c r="F2" s="1" t="str">
        <f>IF(OR(B2 = "Finance",C2&gt;=5),"Yes","No")</f>
        <v>Yes</v>
      </c>
    </row>
    <row r="3" spans="1:10" ht="15" thickBot="1">
      <c r="A3" s="35" t="s">
        <v>505</v>
      </c>
      <c r="B3" s="3" t="s">
        <v>1005</v>
      </c>
      <c r="C3" s="7">
        <v>4</v>
      </c>
      <c r="D3" s="56">
        <v>49855</v>
      </c>
      <c r="E3" s="57" t="str">
        <f t="shared" ref="E3:E13" si="0">IF(AND(B3="Finance",C3&gt;=5),"Yes", "No")</f>
        <v>No</v>
      </c>
      <c r="F3" s="1" t="str">
        <f t="shared" ref="F3:F13" si="1">IF(OR(B3 = "Finance",C3&gt;=5),"Yes","No")</f>
        <v>No</v>
      </c>
      <c r="H3" s="58" t="s">
        <v>2417</v>
      </c>
      <c r="I3" s="59"/>
      <c r="J3" s="52" t="s">
        <v>2418</v>
      </c>
    </row>
    <row r="4" spans="1:10" ht="15" thickBot="1">
      <c r="A4" s="35" t="s">
        <v>506</v>
      </c>
      <c r="B4" s="3" t="s">
        <v>1006</v>
      </c>
      <c r="C4" s="7">
        <v>3</v>
      </c>
      <c r="D4" s="56">
        <v>94210</v>
      </c>
      <c r="E4" s="57" t="str">
        <f t="shared" si="0"/>
        <v>No</v>
      </c>
      <c r="F4" s="1" t="str">
        <f t="shared" si="1"/>
        <v>No</v>
      </c>
      <c r="H4" s="2" t="s">
        <v>1004</v>
      </c>
      <c r="I4" s="49" t="s">
        <v>2422</v>
      </c>
      <c r="J4" s="50" t="s">
        <v>2420</v>
      </c>
    </row>
    <row r="5" spans="1:10" ht="15" thickBot="1">
      <c r="A5" s="35" t="s">
        <v>507</v>
      </c>
      <c r="B5" s="3" t="s">
        <v>1004</v>
      </c>
      <c r="C5" s="7">
        <v>5</v>
      </c>
      <c r="D5" s="56">
        <v>74689</v>
      </c>
      <c r="E5" s="57" t="str">
        <f t="shared" si="0"/>
        <v>Yes</v>
      </c>
      <c r="F5" s="1" t="str">
        <f t="shared" si="1"/>
        <v>Yes</v>
      </c>
    </row>
    <row r="6" spans="1:10" ht="15" thickBot="1">
      <c r="A6" s="35" t="s">
        <v>508</v>
      </c>
      <c r="B6" s="3" t="s">
        <v>1005</v>
      </c>
      <c r="C6" s="7">
        <v>6</v>
      </c>
      <c r="D6" s="56">
        <v>90652</v>
      </c>
      <c r="E6" s="57" t="str">
        <f t="shared" si="0"/>
        <v>No</v>
      </c>
      <c r="F6" s="1" t="str">
        <f t="shared" si="1"/>
        <v>Yes</v>
      </c>
    </row>
    <row r="7" spans="1:10" ht="15" thickBot="1">
      <c r="A7" s="35" t="s">
        <v>506</v>
      </c>
      <c r="B7" s="3" t="s">
        <v>1005</v>
      </c>
      <c r="C7" s="7">
        <v>2</v>
      </c>
      <c r="D7" s="56">
        <v>74820</v>
      </c>
      <c r="E7" s="57" t="str">
        <f t="shared" si="0"/>
        <v>No</v>
      </c>
      <c r="F7" s="1" t="str">
        <f t="shared" si="1"/>
        <v>No</v>
      </c>
      <c r="H7" s="58" t="s">
        <v>2421</v>
      </c>
      <c r="I7" s="59"/>
      <c r="J7" s="51" t="s">
        <v>2418</v>
      </c>
    </row>
    <row r="8" spans="1:10" ht="15" thickBot="1">
      <c r="A8" s="35" t="s">
        <v>509</v>
      </c>
      <c r="B8" s="3" t="s">
        <v>1006</v>
      </c>
      <c r="C8" s="7">
        <v>3</v>
      </c>
      <c r="D8" s="56">
        <v>85206</v>
      </c>
      <c r="E8" s="57" t="str">
        <f t="shared" si="0"/>
        <v>No</v>
      </c>
      <c r="F8" s="1" t="str">
        <f t="shared" si="1"/>
        <v>No</v>
      </c>
      <c r="H8" s="2" t="s">
        <v>1004</v>
      </c>
      <c r="I8" s="49" t="s">
        <v>2419</v>
      </c>
      <c r="J8" s="50" t="s">
        <v>2420</v>
      </c>
    </row>
    <row r="9" spans="1:10" ht="15" thickBot="1">
      <c r="A9" s="35" t="s">
        <v>510</v>
      </c>
      <c r="B9" s="3" t="s">
        <v>1004</v>
      </c>
      <c r="C9" s="7">
        <v>5</v>
      </c>
      <c r="D9" s="56">
        <v>30924</v>
      </c>
      <c r="E9" s="57" t="str">
        <f t="shared" si="0"/>
        <v>Yes</v>
      </c>
      <c r="F9" s="1" t="str">
        <f t="shared" si="1"/>
        <v>Yes</v>
      </c>
    </row>
    <row r="10" spans="1:10" ht="15" thickBot="1">
      <c r="A10" s="35" t="s">
        <v>511</v>
      </c>
      <c r="B10" s="3" t="s">
        <v>1005</v>
      </c>
      <c r="C10" s="7">
        <v>6</v>
      </c>
      <c r="D10" s="56">
        <v>57737</v>
      </c>
      <c r="E10" s="57" t="str">
        <f t="shared" si="0"/>
        <v>No</v>
      </c>
      <c r="F10" s="1" t="str">
        <f t="shared" si="1"/>
        <v>Yes</v>
      </c>
    </row>
    <row r="11" spans="1:10" ht="15" thickBot="1">
      <c r="A11" s="35" t="s">
        <v>512</v>
      </c>
      <c r="B11" s="3" t="s">
        <v>1006</v>
      </c>
      <c r="C11" s="7">
        <v>2</v>
      </c>
      <c r="D11" s="56">
        <v>36000</v>
      </c>
      <c r="E11" s="57" t="str">
        <f t="shared" si="0"/>
        <v>No</v>
      </c>
      <c r="F11" s="1" t="str">
        <f t="shared" si="1"/>
        <v>No</v>
      </c>
    </row>
    <row r="12" spans="1:10" ht="15" thickBot="1">
      <c r="A12" s="35" t="s">
        <v>513</v>
      </c>
      <c r="B12" s="3" t="s">
        <v>1006</v>
      </c>
      <c r="C12" s="7">
        <v>3</v>
      </c>
      <c r="D12" s="56">
        <v>96371</v>
      </c>
      <c r="E12" s="57" t="str">
        <f t="shared" si="0"/>
        <v>No</v>
      </c>
      <c r="F12" s="1" t="str">
        <f t="shared" si="1"/>
        <v>No</v>
      </c>
    </row>
    <row r="13" spans="1:10" ht="15" thickBot="1">
      <c r="A13" s="35" t="s">
        <v>514</v>
      </c>
      <c r="B13" s="3" t="s">
        <v>1005</v>
      </c>
      <c r="C13" s="7">
        <v>7</v>
      </c>
      <c r="D13" s="56">
        <v>85028</v>
      </c>
      <c r="E13" s="57" t="str">
        <f t="shared" si="0"/>
        <v>No</v>
      </c>
      <c r="F13" s="1" t="str">
        <f t="shared" si="1"/>
        <v>Yes</v>
      </c>
    </row>
  </sheetData>
  <mergeCells count="2">
    <mergeCell ref="H3:I3"/>
    <mergeCell ref="H7:I7"/>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2F908-8FB3-4664-8B28-A856C22A6944}">
  <sheetPr codeName="Sheet8"/>
  <dimension ref="A1:H1001"/>
  <sheetViews>
    <sheetView workbookViewId="0">
      <selection activeCell="L1" sqref="L1"/>
    </sheetView>
  </sheetViews>
  <sheetFormatPr defaultRowHeight="14.5"/>
  <cols>
    <col min="1" max="1" width="14.453125" customWidth="1"/>
    <col min="2" max="2" width="8.81640625" customWidth="1"/>
    <col min="3" max="3" width="15" customWidth="1"/>
    <col min="4" max="4" width="14.08984375" customWidth="1"/>
    <col min="5" max="5" width="12.36328125" customWidth="1"/>
    <col min="6" max="6" width="11" customWidth="1"/>
    <col min="7" max="7" width="16.26953125" customWidth="1"/>
    <col min="8" max="8" width="15.6328125" customWidth="1"/>
  </cols>
  <sheetData>
    <row r="1" spans="1:8" ht="15" thickBot="1">
      <c r="A1" s="65" t="s">
        <v>2425</v>
      </c>
      <c r="B1" s="65" t="s">
        <v>2426</v>
      </c>
      <c r="C1" s="65" t="s">
        <v>2427</v>
      </c>
      <c r="D1" s="65" t="s">
        <v>2428</v>
      </c>
      <c r="E1" s="65" t="s">
        <v>2429</v>
      </c>
      <c r="F1" s="65" t="s">
        <v>2430</v>
      </c>
      <c r="G1" s="65" t="s">
        <v>2431</v>
      </c>
      <c r="H1" s="65" t="s">
        <v>2432</v>
      </c>
    </row>
    <row r="2" spans="1:8" ht="15" thickBot="1">
      <c r="A2" s="64">
        <v>44936</v>
      </c>
      <c r="B2" s="18" t="s">
        <v>2641</v>
      </c>
      <c r="C2" s="30" t="s">
        <v>2648</v>
      </c>
      <c r="D2" s="30" t="s">
        <v>2396</v>
      </c>
      <c r="E2" s="18" t="s">
        <v>2372</v>
      </c>
      <c r="F2" s="16">
        <v>20</v>
      </c>
      <c r="G2" s="16">
        <v>4712.75</v>
      </c>
      <c r="H2" s="16">
        <v>94255</v>
      </c>
    </row>
    <row r="3" spans="1:8" ht="15" thickBot="1">
      <c r="A3" s="64">
        <v>45022</v>
      </c>
      <c r="B3" s="18" t="s">
        <v>2642</v>
      </c>
      <c r="C3" s="30" t="s">
        <v>2646</v>
      </c>
      <c r="D3" s="30" t="s">
        <v>2650</v>
      </c>
      <c r="E3" s="18" t="s">
        <v>2372</v>
      </c>
      <c r="F3" s="16">
        <v>20</v>
      </c>
      <c r="G3" s="16">
        <v>4398.47</v>
      </c>
      <c r="H3" s="16">
        <v>87969.4</v>
      </c>
    </row>
    <row r="4" spans="1:8" ht="15" thickBot="1">
      <c r="A4" s="31" t="s">
        <v>2451</v>
      </c>
      <c r="B4" s="18" t="s">
        <v>2642</v>
      </c>
      <c r="C4" s="30" t="s">
        <v>2646</v>
      </c>
      <c r="D4" s="30" t="s">
        <v>2654</v>
      </c>
      <c r="E4" s="18" t="s">
        <v>2372</v>
      </c>
      <c r="F4" s="16">
        <v>18</v>
      </c>
      <c r="G4" s="16">
        <v>4422.21</v>
      </c>
      <c r="H4" s="16">
        <v>79599.78</v>
      </c>
    </row>
    <row r="5" spans="1:8" ht="15" thickBot="1">
      <c r="A5" s="64">
        <v>45266</v>
      </c>
      <c r="B5" s="18" t="s">
        <v>2642</v>
      </c>
      <c r="C5" s="30" t="s">
        <v>2646</v>
      </c>
      <c r="D5" s="30" t="s">
        <v>2650</v>
      </c>
      <c r="E5" s="18" t="s">
        <v>2372</v>
      </c>
      <c r="F5" s="16">
        <v>18</v>
      </c>
      <c r="G5" s="16">
        <v>4403.6899999999996</v>
      </c>
      <c r="H5" s="16">
        <v>79266.42</v>
      </c>
    </row>
    <row r="6" spans="1:8" ht="15" thickBot="1">
      <c r="A6" s="31" t="s">
        <v>2580</v>
      </c>
      <c r="B6" s="18" t="s">
        <v>2642</v>
      </c>
      <c r="C6" s="30" t="s">
        <v>2645</v>
      </c>
      <c r="D6" s="30" t="s">
        <v>2649</v>
      </c>
      <c r="E6" s="18" t="s">
        <v>2372</v>
      </c>
      <c r="F6" s="16">
        <v>20</v>
      </c>
      <c r="G6" s="16">
        <v>3937.67</v>
      </c>
      <c r="H6" s="16">
        <v>78753.399999999994</v>
      </c>
    </row>
    <row r="7" spans="1:8" ht="15" thickBot="1">
      <c r="A7" s="64">
        <v>44990</v>
      </c>
      <c r="B7" s="18" t="s">
        <v>2641</v>
      </c>
      <c r="C7" s="30" t="s">
        <v>2644</v>
      </c>
      <c r="D7" s="30" t="s">
        <v>2392</v>
      </c>
      <c r="E7" s="18" t="s">
        <v>2372</v>
      </c>
      <c r="F7" s="16">
        <v>19</v>
      </c>
      <c r="G7" s="16">
        <v>4137.4399999999996</v>
      </c>
      <c r="H7" s="16">
        <v>78611.360000000001</v>
      </c>
    </row>
    <row r="8" spans="1:8" ht="15" thickBot="1">
      <c r="A8" s="31" t="s">
        <v>2477</v>
      </c>
      <c r="B8" s="18" t="s">
        <v>2642</v>
      </c>
      <c r="C8" s="30" t="s">
        <v>2645</v>
      </c>
      <c r="D8" s="30" t="s">
        <v>2655</v>
      </c>
      <c r="E8" s="18" t="s">
        <v>2372</v>
      </c>
      <c r="F8" s="16">
        <v>17</v>
      </c>
      <c r="G8" s="16">
        <v>4517.78</v>
      </c>
      <c r="H8" s="16">
        <v>76802.259999999995</v>
      </c>
    </row>
    <row r="9" spans="1:8" ht="15" thickBot="1">
      <c r="A9" s="31" t="s">
        <v>2561</v>
      </c>
      <c r="B9" s="18" t="s">
        <v>2642</v>
      </c>
      <c r="C9" s="30" t="s">
        <v>2646</v>
      </c>
      <c r="D9" s="30" t="s">
        <v>2650</v>
      </c>
      <c r="E9" s="18" t="s">
        <v>2372</v>
      </c>
      <c r="F9" s="16">
        <v>17</v>
      </c>
      <c r="G9" s="16">
        <v>4515.21</v>
      </c>
      <c r="H9" s="16">
        <v>76758.570000000007</v>
      </c>
    </row>
    <row r="10" spans="1:8" ht="15" thickBot="1">
      <c r="A10" s="31" t="s">
        <v>2532</v>
      </c>
      <c r="B10" s="18" t="s">
        <v>2641</v>
      </c>
      <c r="C10" s="30" t="s">
        <v>2644</v>
      </c>
      <c r="D10" s="30" t="s">
        <v>2653</v>
      </c>
      <c r="E10" s="18" t="s">
        <v>2372</v>
      </c>
      <c r="F10" s="16">
        <v>16</v>
      </c>
      <c r="G10" s="16">
        <v>4780.7700000000004</v>
      </c>
      <c r="H10" s="16">
        <v>76492.320000000007</v>
      </c>
    </row>
    <row r="11" spans="1:8" ht="15" thickBot="1">
      <c r="A11" s="64">
        <v>45170</v>
      </c>
      <c r="B11" s="18" t="s">
        <v>2642</v>
      </c>
      <c r="C11" s="30" t="s">
        <v>2646</v>
      </c>
      <c r="D11" s="30" t="s">
        <v>2651</v>
      </c>
      <c r="E11" s="18" t="s">
        <v>2372</v>
      </c>
      <c r="F11" s="16">
        <v>18</v>
      </c>
      <c r="G11" s="16">
        <v>4168.59</v>
      </c>
      <c r="H11" s="16">
        <v>75034.62</v>
      </c>
    </row>
    <row r="12" spans="1:8" ht="15" thickBot="1">
      <c r="A12" s="31" t="s">
        <v>2515</v>
      </c>
      <c r="B12" s="18" t="s">
        <v>2642</v>
      </c>
      <c r="C12" s="30" t="s">
        <v>2646</v>
      </c>
      <c r="D12" s="30" t="s">
        <v>2654</v>
      </c>
      <c r="E12" s="18" t="s">
        <v>2372</v>
      </c>
      <c r="F12" s="16">
        <v>20</v>
      </c>
      <c r="G12" s="16">
        <v>3751.01</v>
      </c>
      <c r="H12" s="16">
        <v>75020.2</v>
      </c>
    </row>
    <row r="13" spans="1:8" ht="15" thickBot="1">
      <c r="A13" s="31" t="s">
        <v>2549</v>
      </c>
      <c r="B13" s="18" t="s">
        <v>2641</v>
      </c>
      <c r="C13" s="30" t="s">
        <v>2644</v>
      </c>
      <c r="D13" s="30" t="s">
        <v>2392</v>
      </c>
      <c r="E13" s="18" t="s">
        <v>2372</v>
      </c>
      <c r="F13" s="16">
        <v>15</v>
      </c>
      <c r="G13" s="16">
        <v>4822.26</v>
      </c>
      <c r="H13" s="16">
        <v>72333.899999999994</v>
      </c>
    </row>
    <row r="14" spans="1:8" ht="15" thickBot="1">
      <c r="A14" s="31" t="s">
        <v>2470</v>
      </c>
      <c r="B14" s="18" t="s">
        <v>2642</v>
      </c>
      <c r="C14" s="30" t="s">
        <v>2645</v>
      </c>
      <c r="D14" s="30" t="s">
        <v>2658</v>
      </c>
      <c r="E14" s="18" t="s">
        <v>2372</v>
      </c>
      <c r="F14" s="16">
        <v>18</v>
      </c>
      <c r="G14" s="16">
        <v>3913.42</v>
      </c>
      <c r="H14" s="16">
        <v>70441.56</v>
      </c>
    </row>
    <row r="15" spans="1:8" ht="15" thickBot="1">
      <c r="A15" s="31" t="s">
        <v>2449</v>
      </c>
      <c r="B15" s="18" t="s">
        <v>2641</v>
      </c>
      <c r="C15" s="30" t="s">
        <v>2644</v>
      </c>
      <c r="D15" s="30" t="s">
        <v>2393</v>
      </c>
      <c r="E15" s="18" t="s">
        <v>2372</v>
      </c>
      <c r="F15" s="16">
        <v>19</v>
      </c>
      <c r="G15" s="16">
        <v>3683.04</v>
      </c>
      <c r="H15" s="16">
        <v>69977.759999999995</v>
      </c>
    </row>
    <row r="16" spans="1:8" ht="15" thickBot="1">
      <c r="A16" s="64">
        <v>45239</v>
      </c>
      <c r="B16" s="18" t="s">
        <v>2642</v>
      </c>
      <c r="C16" s="30" t="s">
        <v>2645</v>
      </c>
      <c r="D16" s="30" t="s">
        <v>2658</v>
      </c>
      <c r="E16" s="18" t="s">
        <v>2372</v>
      </c>
      <c r="F16" s="16">
        <v>17</v>
      </c>
      <c r="G16" s="16">
        <v>4088.77</v>
      </c>
      <c r="H16" s="16">
        <v>69509.09</v>
      </c>
    </row>
    <row r="17" spans="1:8" ht="15" thickBot="1">
      <c r="A17" s="64">
        <v>45057</v>
      </c>
      <c r="B17" s="18" t="s">
        <v>2641</v>
      </c>
      <c r="C17" s="30" t="s">
        <v>2644</v>
      </c>
      <c r="D17" s="30" t="s">
        <v>2653</v>
      </c>
      <c r="E17" s="18" t="s">
        <v>2372</v>
      </c>
      <c r="F17" s="16">
        <v>17</v>
      </c>
      <c r="G17" s="16">
        <v>4082.38</v>
      </c>
      <c r="H17" s="16">
        <v>69400.460000000006</v>
      </c>
    </row>
    <row r="18" spans="1:8" ht="15" thickBot="1">
      <c r="A18" s="31" t="s">
        <v>2526</v>
      </c>
      <c r="B18" s="18" t="s">
        <v>2641</v>
      </c>
      <c r="C18" s="30" t="s">
        <v>2648</v>
      </c>
      <c r="D18" s="30" t="s">
        <v>2396</v>
      </c>
      <c r="E18" s="18" t="s">
        <v>2372</v>
      </c>
      <c r="F18" s="16">
        <v>19</v>
      </c>
      <c r="G18" s="16">
        <v>3649.75</v>
      </c>
      <c r="H18" s="16">
        <v>69345.25</v>
      </c>
    </row>
    <row r="19" spans="1:8" ht="15" thickBot="1">
      <c r="A19" s="31" t="s">
        <v>2532</v>
      </c>
      <c r="B19" s="18" t="s">
        <v>2642</v>
      </c>
      <c r="C19" s="30" t="s">
        <v>2646</v>
      </c>
      <c r="D19" s="30" t="s">
        <v>2654</v>
      </c>
      <c r="E19" s="18" t="s">
        <v>2372</v>
      </c>
      <c r="F19" s="16">
        <v>15</v>
      </c>
      <c r="G19" s="16">
        <v>4579.29</v>
      </c>
      <c r="H19" s="16">
        <v>68689.350000000006</v>
      </c>
    </row>
    <row r="20" spans="1:8" ht="15" thickBot="1">
      <c r="A20" s="31" t="s">
        <v>2463</v>
      </c>
      <c r="B20" s="18" t="s">
        <v>2642</v>
      </c>
      <c r="C20" s="30" t="s">
        <v>2646</v>
      </c>
      <c r="D20" s="30" t="s">
        <v>2654</v>
      </c>
      <c r="E20" s="18" t="s">
        <v>2372</v>
      </c>
      <c r="F20" s="16">
        <v>20</v>
      </c>
      <c r="G20" s="16">
        <v>3331.04</v>
      </c>
      <c r="H20" s="16">
        <v>66620.800000000003</v>
      </c>
    </row>
    <row r="21" spans="1:8" ht="15" thickBot="1">
      <c r="A21" s="64">
        <v>45236</v>
      </c>
      <c r="B21" s="18" t="s">
        <v>2643</v>
      </c>
      <c r="C21" s="30" t="s">
        <v>2647</v>
      </c>
      <c r="D21" s="30" t="s">
        <v>2660</v>
      </c>
      <c r="E21" s="18" t="s">
        <v>2372</v>
      </c>
      <c r="F21" s="16">
        <v>17</v>
      </c>
      <c r="G21" s="16">
        <v>3878.66</v>
      </c>
      <c r="H21" s="16">
        <v>65937.22</v>
      </c>
    </row>
    <row r="22" spans="1:8" ht="15" thickBot="1">
      <c r="A22" s="64">
        <v>45176</v>
      </c>
      <c r="B22" s="18" t="s">
        <v>2643</v>
      </c>
      <c r="C22" s="30" t="s">
        <v>2647</v>
      </c>
      <c r="D22" s="30" t="s">
        <v>2652</v>
      </c>
      <c r="E22" s="18" t="s">
        <v>2372</v>
      </c>
      <c r="F22" s="16">
        <v>17</v>
      </c>
      <c r="G22" s="16">
        <v>3679.89</v>
      </c>
      <c r="H22" s="16">
        <v>62558.13</v>
      </c>
    </row>
    <row r="23" spans="1:8" ht="15" thickBot="1">
      <c r="A23" s="31" t="s">
        <v>2501</v>
      </c>
      <c r="B23" s="18" t="s">
        <v>2642</v>
      </c>
      <c r="C23" s="30" t="s">
        <v>2645</v>
      </c>
      <c r="D23" s="30" t="s">
        <v>2658</v>
      </c>
      <c r="E23" s="18" t="s">
        <v>2372</v>
      </c>
      <c r="F23" s="16">
        <v>14</v>
      </c>
      <c r="G23" s="16">
        <v>4200.9799999999996</v>
      </c>
      <c r="H23" s="16">
        <v>58813.72</v>
      </c>
    </row>
    <row r="24" spans="1:8" ht="15" thickBot="1">
      <c r="A24" s="64">
        <v>44991</v>
      </c>
      <c r="B24" s="18" t="s">
        <v>2641</v>
      </c>
      <c r="C24" s="30" t="s">
        <v>2644</v>
      </c>
      <c r="D24" s="30" t="s">
        <v>2653</v>
      </c>
      <c r="E24" s="18" t="s">
        <v>2372</v>
      </c>
      <c r="F24" s="16">
        <v>16</v>
      </c>
      <c r="G24" s="16">
        <v>3599.32</v>
      </c>
      <c r="H24" s="16">
        <v>57589.120000000003</v>
      </c>
    </row>
    <row r="25" spans="1:8" ht="15" thickBot="1">
      <c r="A25" s="64">
        <v>44962</v>
      </c>
      <c r="B25" s="18" t="s">
        <v>2642</v>
      </c>
      <c r="C25" s="30" t="s">
        <v>2646</v>
      </c>
      <c r="D25" s="30" t="s">
        <v>2654</v>
      </c>
      <c r="E25" s="18" t="s">
        <v>2372</v>
      </c>
      <c r="F25" s="16">
        <v>16</v>
      </c>
      <c r="G25" s="16">
        <v>3586.87</v>
      </c>
      <c r="H25" s="16">
        <v>57389.919999999998</v>
      </c>
    </row>
    <row r="26" spans="1:8" ht="15" thickBot="1">
      <c r="A26" s="31" t="s">
        <v>2441</v>
      </c>
      <c r="B26" s="18" t="s">
        <v>2642</v>
      </c>
      <c r="C26" s="30" t="s">
        <v>2645</v>
      </c>
      <c r="D26" s="30" t="s">
        <v>2649</v>
      </c>
      <c r="E26" s="18" t="s">
        <v>2372</v>
      </c>
      <c r="F26" s="16">
        <v>17</v>
      </c>
      <c r="G26" s="16">
        <v>3342.49</v>
      </c>
      <c r="H26" s="16">
        <v>56822.33</v>
      </c>
    </row>
    <row r="27" spans="1:8" ht="15" thickBot="1">
      <c r="A27" s="31" t="s">
        <v>2485</v>
      </c>
      <c r="B27" s="18" t="s">
        <v>2642</v>
      </c>
      <c r="C27" s="30" t="s">
        <v>2645</v>
      </c>
      <c r="D27" s="30" t="s">
        <v>2649</v>
      </c>
      <c r="E27" s="18" t="s">
        <v>2372</v>
      </c>
      <c r="F27" s="16">
        <v>13</v>
      </c>
      <c r="G27" s="16">
        <v>4337.22</v>
      </c>
      <c r="H27" s="16">
        <v>56383.86</v>
      </c>
    </row>
    <row r="28" spans="1:8" ht="15" thickBot="1">
      <c r="A28" s="31" t="s">
        <v>2450</v>
      </c>
      <c r="B28" s="18" t="s">
        <v>2641</v>
      </c>
      <c r="C28" s="30" t="s">
        <v>2648</v>
      </c>
      <c r="D28" s="30" t="s">
        <v>2657</v>
      </c>
      <c r="E28" s="18" t="s">
        <v>2372</v>
      </c>
      <c r="F28" s="16">
        <v>14</v>
      </c>
      <c r="G28" s="16">
        <v>3931.74</v>
      </c>
      <c r="H28" s="16">
        <v>55044.36</v>
      </c>
    </row>
    <row r="29" spans="1:8" ht="15" thickBot="1">
      <c r="A29" s="31" t="s">
        <v>2510</v>
      </c>
      <c r="B29" s="18" t="s">
        <v>2642</v>
      </c>
      <c r="C29" s="30" t="s">
        <v>2645</v>
      </c>
      <c r="D29" s="30" t="s">
        <v>2649</v>
      </c>
      <c r="E29" s="18" t="s">
        <v>2372</v>
      </c>
      <c r="F29" s="16">
        <v>20</v>
      </c>
      <c r="G29" s="16">
        <v>2750.28</v>
      </c>
      <c r="H29" s="16">
        <v>55005.599999999999</v>
      </c>
    </row>
    <row r="30" spans="1:8" ht="15" thickBot="1">
      <c r="A30" s="31" t="s">
        <v>2433</v>
      </c>
      <c r="B30" s="18" t="s">
        <v>2642</v>
      </c>
      <c r="C30" s="30" t="s">
        <v>2645</v>
      </c>
      <c r="D30" s="30" t="s">
        <v>2649</v>
      </c>
      <c r="E30" s="18" t="s">
        <v>2372</v>
      </c>
      <c r="F30" s="16">
        <v>19</v>
      </c>
      <c r="G30" s="16">
        <v>2873.83</v>
      </c>
      <c r="H30" s="16">
        <v>54602.77</v>
      </c>
    </row>
    <row r="31" spans="1:8" ht="15" thickBot="1">
      <c r="A31" s="64">
        <v>45204</v>
      </c>
      <c r="B31" s="18" t="s">
        <v>2642</v>
      </c>
      <c r="C31" s="30" t="s">
        <v>2645</v>
      </c>
      <c r="D31" s="30" t="s">
        <v>2658</v>
      </c>
      <c r="E31" s="18" t="s">
        <v>2372</v>
      </c>
      <c r="F31" s="16">
        <v>15</v>
      </c>
      <c r="G31" s="16">
        <v>3611.2</v>
      </c>
      <c r="H31" s="16">
        <v>54168</v>
      </c>
    </row>
    <row r="32" spans="1:8" ht="15" thickBot="1">
      <c r="A32" s="64">
        <v>45233</v>
      </c>
      <c r="B32" s="18" t="s">
        <v>2642</v>
      </c>
      <c r="C32" s="30" t="s">
        <v>2646</v>
      </c>
      <c r="D32" s="30" t="s">
        <v>2651</v>
      </c>
      <c r="E32" s="18" t="s">
        <v>2372</v>
      </c>
      <c r="F32" s="16">
        <v>19</v>
      </c>
      <c r="G32" s="16">
        <v>2814.94</v>
      </c>
      <c r="H32" s="16">
        <v>53483.86</v>
      </c>
    </row>
    <row r="33" spans="1:8" ht="15" thickBot="1">
      <c r="A33" s="31" t="s">
        <v>2598</v>
      </c>
      <c r="B33" s="18" t="s">
        <v>2641</v>
      </c>
      <c r="C33" s="30" t="s">
        <v>2644</v>
      </c>
      <c r="D33" s="30" t="s">
        <v>2392</v>
      </c>
      <c r="E33" s="18" t="s">
        <v>2372</v>
      </c>
      <c r="F33" s="16">
        <v>20</v>
      </c>
      <c r="G33" s="16">
        <v>2631.58</v>
      </c>
      <c r="H33" s="16">
        <v>52631.6</v>
      </c>
    </row>
    <row r="34" spans="1:8" ht="15" thickBot="1">
      <c r="A34" s="64">
        <v>44966</v>
      </c>
      <c r="B34" s="18" t="s">
        <v>2642</v>
      </c>
      <c r="C34" s="30" t="s">
        <v>2645</v>
      </c>
      <c r="D34" s="30" t="s">
        <v>2658</v>
      </c>
      <c r="E34" s="18" t="s">
        <v>2372</v>
      </c>
      <c r="F34" s="16">
        <v>11</v>
      </c>
      <c r="G34" s="16">
        <v>4758.46</v>
      </c>
      <c r="H34" s="16">
        <v>52343.06</v>
      </c>
    </row>
    <row r="35" spans="1:8" ht="15" thickBot="1">
      <c r="A35" s="64">
        <v>45237</v>
      </c>
      <c r="B35" s="18" t="s">
        <v>2642</v>
      </c>
      <c r="C35" s="30" t="s">
        <v>2646</v>
      </c>
      <c r="D35" s="30" t="s">
        <v>2650</v>
      </c>
      <c r="E35" s="18" t="s">
        <v>2372</v>
      </c>
      <c r="F35" s="16">
        <v>13</v>
      </c>
      <c r="G35" s="16">
        <v>4021.84</v>
      </c>
      <c r="H35" s="16">
        <v>52283.92</v>
      </c>
    </row>
    <row r="36" spans="1:8" ht="15" thickBot="1">
      <c r="A36" s="31" t="s">
        <v>2516</v>
      </c>
      <c r="B36" s="18" t="s">
        <v>2643</v>
      </c>
      <c r="C36" s="30" t="s">
        <v>2647</v>
      </c>
      <c r="D36" s="30" t="s">
        <v>2659</v>
      </c>
      <c r="E36" s="18" t="s">
        <v>2372</v>
      </c>
      <c r="F36" s="16">
        <v>20</v>
      </c>
      <c r="G36" s="16">
        <v>2580.02</v>
      </c>
      <c r="H36" s="16">
        <v>51600.4</v>
      </c>
    </row>
    <row r="37" spans="1:8" ht="15" thickBot="1">
      <c r="A37" s="31" t="s">
        <v>2484</v>
      </c>
      <c r="B37" s="18" t="s">
        <v>2641</v>
      </c>
      <c r="C37" s="30" t="s">
        <v>2644</v>
      </c>
      <c r="D37" s="30" t="s">
        <v>2393</v>
      </c>
      <c r="E37" s="18" t="s">
        <v>2372</v>
      </c>
      <c r="F37" s="16">
        <v>18</v>
      </c>
      <c r="G37" s="16">
        <v>2777.65</v>
      </c>
      <c r="H37" s="16">
        <v>49997.7</v>
      </c>
    </row>
    <row r="38" spans="1:8" ht="15" thickBot="1">
      <c r="A38" s="64">
        <v>44960</v>
      </c>
      <c r="B38" s="18" t="s">
        <v>2642</v>
      </c>
      <c r="C38" s="30" t="s">
        <v>2645</v>
      </c>
      <c r="D38" s="30" t="s">
        <v>2658</v>
      </c>
      <c r="E38" s="18" t="s">
        <v>2372</v>
      </c>
      <c r="F38" s="16">
        <v>17</v>
      </c>
      <c r="G38" s="16">
        <v>2924.72</v>
      </c>
      <c r="H38" s="16">
        <v>49720.24</v>
      </c>
    </row>
    <row r="39" spans="1:8" ht="15" thickBot="1">
      <c r="A39" s="64">
        <v>45055</v>
      </c>
      <c r="B39" s="18" t="s">
        <v>2643</v>
      </c>
      <c r="C39" s="30" t="s">
        <v>2647</v>
      </c>
      <c r="D39" s="30" t="s">
        <v>2659</v>
      </c>
      <c r="E39" s="18" t="s">
        <v>2372</v>
      </c>
      <c r="F39" s="16">
        <v>13</v>
      </c>
      <c r="G39" s="16">
        <v>3724.27</v>
      </c>
      <c r="H39" s="16">
        <v>48415.51</v>
      </c>
    </row>
    <row r="40" spans="1:8" ht="15" thickBot="1">
      <c r="A40" s="31" t="s">
        <v>2527</v>
      </c>
      <c r="B40" s="18" t="s">
        <v>2641</v>
      </c>
      <c r="C40" s="30" t="s">
        <v>2648</v>
      </c>
      <c r="D40" s="30" t="s">
        <v>2657</v>
      </c>
      <c r="E40" s="18" t="s">
        <v>2372</v>
      </c>
      <c r="F40" s="16">
        <v>10</v>
      </c>
      <c r="G40" s="16">
        <v>4718.03</v>
      </c>
      <c r="H40" s="16">
        <v>47180.3</v>
      </c>
    </row>
    <row r="41" spans="1:8" ht="15" thickBot="1">
      <c r="A41" s="31" t="s">
        <v>2516</v>
      </c>
      <c r="B41" s="18" t="s">
        <v>2642</v>
      </c>
      <c r="C41" s="30" t="s">
        <v>2646</v>
      </c>
      <c r="D41" s="30" t="s">
        <v>2651</v>
      </c>
      <c r="E41" s="18" t="s">
        <v>2372</v>
      </c>
      <c r="F41" s="16">
        <v>13</v>
      </c>
      <c r="G41" s="16">
        <v>3568.86</v>
      </c>
      <c r="H41" s="16">
        <v>46395.18</v>
      </c>
    </row>
    <row r="42" spans="1:8" ht="15" thickBot="1">
      <c r="A42" s="31" t="s">
        <v>2594</v>
      </c>
      <c r="B42" s="18" t="s">
        <v>2642</v>
      </c>
      <c r="C42" s="30" t="s">
        <v>2646</v>
      </c>
      <c r="D42" s="30" t="s">
        <v>2651</v>
      </c>
      <c r="E42" s="18" t="s">
        <v>2372</v>
      </c>
      <c r="F42" s="16">
        <v>15</v>
      </c>
      <c r="G42" s="16">
        <v>3048.36</v>
      </c>
      <c r="H42" s="16">
        <v>45725.4</v>
      </c>
    </row>
    <row r="43" spans="1:8" ht="15" thickBot="1">
      <c r="A43" s="64">
        <v>44932</v>
      </c>
      <c r="B43" s="18" t="s">
        <v>2642</v>
      </c>
      <c r="C43" s="30" t="s">
        <v>2646</v>
      </c>
      <c r="D43" s="30" t="s">
        <v>2650</v>
      </c>
      <c r="E43" s="18" t="s">
        <v>2372</v>
      </c>
      <c r="F43" s="16">
        <v>12</v>
      </c>
      <c r="G43" s="16">
        <v>3785.29</v>
      </c>
      <c r="H43" s="16">
        <v>45423.48</v>
      </c>
    </row>
    <row r="44" spans="1:8" ht="15" thickBot="1">
      <c r="A44" s="31" t="s">
        <v>2565</v>
      </c>
      <c r="B44" s="18" t="s">
        <v>2642</v>
      </c>
      <c r="C44" s="30" t="s">
        <v>2646</v>
      </c>
      <c r="D44" s="30" t="s">
        <v>2654</v>
      </c>
      <c r="E44" s="18" t="s">
        <v>2372</v>
      </c>
      <c r="F44" s="16">
        <v>19</v>
      </c>
      <c r="G44" s="16">
        <v>2304.92</v>
      </c>
      <c r="H44" s="16">
        <v>43793.48</v>
      </c>
    </row>
    <row r="45" spans="1:8" ht="15" thickBot="1">
      <c r="A45" s="64">
        <v>44928</v>
      </c>
      <c r="B45" s="18" t="s">
        <v>2643</v>
      </c>
      <c r="C45" s="30" t="s">
        <v>2647</v>
      </c>
      <c r="D45" s="30" t="s">
        <v>2652</v>
      </c>
      <c r="E45" s="18" t="s">
        <v>2372</v>
      </c>
      <c r="F45" s="16">
        <v>10</v>
      </c>
      <c r="G45" s="16">
        <v>4298.32</v>
      </c>
      <c r="H45" s="16">
        <v>42983.199999999997</v>
      </c>
    </row>
    <row r="46" spans="1:8" ht="15" thickBot="1">
      <c r="A46" s="31" t="s">
        <v>2524</v>
      </c>
      <c r="B46" s="18" t="s">
        <v>2641</v>
      </c>
      <c r="C46" s="30" t="s">
        <v>2648</v>
      </c>
      <c r="D46" s="30" t="s">
        <v>2657</v>
      </c>
      <c r="E46" s="18" t="s">
        <v>2372</v>
      </c>
      <c r="F46" s="16">
        <v>16</v>
      </c>
      <c r="G46" s="16">
        <v>2666.78</v>
      </c>
      <c r="H46" s="16">
        <v>42668.480000000003</v>
      </c>
    </row>
    <row r="47" spans="1:8" ht="15" thickBot="1">
      <c r="A47" s="31" t="s">
        <v>2602</v>
      </c>
      <c r="B47" s="18" t="s">
        <v>2642</v>
      </c>
      <c r="C47" s="30" t="s">
        <v>2646</v>
      </c>
      <c r="D47" s="30" t="s">
        <v>2650</v>
      </c>
      <c r="E47" s="18" t="s">
        <v>2372</v>
      </c>
      <c r="F47" s="16">
        <v>20</v>
      </c>
      <c r="G47" s="16">
        <v>2123.15</v>
      </c>
      <c r="H47" s="16">
        <v>42463</v>
      </c>
    </row>
    <row r="48" spans="1:8" ht="15" thickBot="1">
      <c r="A48" s="64">
        <v>44988</v>
      </c>
      <c r="B48" s="18" t="s">
        <v>2642</v>
      </c>
      <c r="C48" s="30" t="s">
        <v>2646</v>
      </c>
      <c r="D48" s="30" t="s">
        <v>2650</v>
      </c>
      <c r="E48" s="18" t="s">
        <v>2372</v>
      </c>
      <c r="F48" s="16">
        <v>16</v>
      </c>
      <c r="G48" s="16">
        <v>2640.08</v>
      </c>
      <c r="H48" s="16">
        <v>42241.279999999999</v>
      </c>
    </row>
    <row r="49" spans="1:8" ht="15" thickBot="1">
      <c r="A49" s="31" t="s">
        <v>2557</v>
      </c>
      <c r="B49" s="18" t="s">
        <v>2642</v>
      </c>
      <c r="C49" s="30" t="s">
        <v>2645</v>
      </c>
      <c r="D49" s="30" t="s">
        <v>2655</v>
      </c>
      <c r="E49" s="18" t="s">
        <v>2372</v>
      </c>
      <c r="F49" s="16">
        <v>16</v>
      </c>
      <c r="G49" s="16">
        <v>2600.48</v>
      </c>
      <c r="H49" s="16">
        <v>41607.68</v>
      </c>
    </row>
    <row r="50" spans="1:8" ht="15" thickBot="1">
      <c r="A50" s="31" t="s">
        <v>2464</v>
      </c>
      <c r="B50" s="18" t="s">
        <v>2641</v>
      </c>
      <c r="C50" s="30" t="s">
        <v>2644</v>
      </c>
      <c r="D50" s="30" t="s">
        <v>2392</v>
      </c>
      <c r="E50" s="18" t="s">
        <v>2372</v>
      </c>
      <c r="F50" s="16">
        <v>12</v>
      </c>
      <c r="G50" s="16">
        <v>3400.71</v>
      </c>
      <c r="H50" s="16">
        <v>40808.519999999997</v>
      </c>
    </row>
    <row r="51" spans="1:8" ht="15" thickBot="1">
      <c r="A51" s="31" t="s">
        <v>2449</v>
      </c>
      <c r="B51" s="18" t="s">
        <v>2641</v>
      </c>
      <c r="C51" s="30" t="s">
        <v>2648</v>
      </c>
      <c r="D51" s="30" t="s">
        <v>2656</v>
      </c>
      <c r="E51" s="18" t="s">
        <v>2372</v>
      </c>
      <c r="F51" s="16">
        <v>19</v>
      </c>
      <c r="G51" s="16">
        <v>2146.17</v>
      </c>
      <c r="H51" s="16">
        <v>40777.230000000003</v>
      </c>
    </row>
    <row r="52" spans="1:8" ht="15" thickBot="1">
      <c r="A52" s="31" t="s">
        <v>2623</v>
      </c>
      <c r="B52" s="18" t="s">
        <v>2641</v>
      </c>
      <c r="C52" s="30" t="s">
        <v>2644</v>
      </c>
      <c r="D52" s="30" t="s">
        <v>2392</v>
      </c>
      <c r="E52" s="18" t="s">
        <v>2372</v>
      </c>
      <c r="F52" s="16">
        <v>20</v>
      </c>
      <c r="G52" s="16">
        <v>1977</v>
      </c>
      <c r="H52" s="16">
        <v>39540</v>
      </c>
    </row>
    <row r="53" spans="1:8" ht="15" thickBot="1">
      <c r="A53" s="64">
        <v>44938</v>
      </c>
      <c r="B53" s="18" t="s">
        <v>2642</v>
      </c>
      <c r="C53" s="30" t="s">
        <v>2645</v>
      </c>
      <c r="D53" s="30" t="s">
        <v>2658</v>
      </c>
      <c r="E53" s="18" t="s">
        <v>2372</v>
      </c>
      <c r="F53" s="16">
        <v>10</v>
      </c>
      <c r="G53" s="16">
        <v>3950.06</v>
      </c>
      <c r="H53" s="16">
        <v>39500.6</v>
      </c>
    </row>
    <row r="54" spans="1:8" ht="15" thickBot="1">
      <c r="A54" s="31" t="s">
        <v>2519</v>
      </c>
      <c r="B54" s="18" t="s">
        <v>2641</v>
      </c>
      <c r="C54" s="30" t="s">
        <v>2644</v>
      </c>
      <c r="D54" s="30" t="s">
        <v>2653</v>
      </c>
      <c r="E54" s="18" t="s">
        <v>2372</v>
      </c>
      <c r="F54" s="16">
        <v>10</v>
      </c>
      <c r="G54" s="16">
        <v>3907.49</v>
      </c>
      <c r="H54" s="16">
        <v>39074.9</v>
      </c>
    </row>
    <row r="55" spans="1:8" ht="15" thickBot="1">
      <c r="A55" s="31" t="s">
        <v>2465</v>
      </c>
      <c r="B55" s="18" t="s">
        <v>2641</v>
      </c>
      <c r="C55" s="30" t="s">
        <v>2644</v>
      </c>
      <c r="D55" s="30" t="s">
        <v>2653</v>
      </c>
      <c r="E55" s="18" t="s">
        <v>2372</v>
      </c>
      <c r="F55" s="16">
        <v>14</v>
      </c>
      <c r="G55" s="16">
        <v>2785.95</v>
      </c>
      <c r="H55" s="16">
        <v>39003.300000000003</v>
      </c>
    </row>
    <row r="56" spans="1:8" ht="15" thickBot="1">
      <c r="A56" s="31" t="s">
        <v>2466</v>
      </c>
      <c r="B56" s="18" t="s">
        <v>2643</v>
      </c>
      <c r="C56" s="30" t="s">
        <v>2647</v>
      </c>
      <c r="D56" s="30" t="s">
        <v>2659</v>
      </c>
      <c r="E56" s="18" t="s">
        <v>2372</v>
      </c>
      <c r="F56" s="16">
        <v>18</v>
      </c>
      <c r="G56" s="16">
        <v>2149.9899999999998</v>
      </c>
      <c r="H56" s="16">
        <v>38699.82</v>
      </c>
    </row>
    <row r="57" spans="1:8" ht="15" thickBot="1">
      <c r="A57" s="64">
        <v>45204</v>
      </c>
      <c r="B57" s="18" t="s">
        <v>2641</v>
      </c>
      <c r="C57" s="30" t="s">
        <v>2644</v>
      </c>
      <c r="D57" s="30" t="s">
        <v>2392</v>
      </c>
      <c r="E57" s="18" t="s">
        <v>2372</v>
      </c>
      <c r="F57" s="16">
        <v>18</v>
      </c>
      <c r="G57" s="16">
        <v>2074.52</v>
      </c>
      <c r="H57" s="16">
        <v>37341.360000000001</v>
      </c>
    </row>
    <row r="58" spans="1:8" ht="15" thickBot="1">
      <c r="A58" s="31" t="s">
        <v>2494</v>
      </c>
      <c r="B58" s="18" t="s">
        <v>2641</v>
      </c>
      <c r="C58" s="30" t="s">
        <v>2644</v>
      </c>
      <c r="D58" s="30" t="s">
        <v>2392</v>
      </c>
      <c r="E58" s="18" t="s">
        <v>2372</v>
      </c>
      <c r="F58" s="16">
        <v>19</v>
      </c>
      <c r="G58" s="16">
        <v>1965.12</v>
      </c>
      <c r="H58" s="16">
        <v>37337.279999999999</v>
      </c>
    </row>
    <row r="59" spans="1:8" ht="15" thickBot="1">
      <c r="A59" s="31" t="s">
        <v>2476</v>
      </c>
      <c r="B59" s="18" t="s">
        <v>2641</v>
      </c>
      <c r="C59" s="30" t="s">
        <v>2644</v>
      </c>
      <c r="D59" s="30" t="s">
        <v>2393</v>
      </c>
      <c r="E59" s="18" t="s">
        <v>2372</v>
      </c>
      <c r="F59" s="16">
        <v>12</v>
      </c>
      <c r="G59" s="16">
        <v>3076.03</v>
      </c>
      <c r="H59" s="16">
        <v>36912.36</v>
      </c>
    </row>
    <row r="60" spans="1:8" ht="15" thickBot="1">
      <c r="A60" s="31" t="s">
        <v>2475</v>
      </c>
      <c r="B60" s="18" t="s">
        <v>2642</v>
      </c>
      <c r="C60" s="30" t="s">
        <v>2646</v>
      </c>
      <c r="D60" s="30" t="s">
        <v>2651</v>
      </c>
      <c r="E60" s="18" t="s">
        <v>2372</v>
      </c>
      <c r="F60" s="16">
        <v>13</v>
      </c>
      <c r="G60" s="16">
        <v>2829.47</v>
      </c>
      <c r="H60" s="16">
        <v>36783.11</v>
      </c>
    </row>
    <row r="61" spans="1:8" ht="15" thickBot="1">
      <c r="A61" s="64">
        <v>45116</v>
      </c>
      <c r="B61" s="18" t="s">
        <v>2641</v>
      </c>
      <c r="C61" s="30" t="s">
        <v>2644</v>
      </c>
      <c r="D61" s="30" t="s">
        <v>2392</v>
      </c>
      <c r="E61" s="18" t="s">
        <v>2372</v>
      </c>
      <c r="F61" s="16">
        <v>13</v>
      </c>
      <c r="G61" s="16">
        <v>2809.29</v>
      </c>
      <c r="H61" s="16">
        <v>36520.769999999997</v>
      </c>
    </row>
    <row r="62" spans="1:8" ht="15" thickBot="1">
      <c r="A62" s="31" t="s">
        <v>2513</v>
      </c>
      <c r="B62" s="18" t="s">
        <v>2643</v>
      </c>
      <c r="C62" s="30" t="s">
        <v>2647</v>
      </c>
      <c r="D62" s="30" t="s">
        <v>2660</v>
      </c>
      <c r="E62" s="18" t="s">
        <v>2372</v>
      </c>
      <c r="F62" s="16">
        <v>18</v>
      </c>
      <c r="G62" s="16">
        <v>1986.52</v>
      </c>
      <c r="H62" s="16">
        <v>35757.360000000001</v>
      </c>
    </row>
    <row r="63" spans="1:8" ht="15" thickBot="1">
      <c r="A63" s="64">
        <v>45232</v>
      </c>
      <c r="B63" s="18" t="s">
        <v>2641</v>
      </c>
      <c r="C63" s="30" t="s">
        <v>2644</v>
      </c>
      <c r="D63" s="30" t="s">
        <v>2393</v>
      </c>
      <c r="E63" s="18" t="s">
        <v>2372</v>
      </c>
      <c r="F63" s="16">
        <v>13</v>
      </c>
      <c r="G63" s="16">
        <v>2745.75</v>
      </c>
      <c r="H63" s="16">
        <v>35694.75</v>
      </c>
    </row>
    <row r="64" spans="1:8" ht="15" thickBot="1">
      <c r="A64" s="64">
        <v>44992</v>
      </c>
      <c r="B64" s="18" t="s">
        <v>2643</v>
      </c>
      <c r="C64" s="30" t="s">
        <v>2647</v>
      </c>
      <c r="D64" s="30" t="s">
        <v>2652</v>
      </c>
      <c r="E64" s="18" t="s">
        <v>2372</v>
      </c>
      <c r="F64" s="16">
        <v>17</v>
      </c>
      <c r="G64" s="16">
        <v>2045.39</v>
      </c>
      <c r="H64" s="16">
        <v>34771.629999999997</v>
      </c>
    </row>
    <row r="65" spans="1:8" ht="15" thickBot="1">
      <c r="A65" s="31" t="s">
        <v>2509</v>
      </c>
      <c r="B65" s="18" t="s">
        <v>2642</v>
      </c>
      <c r="C65" s="30" t="s">
        <v>2646</v>
      </c>
      <c r="D65" s="30" t="s">
        <v>2651</v>
      </c>
      <c r="E65" s="18" t="s">
        <v>2372</v>
      </c>
      <c r="F65" s="16">
        <v>12</v>
      </c>
      <c r="G65" s="16">
        <v>2882.46</v>
      </c>
      <c r="H65" s="16">
        <v>34589.519999999997</v>
      </c>
    </row>
    <row r="66" spans="1:8" ht="15" thickBot="1">
      <c r="A66" s="31" t="s">
        <v>2635</v>
      </c>
      <c r="B66" s="18" t="s">
        <v>2642</v>
      </c>
      <c r="C66" s="30" t="s">
        <v>2645</v>
      </c>
      <c r="D66" s="30" t="s">
        <v>2649</v>
      </c>
      <c r="E66" s="18" t="s">
        <v>2372</v>
      </c>
      <c r="F66" s="16">
        <v>10</v>
      </c>
      <c r="G66" s="16">
        <v>3439.35</v>
      </c>
      <c r="H66" s="16">
        <v>34393.5</v>
      </c>
    </row>
    <row r="67" spans="1:8" ht="15" thickBot="1">
      <c r="A67" s="64">
        <v>44987</v>
      </c>
      <c r="B67" s="18" t="s">
        <v>2643</v>
      </c>
      <c r="C67" s="30" t="s">
        <v>2647</v>
      </c>
      <c r="D67" s="30" t="s">
        <v>2660</v>
      </c>
      <c r="E67" s="18" t="s">
        <v>2372</v>
      </c>
      <c r="F67" s="16">
        <v>14</v>
      </c>
      <c r="G67" s="16">
        <v>2371.85</v>
      </c>
      <c r="H67" s="16">
        <v>33205.9</v>
      </c>
    </row>
    <row r="68" spans="1:8" ht="15" thickBot="1">
      <c r="A68" s="31" t="s">
        <v>2530</v>
      </c>
      <c r="B68" s="18" t="s">
        <v>2642</v>
      </c>
      <c r="C68" s="30" t="s">
        <v>2646</v>
      </c>
      <c r="D68" s="30" t="s">
        <v>2651</v>
      </c>
      <c r="E68" s="18" t="s">
        <v>2372</v>
      </c>
      <c r="F68" s="16">
        <v>15</v>
      </c>
      <c r="G68" s="16">
        <v>2174.4499999999998</v>
      </c>
      <c r="H68" s="16">
        <v>32616.75</v>
      </c>
    </row>
    <row r="69" spans="1:8" ht="15" thickBot="1">
      <c r="A69" s="64">
        <v>45209</v>
      </c>
      <c r="B69" s="18" t="s">
        <v>2641</v>
      </c>
      <c r="C69" s="30" t="s">
        <v>2644</v>
      </c>
      <c r="D69" s="30" t="s">
        <v>2653</v>
      </c>
      <c r="E69" s="18" t="s">
        <v>2372</v>
      </c>
      <c r="F69" s="16">
        <v>15</v>
      </c>
      <c r="G69" s="16">
        <v>2148.0100000000002</v>
      </c>
      <c r="H69" s="16">
        <v>32220.15</v>
      </c>
    </row>
    <row r="70" spans="1:8" ht="15" thickBot="1">
      <c r="A70" s="64">
        <v>45268</v>
      </c>
      <c r="B70" s="18" t="s">
        <v>2641</v>
      </c>
      <c r="C70" s="30" t="s">
        <v>2648</v>
      </c>
      <c r="D70" s="30" t="s">
        <v>2396</v>
      </c>
      <c r="E70" s="18" t="s">
        <v>2372</v>
      </c>
      <c r="F70" s="16">
        <v>13</v>
      </c>
      <c r="G70" s="16">
        <v>2475.98</v>
      </c>
      <c r="H70" s="16">
        <v>32187.74</v>
      </c>
    </row>
    <row r="71" spans="1:8" ht="15" thickBot="1">
      <c r="A71" s="64">
        <v>45086</v>
      </c>
      <c r="B71" s="18" t="s">
        <v>2641</v>
      </c>
      <c r="C71" s="30" t="s">
        <v>2648</v>
      </c>
      <c r="D71" s="30" t="s">
        <v>2657</v>
      </c>
      <c r="E71" s="18" t="s">
        <v>2372</v>
      </c>
      <c r="F71" s="16">
        <v>10</v>
      </c>
      <c r="G71" s="16">
        <v>3205.57</v>
      </c>
      <c r="H71" s="16">
        <v>32055.7</v>
      </c>
    </row>
    <row r="72" spans="1:8" ht="15" thickBot="1">
      <c r="A72" s="31" t="s">
        <v>2515</v>
      </c>
      <c r="B72" s="18" t="s">
        <v>2641</v>
      </c>
      <c r="C72" s="30" t="s">
        <v>2648</v>
      </c>
      <c r="D72" s="30" t="s">
        <v>2657</v>
      </c>
      <c r="E72" s="18" t="s">
        <v>2372</v>
      </c>
      <c r="F72" s="16">
        <v>14</v>
      </c>
      <c r="G72" s="16">
        <v>2260.17</v>
      </c>
      <c r="H72" s="16">
        <v>31642.38</v>
      </c>
    </row>
    <row r="73" spans="1:8" ht="15" thickBot="1">
      <c r="A73" s="31" t="s">
        <v>2518</v>
      </c>
      <c r="B73" s="18" t="s">
        <v>2641</v>
      </c>
      <c r="C73" s="30" t="s">
        <v>2648</v>
      </c>
      <c r="D73" s="30" t="s">
        <v>2657</v>
      </c>
      <c r="E73" s="18" t="s">
        <v>2372</v>
      </c>
      <c r="F73" s="16">
        <v>19</v>
      </c>
      <c r="G73" s="16">
        <v>1641.98</v>
      </c>
      <c r="H73" s="16">
        <v>31197.62</v>
      </c>
    </row>
    <row r="74" spans="1:8" ht="15" thickBot="1">
      <c r="A74" s="31" t="s">
        <v>2495</v>
      </c>
      <c r="B74" s="18" t="s">
        <v>2642</v>
      </c>
      <c r="C74" s="30" t="s">
        <v>2646</v>
      </c>
      <c r="D74" s="30" t="s">
        <v>2650</v>
      </c>
      <c r="E74" s="18" t="s">
        <v>2372</v>
      </c>
      <c r="F74" s="16">
        <v>12</v>
      </c>
      <c r="G74" s="16">
        <v>2557.5700000000002</v>
      </c>
      <c r="H74" s="16">
        <v>30690.84</v>
      </c>
    </row>
    <row r="75" spans="1:8" ht="15" thickBot="1">
      <c r="A75" s="31" t="s">
        <v>2533</v>
      </c>
      <c r="B75" s="18" t="s">
        <v>2641</v>
      </c>
      <c r="C75" s="30" t="s">
        <v>2644</v>
      </c>
      <c r="D75" s="30" t="s">
        <v>2392</v>
      </c>
      <c r="E75" s="18" t="s">
        <v>2372</v>
      </c>
      <c r="F75" s="16">
        <v>20</v>
      </c>
      <c r="G75" s="16">
        <v>1507.52</v>
      </c>
      <c r="H75" s="16">
        <v>30150.400000000001</v>
      </c>
    </row>
    <row r="76" spans="1:8" ht="15" thickBot="1">
      <c r="A76" s="64">
        <v>45110</v>
      </c>
      <c r="B76" s="18" t="s">
        <v>2641</v>
      </c>
      <c r="C76" s="30" t="s">
        <v>2644</v>
      </c>
      <c r="D76" s="30" t="s">
        <v>2393</v>
      </c>
      <c r="E76" s="18" t="s">
        <v>2372</v>
      </c>
      <c r="F76" s="16">
        <v>17</v>
      </c>
      <c r="G76" s="16">
        <v>1759.91</v>
      </c>
      <c r="H76" s="16">
        <v>29918.47</v>
      </c>
    </row>
    <row r="77" spans="1:8" ht="15" thickBot="1">
      <c r="A77" s="31" t="s">
        <v>2568</v>
      </c>
      <c r="B77" s="18" t="s">
        <v>2643</v>
      </c>
      <c r="C77" s="30" t="s">
        <v>2647</v>
      </c>
      <c r="D77" s="30" t="s">
        <v>2652</v>
      </c>
      <c r="E77" s="18" t="s">
        <v>2372</v>
      </c>
      <c r="F77" s="16">
        <v>6</v>
      </c>
      <c r="G77" s="16">
        <v>4984.92</v>
      </c>
      <c r="H77" s="16">
        <v>29909.52</v>
      </c>
    </row>
    <row r="78" spans="1:8" ht="15" thickBot="1">
      <c r="A78" s="31" t="s">
        <v>2557</v>
      </c>
      <c r="B78" s="18" t="s">
        <v>2641</v>
      </c>
      <c r="C78" s="30" t="s">
        <v>2644</v>
      </c>
      <c r="D78" s="30" t="s">
        <v>2653</v>
      </c>
      <c r="E78" s="18" t="s">
        <v>2372</v>
      </c>
      <c r="F78" s="16">
        <v>6</v>
      </c>
      <c r="G78" s="16">
        <v>4908.9799999999996</v>
      </c>
      <c r="H78" s="16">
        <v>29453.88</v>
      </c>
    </row>
    <row r="79" spans="1:8" ht="15" thickBot="1">
      <c r="A79" s="31" t="s">
        <v>2521</v>
      </c>
      <c r="B79" s="18" t="s">
        <v>2642</v>
      </c>
      <c r="C79" s="30" t="s">
        <v>2645</v>
      </c>
      <c r="D79" s="30" t="s">
        <v>2658</v>
      </c>
      <c r="E79" s="18" t="s">
        <v>2372</v>
      </c>
      <c r="F79" s="16">
        <v>6</v>
      </c>
      <c r="G79" s="16">
        <v>4894.41</v>
      </c>
      <c r="H79" s="16">
        <v>29366.46</v>
      </c>
    </row>
    <row r="80" spans="1:8" ht="15" thickBot="1">
      <c r="A80" s="64">
        <v>45239</v>
      </c>
      <c r="B80" s="18" t="s">
        <v>2641</v>
      </c>
      <c r="C80" s="30" t="s">
        <v>2644</v>
      </c>
      <c r="D80" s="30" t="s">
        <v>2653</v>
      </c>
      <c r="E80" s="18" t="s">
        <v>2372</v>
      </c>
      <c r="F80" s="16">
        <v>10</v>
      </c>
      <c r="G80" s="16">
        <v>2853.88</v>
      </c>
      <c r="H80" s="16">
        <v>28538.799999999999</v>
      </c>
    </row>
    <row r="81" spans="1:8" ht="15" thickBot="1">
      <c r="A81" s="31" t="s">
        <v>2478</v>
      </c>
      <c r="B81" s="18" t="s">
        <v>2642</v>
      </c>
      <c r="C81" s="30" t="s">
        <v>2645</v>
      </c>
      <c r="D81" s="30" t="s">
        <v>2655</v>
      </c>
      <c r="E81" s="18" t="s">
        <v>2372</v>
      </c>
      <c r="F81" s="16">
        <v>18</v>
      </c>
      <c r="G81" s="16">
        <v>1576.88</v>
      </c>
      <c r="H81" s="16">
        <v>28383.84</v>
      </c>
    </row>
    <row r="82" spans="1:8" ht="15" thickBot="1">
      <c r="A82" s="31" t="s">
        <v>2449</v>
      </c>
      <c r="B82" s="18" t="s">
        <v>2641</v>
      </c>
      <c r="C82" s="30" t="s">
        <v>2644</v>
      </c>
      <c r="D82" s="30" t="s">
        <v>2653</v>
      </c>
      <c r="E82" s="18" t="s">
        <v>2372</v>
      </c>
      <c r="F82" s="16">
        <v>7</v>
      </c>
      <c r="G82" s="16">
        <v>4046.34</v>
      </c>
      <c r="H82" s="16">
        <v>28324.38</v>
      </c>
    </row>
    <row r="83" spans="1:8" ht="15" thickBot="1">
      <c r="A83" s="64">
        <v>45207</v>
      </c>
      <c r="B83" s="18" t="s">
        <v>2643</v>
      </c>
      <c r="C83" s="30" t="s">
        <v>2647</v>
      </c>
      <c r="D83" s="30" t="s">
        <v>2660</v>
      </c>
      <c r="E83" s="18" t="s">
        <v>2372</v>
      </c>
      <c r="F83" s="16">
        <v>17</v>
      </c>
      <c r="G83" s="16">
        <v>1645.97</v>
      </c>
      <c r="H83" s="16">
        <v>27981.49</v>
      </c>
    </row>
    <row r="84" spans="1:8" ht="15" thickBot="1">
      <c r="A84" s="31" t="s">
        <v>2448</v>
      </c>
      <c r="B84" s="18" t="s">
        <v>2641</v>
      </c>
      <c r="C84" s="30" t="s">
        <v>2644</v>
      </c>
      <c r="D84" s="30" t="s">
        <v>2392</v>
      </c>
      <c r="E84" s="18" t="s">
        <v>2372</v>
      </c>
      <c r="F84" s="16">
        <v>18</v>
      </c>
      <c r="G84" s="16">
        <v>1533.77</v>
      </c>
      <c r="H84" s="16">
        <v>27607.86</v>
      </c>
    </row>
    <row r="85" spans="1:8" ht="15" thickBot="1">
      <c r="A85" s="64">
        <v>44931</v>
      </c>
      <c r="B85" s="18" t="s">
        <v>2641</v>
      </c>
      <c r="C85" s="30" t="s">
        <v>2644</v>
      </c>
      <c r="D85" s="30" t="s">
        <v>2393</v>
      </c>
      <c r="E85" s="18" t="s">
        <v>2372</v>
      </c>
      <c r="F85" s="16">
        <v>7</v>
      </c>
      <c r="G85" s="16">
        <v>3931.73</v>
      </c>
      <c r="H85" s="16">
        <v>27522.11</v>
      </c>
    </row>
    <row r="86" spans="1:8" ht="15" thickBot="1">
      <c r="A86" s="64">
        <v>44986</v>
      </c>
      <c r="B86" s="18" t="s">
        <v>2641</v>
      </c>
      <c r="C86" s="30" t="s">
        <v>2648</v>
      </c>
      <c r="D86" s="30" t="s">
        <v>2657</v>
      </c>
      <c r="E86" s="18" t="s">
        <v>2372</v>
      </c>
      <c r="F86" s="16">
        <v>12</v>
      </c>
      <c r="G86" s="16">
        <v>2232.4899999999998</v>
      </c>
      <c r="H86" s="16">
        <v>26789.88</v>
      </c>
    </row>
    <row r="87" spans="1:8" ht="15" thickBot="1">
      <c r="A87" s="64">
        <v>44931</v>
      </c>
      <c r="B87" s="18" t="s">
        <v>2642</v>
      </c>
      <c r="C87" s="30" t="s">
        <v>2645</v>
      </c>
      <c r="D87" s="30" t="s">
        <v>2655</v>
      </c>
      <c r="E87" s="18" t="s">
        <v>2372</v>
      </c>
      <c r="F87" s="16">
        <v>15</v>
      </c>
      <c r="G87" s="16">
        <v>1712.05</v>
      </c>
      <c r="H87" s="16">
        <v>25680.75</v>
      </c>
    </row>
    <row r="88" spans="1:8" ht="15" thickBot="1">
      <c r="A88" s="31" t="s">
        <v>2436</v>
      </c>
      <c r="B88" s="18" t="s">
        <v>2642</v>
      </c>
      <c r="C88" s="30" t="s">
        <v>2645</v>
      </c>
      <c r="D88" s="30" t="s">
        <v>2655</v>
      </c>
      <c r="E88" s="18" t="s">
        <v>2372</v>
      </c>
      <c r="F88" s="16">
        <v>13</v>
      </c>
      <c r="G88" s="16">
        <v>1929.55</v>
      </c>
      <c r="H88" s="16">
        <v>25084.15</v>
      </c>
    </row>
    <row r="89" spans="1:8" ht="15" thickBot="1">
      <c r="A89" s="31" t="s">
        <v>2443</v>
      </c>
      <c r="B89" s="18" t="s">
        <v>2643</v>
      </c>
      <c r="C89" s="30" t="s">
        <v>2647</v>
      </c>
      <c r="D89" s="30" t="s">
        <v>2652</v>
      </c>
      <c r="E89" s="18" t="s">
        <v>2372</v>
      </c>
      <c r="F89" s="16">
        <v>5</v>
      </c>
      <c r="G89" s="16">
        <v>4993.87</v>
      </c>
      <c r="H89" s="16">
        <v>24969.35</v>
      </c>
    </row>
    <row r="90" spans="1:8" ht="15" thickBot="1">
      <c r="A90" s="31" t="s">
        <v>2455</v>
      </c>
      <c r="B90" s="18" t="s">
        <v>2642</v>
      </c>
      <c r="C90" s="30" t="s">
        <v>2645</v>
      </c>
      <c r="D90" s="30" t="s">
        <v>2649</v>
      </c>
      <c r="E90" s="18" t="s">
        <v>2372</v>
      </c>
      <c r="F90" s="16">
        <v>8</v>
      </c>
      <c r="G90" s="16">
        <v>3120.6</v>
      </c>
      <c r="H90" s="16">
        <v>24964.799999999999</v>
      </c>
    </row>
    <row r="91" spans="1:8" ht="15" thickBot="1">
      <c r="A91" s="64">
        <v>45179</v>
      </c>
      <c r="B91" s="18" t="s">
        <v>2642</v>
      </c>
      <c r="C91" s="30" t="s">
        <v>2645</v>
      </c>
      <c r="D91" s="30" t="s">
        <v>2655</v>
      </c>
      <c r="E91" s="18" t="s">
        <v>2372</v>
      </c>
      <c r="F91" s="16">
        <v>9</v>
      </c>
      <c r="G91" s="16">
        <v>2770.27</v>
      </c>
      <c r="H91" s="16">
        <v>24932.43</v>
      </c>
    </row>
    <row r="92" spans="1:8" ht="15" thickBot="1">
      <c r="A92" s="64">
        <v>45238</v>
      </c>
      <c r="B92" s="18" t="s">
        <v>2642</v>
      </c>
      <c r="C92" s="30" t="s">
        <v>2646</v>
      </c>
      <c r="D92" s="30" t="s">
        <v>2651</v>
      </c>
      <c r="E92" s="18" t="s">
        <v>2372</v>
      </c>
      <c r="F92" s="16">
        <v>19</v>
      </c>
      <c r="G92" s="16">
        <v>1309.6500000000001</v>
      </c>
      <c r="H92" s="16">
        <v>24883.35</v>
      </c>
    </row>
    <row r="93" spans="1:8" ht="15" thickBot="1">
      <c r="A93" s="64">
        <v>45053</v>
      </c>
      <c r="B93" s="18" t="s">
        <v>2642</v>
      </c>
      <c r="C93" s="30" t="s">
        <v>2646</v>
      </c>
      <c r="D93" s="30" t="s">
        <v>2654</v>
      </c>
      <c r="E93" s="18" t="s">
        <v>2372</v>
      </c>
      <c r="F93" s="16">
        <v>14</v>
      </c>
      <c r="G93" s="16">
        <v>1770.36</v>
      </c>
      <c r="H93" s="16">
        <v>24785.040000000001</v>
      </c>
    </row>
    <row r="94" spans="1:8" ht="15" thickBot="1">
      <c r="A94" s="31" t="s">
        <v>2460</v>
      </c>
      <c r="B94" s="18" t="s">
        <v>2643</v>
      </c>
      <c r="C94" s="30" t="s">
        <v>2647</v>
      </c>
      <c r="D94" s="30" t="s">
        <v>2652</v>
      </c>
      <c r="E94" s="18" t="s">
        <v>2372</v>
      </c>
      <c r="F94" s="16">
        <v>6</v>
      </c>
      <c r="G94" s="16">
        <v>4100.9799999999996</v>
      </c>
      <c r="H94" s="16">
        <v>24605.88</v>
      </c>
    </row>
    <row r="95" spans="1:8" ht="15" thickBot="1">
      <c r="A95" s="64">
        <v>45233</v>
      </c>
      <c r="B95" s="18" t="s">
        <v>2641</v>
      </c>
      <c r="C95" s="30" t="s">
        <v>2644</v>
      </c>
      <c r="D95" s="30" t="s">
        <v>2392</v>
      </c>
      <c r="E95" s="18" t="s">
        <v>2372</v>
      </c>
      <c r="F95" s="16">
        <v>20</v>
      </c>
      <c r="G95" s="16">
        <v>1222.92</v>
      </c>
      <c r="H95" s="16">
        <v>24458.400000000001</v>
      </c>
    </row>
    <row r="96" spans="1:8" ht="15" thickBot="1">
      <c r="A96" s="31" t="s">
        <v>2550</v>
      </c>
      <c r="B96" s="18" t="s">
        <v>2643</v>
      </c>
      <c r="C96" s="30" t="s">
        <v>2647</v>
      </c>
      <c r="D96" s="30" t="s">
        <v>2659</v>
      </c>
      <c r="E96" s="18" t="s">
        <v>2372</v>
      </c>
      <c r="F96" s="16">
        <v>7</v>
      </c>
      <c r="G96" s="16">
        <v>3415.15</v>
      </c>
      <c r="H96" s="16">
        <v>23906.05</v>
      </c>
    </row>
    <row r="97" spans="1:8" ht="15" thickBot="1">
      <c r="A97" s="31" t="s">
        <v>2551</v>
      </c>
      <c r="B97" s="18" t="s">
        <v>2641</v>
      </c>
      <c r="C97" s="30" t="s">
        <v>2644</v>
      </c>
      <c r="D97" s="30" t="s">
        <v>2392</v>
      </c>
      <c r="E97" s="18" t="s">
        <v>2372</v>
      </c>
      <c r="F97" s="16">
        <v>11</v>
      </c>
      <c r="G97" s="16">
        <v>2097.48</v>
      </c>
      <c r="H97" s="16">
        <v>23072.28</v>
      </c>
    </row>
    <row r="98" spans="1:8" ht="15" thickBot="1">
      <c r="A98" s="31" t="s">
        <v>2499</v>
      </c>
      <c r="B98" s="18" t="s">
        <v>2641</v>
      </c>
      <c r="C98" s="30" t="s">
        <v>2644</v>
      </c>
      <c r="D98" s="30" t="s">
        <v>2393</v>
      </c>
      <c r="E98" s="18" t="s">
        <v>2372</v>
      </c>
      <c r="F98" s="16">
        <v>17</v>
      </c>
      <c r="G98" s="16">
        <v>1307.24</v>
      </c>
      <c r="H98" s="16">
        <v>22223.08</v>
      </c>
    </row>
    <row r="99" spans="1:8" ht="15" thickBot="1">
      <c r="A99" s="64">
        <v>45083</v>
      </c>
      <c r="B99" s="18" t="s">
        <v>2642</v>
      </c>
      <c r="C99" s="30" t="s">
        <v>2645</v>
      </c>
      <c r="D99" s="30" t="s">
        <v>2649</v>
      </c>
      <c r="E99" s="18" t="s">
        <v>2372</v>
      </c>
      <c r="F99" s="16">
        <v>9</v>
      </c>
      <c r="G99" s="16">
        <v>2438.9899999999998</v>
      </c>
      <c r="H99" s="16">
        <v>21950.91</v>
      </c>
    </row>
    <row r="100" spans="1:8" ht="15" thickBot="1">
      <c r="A100" s="31" t="s">
        <v>2457</v>
      </c>
      <c r="B100" s="18" t="s">
        <v>2642</v>
      </c>
      <c r="C100" s="30" t="s">
        <v>2645</v>
      </c>
      <c r="D100" s="30" t="s">
        <v>2655</v>
      </c>
      <c r="E100" s="18" t="s">
        <v>2372</v>
      </c>
      <c r="F100" s="16">
        <v>7</v>
      </c>
      <c r="G100" s="16">
        <v>3070.09</v>
      </c>
      <c r="H100" s="16">
        <v>21490.63</v>
      </c>
    </row>
    <row r="101" spans="1:8" ht="15" thickBot="1">
      <c r="A101" s="31" t="s">
        <v>2513</v>
      </c>
      <c r="B101" s="18" t="s">
        <v>2643</v>
      </c>
      <c r="C101" s="30" t="s">
        <v>2647</v>
      </c>
      <c r="D101" s="30" t="s">
        <v>2652</v>
      </c>
      <c r="E101" s="18" t="s">
        <v>2372</v>
      </c>
      <c r="F101" s="16">
        <v>7</v>
      </c>
      <c r="G101" s="16">
        <v>3063.53</v>
      </c>
      <c r="H101" s="16">
        <v>21444.71</v>
      </c>
    </row>
    <row r="102" spans="1:8" ht="15" thickBot="1">
      <c r="A102" s="31" t="s">
        <v>2572</v>
      </c>
      <c r="B102" s="18" t="s">
        <v>2642</v>
      </c>
      <c r="C102" s="30" t="s">
        <v>2646</v>
      </c>
      <c r="D102" s="30" t="s">
        <v>2654</v>
      </c>
      <c r="E102" s="18" t="s">
        <v>2372</v>
      </c>
      <c r="F102" s="16">
        <v>5</v>
      </c>
      <c r="G102" s="16">
        <v>4281.1499999999996</v>
      </c>
      <c r="H102" s="16">
        <v>21405.75</v>
      </c>
    </row>
    <row r="103" spans="1:8" ht="15" thickBot="1">
      <c r="A103" s="31" t="s">
        <v>2544</v>
      </c>
      <c r="B103" s="18" t="s">
        <v>2643</v>
      </c>
      <c r="C103" s="30" t="s">
        <v>2647</v>
      </c>
      <c r="D103" s="30" t="s">
        <v>2660</v>
      </c>
      <c r="E103" s="18" t="s">
        <v>2372</v>
      </c>
      <c r="F103" s="16">
        <v>8</v>
      </c>
      <c r="G103" s="16">
        <v>2628.31</v>
      </c>
      <c r="H103" s="16">
        <v>21026.48</v>
      </c>
    </row>
    <row r="104" spans="1:8" ht="15" thickBot="1">
      <c r="A104" s="64">
        <v>44960</v>
      </c>
      <c r="B104" s="18" t="s">
        <v>2641</v>
      </c>
      <c r="C104" s="30" t="s">
        <v>2648</v>
      </c>
      <c r="D104" s="30" t="s">
        <v>2656</v>
      </c>
      <c r="E104" s="18" t="s">
        <v>2372</v>
      </c>
      <c r="F104" s="16">
        <v>18</v>
      </c>
      <c r="G104" s="16">
        <v>1164.29</v>
      </c>
      <c r="H104" s="16">
        <v>20957.22</v>
      </c>
    </row>
    <row r="105" spans="1:8" ht="15" thickBot="1">
      <c r="A105" s="64">
        <v>45173</v>
      </c>
      <c r="B105" s="18" t="s">
        <v>2641</v>
      </c>
      <c r="C105" s="30" t="s">
        <v>2648</v>
      </c>
      <c r="D105" s="30" t="s">
        <v>2657</v>
      </c>
      <c r="E105" s="18" t="s">
        <v>2372</v>
      </c>
      <c r="F105" s="16">
        <v>5</v>
      </c>
      <c r="G105" s="16">
        <v>4182.07</v>
      </c>
      <c r="H105" s="16">
        <v>20910.349999999999</v>
      </c>
    </row>
    <row r="106" spans="1:8" ht="15" thickBot="1">
      <c r="A106" s="31" t="s">
        <v>2556</v>
      </c>
      <c r="B106" s="18" t="s">
        <v>2642</v>
      </c>
      <c r="C106" s="30" t="s">
        <v>2646</v>
      </c>
      <c r="D106" s="30" t="s">
        <v>2654</v>
      </c>
      <c r="E106" s="18" t="s">
        <v>2372</v>
      </c>
      <c r="F106" s="16">
        <v>4</v>
      </c>
      <c r="G106" s="16">
        <v>4961.01</v>
      </c>
      <c r="H106" s="16">
        <v>19844.04</v>
      </c>
    </row>
    <row r="107" spans="1:8" ht="15" thickBot="1">
      <c r="A107" s="31" t="s">
        <v>2613</v>
      </c>
      <c r="B107" s="18" t="s">
        <v>2641</v>
      </c>
      <c r="C107" s="30" t="s">
        <v>2644</v>
      </c>
      <c r="D107" s="30" t="s">
        <v>2653</v>
      </c>
      <c r="E107" s="18" t="s">
        <v>2372</v>
      </c>
      <c r="F107" s="16">
        <v>6</v>
      </c>
      <c r="G107" s="16">
        <v>3279.45</v>
      </c>
      <c r="H107" s="16">
        <v>19676.7</v>
      </c>
    </row>
    <row r="108" spans="1:8" ht="15" thickBot="1">
      <c r="A108" s="31" t="s">
        <v>2559</v>
      </c>
      <c r="B108" s="18" t="s">
        <v>2641</v>
      </c>
      <c r="C108" s="30" t="s">
        <v>2644</v>
      </c>
      <c r="D108" s="30" t="s">
        <v>2392</v>
      </c>
      <c r="E108" s="18" t="s">
        <v>2372</v>
      </c>
      <c r="F108" s="16">
        <v>5</v>
      </c>
      <c r="G108" s="16">
        <v>3926.26</v>
      </c>
      <c r="H108" s="16">
        <v>19631.3</v>
      </c>
    </row>
    <row r="109" spans="1:8" ht="15" thickBot="1">
      <c r="A109" s="31" t="s">
        <v>2446</v>
      </c>
      <c r="B109" s="18" t="s">
        <v>2641</v>
      </c>
      <c r="C109" s="30" t="s">
        <v>2648</v>
      </c>
      <c r="D109" s="30" t="s">
        <v>2657</v>
      </c>
      <c r="E109" s="18" t="s">
        <v>2372</v>
      </c>
      <c r="F109" s="16">
        <v>5</v>
      </c>
      <c r="G109" s="16">
        <v>3860.73</v>
      </c>
      <c r="H109" s="16">
        <v>19303.650000000001</v>
      </c>
    </row>
    <row r="110" spans="1:8" ht="15" thickBot="1">
      <c r="A110" s="31" t="s">
        <v>2525</v>
      </c>
      <c r="B110" s="18" t="s">
        <v>2643</v>
      </c>
      <c r="C110" s="30" t="s">
        <v>2647</v>
      </c>
      <c r="D110" s="30" t="s">
        <v>2659</v>
      </c>
      <c r="E110" s="18" t="s">
        <v>2372</v>
      </c>
      <c r="F110" s="16">
        <v>6</v>
      </c>
      <c r="G110" s="16">
        <v>3175.44</v>
      </c>
      <c r="H110" s="16">
        <v>19052.64</v>
      </c>
    </row>
    <row r="111" spans="1:8" ht="15" thickBot="1">
      <c r="A111" s="64">
        <v>45203</v>
      </c>
      <c r="B111" s="18" t="s">
        <v>2642</v>
      </c>
      <c r="C111" s="30" t="s">
        <v>2646</v>
      </c>
      <c r="D111" s="30" t="s">
        <v>2654</v>
      </c>
      <c r="E111" s="18" t="s">
        <v>2372</v>
      </c>
      <c r="F111" s="16">
        <v>5</v>
      </c>
      <c r="G111" s="16">
        <v>3786.28</v>
      </c>
      <c r="H111" s="16">
        <v>18931.400000000001</v>
      </c>
    </row>
    <row r="112" spans="1:8" ht="15" thickBot="1">
      <c r="A112" s="31" t="s">
        <v>2486</v>
      </c>
      <c r="B112" s="18" t="s">
        <v>2641</v>
      </c>
      <c r="C112" s="30" t="s">
        <v>2648</v>
      </c>
      <c r="D112" s="30" t="s">
        <v>2657</v>
      </c>
      <c r="E112" s="18" t="s">
        <v>2372</v>
      </c>
      <c r="F112" s="16">
        <v>4</v>
      </c>
      <c r="G112" s="16">
        <v>4697.07</v>
      </c>
      <c r="H112" s="16">
        <v>18788.28</v>
      </c>
    </row>
    <row r="113" spans="1:8" ht="15" thickBot="1">
      <c r="A113" s="31" t="s">
        <v>2500</v>
      </c>
      <c r="B113" s="18" t="s">
        <v>2643</v>
      </c>
      <c r="C113" s="30" t="s">
        <v>2647</v>
      </c>
      <c r="D113" s="30" t="s">
        <v>2660</v>
      </c>
      <c r="E113" s="18" t="s">
        <v>2372</v>
      </c>
      <c r="F113" s="16">
        <v>6</v>
      </c>
      <c r="G113" s="16">
        <v>3125.31</v>
      </c>
      <c r="H113" s="16">
        <v>18751.86</v>
      </c>
    </row>
    <row r="114" spans="1:8" ht="15" thickBot="1">
      <c r="A114" s="64">
        <v>45022</v>
      </c>
      <c r="B114" s="18" t="s">
        <v>2642</v>
      </c>
      <c r="C114" s="30" t="s">
        <v>2646</v>
      </c>
      <c r="D114" s="30" t="s">
        <v>2651</v>
      </c>
      <c r="E114" s="18" t="s">
        <v>2372</v>
      </c>
      <c r="F114" s="16">
        <v>11</v>
      </c>
      <c r="G114" s="16">
        <v>1703.12</v>
      </c>
      <c r="H114" s="16">
        <v>18734.32</v>
      </c>
    </row>
    <row r="115" spans="1:8" ht="15" thickBot="1">
      <c r="A115" s="64">
        <v>45233</v>
      </c>
      <c r="B115" s="18" t="s">
        <v>2641</v>
      </c>
      <c r="C115" s="30" t="s">
        <v>2644</v>
      </c>
      <c r="D115" s="30" t="s">
        <v>2653</v>
      </c>
      <c r="E115" s="18" t="s">
        <v>2372</v>
      </c>
      <c r="F115" s="16">
        <v>5</v>
      </c>
      <c r="G115" s="16">
        <v>3732.82</v>
      </c>
      <c r="H115" s="16">
        <v>18664.099999999999</v>
      </c>
    </row>
    <row r="116" spans="1:8" ht="15" thickBot="1">
      <c r="A116" s="64">
        <v>45208</v>
      </c>
      <c r="B116" s="18" t="s">
        <v>2641</v>
      </c>
      <c r="C116" s="30" t="s">
        <v>2644</v>
      </c>
      <c r="D116" s="30" t="s">
        <v>2653</v>
      </c>
      <c r="E116" s="18" t="s">
        <v>2372</v>
      </c>
      <c r="F116" s="16">
        <v>7</v>
      </c>
      <c r="G116" s="16">
        <v>2384.5100000000002</v>
      </c>
      <c r="H116" s="16">
        <v>16691.57</v>
      </c>
    </row>
    <row r="117" spans="1:8" ht="15" thickBot="1">
      <c r="A117" s="64">
        <v>45079</v>
      </c>
      <c r="B117" s="18" t="s">
        <v>2643</v>
      </c>
      <c r="C117" s="30" t="s">
        <v>2647</v>
      </c>
      <c r="D117" s="30" t="s">
        <v>2659</v>
      </c>
      <c r="E117" s="18" t="s">
        <v>2372</v>
      </c>
      <c r="F117" s="16">
        <v>6</v>
      </c>
      <c r="G117" s="16">
        <v>2772.51</v>
      </c>
      <c r="H117" s="16">
        <v>16635.060000000001</v>
      </c>
    </row>
    <row r="118" spans="1:8" ht="15" thickBot="1">
      <c r="A118" s="31" t="s">
        <v>2461</v>
      </c>
      <c r="B118" s="18" t="s">
        <v>2641</v>
      </c>
      <c r="C118" s="30" t="s">
        <v>2644</v>
      </c>
      <c r="D118" s="30" t="s">
        <v>2392</v>
      </c>
      <c r="E118" s="18" t="s">
        <v>2372</v>
      </c>
      <c r="F118" s="16">
        <v>5</v>
      </c>
      <c r="G118" s="16">
        <v>3288.58</v>
      </c>
      <c r="H118" s="16">
        <v>16442.900000000001</v>
      </c>
    </row>
    <row r="119" spans="1:8" ht="15" thickBot="1">
      <c r="A119" s="31" t="s">
        <v>2624</v>
      </c>
      <c r="B119" s="18" t="s">
        <v>2642</v>
      </c>
      <c r="C119" s="30" t="s">
        <v>2646</v>
      </c>
      <c r="D119" s="30" t="s">
        <v>2651</v>
      </c>
      <c r="E119" s="18" t="s">
        <v>2372</v>
      </c>
      <c r="F119" s="16">
        <v>18</v>
      </c>
      <c r="G119" s="16">
        <v>913.13</v>
      </c>
      <c r="H119" s="16">
        <v>16436.34</v>
      </c>
    </row>
    <row r="120" spans="1:8" ht="15" thickBot="1">
      <c r="A120" s="64">
        <v>45110</v>
      </c>
      <c r="B120" s="18" t="s">
        <v>2641</v>
      </c>
      <c r="C120" s="30" t="s">
        <v>2648</v>
      </c>
      <c r="D120" s="30" t="s">
        <v>2657</v>
      </c>
      <c r="E120" s="18" t="s">
        <v>2372</v>
      </c>
      <c r="F120" s="16">
        <v>16</v>
      </c>
      <c r="G120" s="16">
        <v>1025.8</v>
      </c>
      <c r="H120" s="16">
        <v>16412.8</v>
      </c>
    </row>
    <row r="121" spans="1:8" ht="15" thickBot="1">
      <c r="A121" s="64">
        <v>45058</v>
      </c>
      <c r="B121" s="18" t="s">
        <v>2641</v>
      </c>
      <c r="C121" s="30" t="s">
        <v>2644</v>
      </c>
      <c r="D121" s="30" t="s">
        <v>2653</v>
      </c>
      <c r="E121" s="18" t="s">
        <v>2372</v>
      </c>
      <c r="F121" s="16">
        <v>4</v>
      </c>
      <c r="G121" s="16">
        <v>4020.65</v>
      </c>
      <c r="H121" s="16">
        <v>16082.6</v>
      </c>
    </row>
    <row r="122" spans="1:8" ht="15" thickBot="1">
      <c r="A122" s="31" t="s">
        <v>2537</v>
      </c>
      <c r="B122" s="18" t="s">
        <v>2643</v>
      </c>
      <c r="C122" s="30" t="s">
        <v>2647</v>
      </c>
      <c r="D122" s="30" t="s">
        <v>2660</v>
      </c>
      <c r="E122" s="18" t="s">
        <v>2372</v>
      </c>
      <c r="F122" s="16">
        <v>5</v>
      </c>
      <c r="G122" s="16">
        <v>3181.48</v>
      </c>
      <c r="H122" s="16">
        <v>15907.4</v>
      </c>
    </row>
    <row r="123" spans="1:8" ht="15" thickBot="1">
      <c r="A123" s="31" t="s">
        <v>2532</v>
      </c>
      <c r="B123" s="18" t="s">
        <v>2641</v>
      </c>
      <c r="C123" s="30" t="s">
        <v>2644</v>
      </c>
      <c r="D123" s="30" t="s">
        <v>2392</v>
      </c>
      <c r="E123" s="18" t="s">
        <v>2372</v>
      </c>
      <c r="F123" s="16">
        <v>5</v>
      </c>
      <c r="G123" s="16">
        <v>3156.9</v>
      </c>
      <c r="H123" s="16">
        <v>15784.5</v>
      </c>
    </row>
    <row r="124" spans="1:8" ht="15" thickBot="1">
      <c r="A124" s="64">
        <v>45020</v>
      </c>
      <c r="B124" s="18" t="s">
        <v>2643</v>
      </c>
      <c r="C124" s="30" t="s">
        <v>2647</v>
      </c>
      <c r="D124" s="30" t="s">
        <v>2652</v>
      </c>
      <c r="E124" s="18" t="s">
        <v>2372</v>
      </c>
      <c r="F124" s="16">
        <v>14</v>
      </c>
      <c r="G124" s="16">
        <v>1116.79</v>
      </c>
      <c r="H124" s="16">
        <v>15635.06</v>
      </c>
    </row>
    <row r="125" spans="1:8" ht="15" thickBot="1">
      <c r="A125" s="31" t="s">
        <v>2504</v>
      </c>
      <c r="B125" s="18" t="s">
        <v>2641</v>
      </c>
      <c r="C125" s="30" t="s">
        <v>2644</v>
      </c>
      <c r="D125" s="30" t="s">
        <v>2653</v>
      </c>
      <c r="E125" s="18" t="s">
        <v>2372</v>
      </c>
      <c r="F125" s="16">
        <v>13</v>
      </c>
      <c r="G125" s="16">
        <v>1198.5</v>
      </c>
      <c r="H125" s="16">
        <v>15580.5</v>
      </c>
    </row>
    <row r="126" spans="1:8" ht="15" thickBot="1">
      <c r="A126" s="64">
        <v>44992</v>
      </c>
      <c r="B126" s="18" t="s">
        <v>2642</v>
      </c>
      <c r="C126" s="30" t="s">
        <v>2646</v>
      </c>
      <c r="D126" s="30" t="s">
        <v>2651</v>
      </c>
      <c r="E126" s="18" t="s">
        <v>2372</v>
      </c>
      <c r="F126" s="16">
        <v>3</v>
      </c>
      <c r="G126" s="16">
        <v>4999.6899999999996</v>
      </c>
      <c r="H126" s="16">
        <v>14999.07</v>
      </c>
    </row>
    <row r="127" spans="1:8" ht="15" thickBot="1">
      <c r="A127" s="64">
        <v>45048</v>
      </c>
      <c r="B127" s="18" t="s">
        <v>2642</v>
      </c>
      <c r="C127" s="30" t="s">
        <v>2646</v>
      </c>
      <c r="D127" s="30" t="s">
        <v>2654</v>
      </c>
      <c r="E127" s="18" t="s">
        <v>2372</v>
      </c>
      <c r="F127" s="16">
        <v>6</v>
      </c>
      <c r="G127" s="16">
        <v>2463.6799999999998</v>
      </c>
      <c r="H127" s="16">
        <v>14782.08</v>
      </c>
    </row>
    <row r="128" spans="1:8" ht="15" thickBot="1">
      <c r="A128" s="31" t="s">
        <v>2491</v>
      </c>
      <c r="B128" s="18" t="s">
        <v>2642</v>
      </c>
      <c r="C128" s="30" t="s">
        <v>2645</v>
      </c>
      <c r="D128" s="30" t="s">
        <v>2655</v>
      </c>
      <c r="E128" s="18" t="s">
        <v>2372</v>
      </c>
      <c r="F128" s="16">
        <v>8</v>
      </c>
      <c r="G128" s="16">
        <v>1794.45</v>
      </c>
      <c r="H128" s="16">
        <v>14355.6</v>
      </c>
    </row>
    <row r="129" spans="1:8" ht="15" thickBot="1">
      <c r="A129" s="31" t="s">
        <v>2561</v>
      </c>
      <c r="B129" s="18" t="s">
        <v>2643</v>
      </c>
      <c r="C129" s="30" t="s">
        <v>2647</v>
      </c>
      <c r="D129" s="30" t="s">
        <v>2652</v>
      </c>
      <c r="E129" s="18" t="s">
        <v>2372</v>
      </c>
      <c r="F129" s="16">
        <v>5</v>
      </c>
      <c r="G129" s="16">
        <v>2846.34</v>
      </c>
      <c r="H129" s="16">
        <v>14231.7</v>
      </c>
    </row>
    <row r="130" spans="1:8" ht="15" thickBot="1">
      <c r="A130" s="64">
        <v>44986</v>
      </c>
      <c r="B130" s="18" t="s">
        <v>2641</v>
      </c>
      <c r="C130" s="30" t="s">
        <v>2648</v>
      </c>
      <c r="D130" s="30" t="s">
        <v>2396</v>
      </c>
      <c r="E130" s="18" t="s">
        <v>2372</v>
      </c>
      <c r="F130" s="16">
        <v>12</v>
      </c>
      <c r="G130" s="16">
        <v>1169.8399999999999</v>
      </c>
      <c r="H130" s="16">
        <v>14038.08</v>
      </c>
    </row>
    <row r="131" spans="1:8" ht="15" thickBot="1">
      <c r="A131" s="31" t="s">
        <v>2584</v>
      </c>
      <c r="B131" s="18" t="s">
        <v>2641</v>
      </c>
      <c r="C131" s="30" t="s">
        <v>2648</v>
      </c>
      <c r="D131" s="30" t="s">
        <v>2396</v>
      </c>
      <c r="E131" s="18" t="s">
        <v>2372</v>
      </c>
      <c r="F131" s="16">
        <v>3</v>
      </c>
      <c r="G131" s="16">
        <v>4678.38</v>
      </c>
      <c r="H131" s="16">
        <v>14035.14</v>
      </c>
    </row>
    <row r="132" spans="1:8" ht="15" thickBot="1">
      <c r="A132" s="31" t="s">
        <v>2568</v>
      </c>
      <c r="B132" s="18" t="s">
        <v>2642</v>
      </c>
      <c r="C132" s="30" t="s">
        <v>2646</v>
      </c>
      <c r="D132" s="30" t="s">
        <v>2651</v>
      </c>
      <c r="E132" s="18" t="s">
        <v>2372</v>
      </c>
      <c r="F132" s="16">
        <v>16</v>
      </c>
      <c r="G132" s="16">
        <v>874.99</v>
      </c>
      <c r="H132" s="16">
        <v>13999.84</v>
      </c>
    </row>
    <row r="133" spans="1:8" ht="15" thickBot="1">
      <c r="A133" s="31" t="s">
        <v>2568</v>
      </c>
      <c r="B133" s="18" t="s">
        <v>2643</v>
      </c>
      <c r="C133" s="30" t="s">
        <v>2647</v>
      </c>
      <c r="D133" s="30" t="s">
        <v>2660</v>
      </c>
      <c r="E133" s="18" t="s">
        <v>2372</v>
      </c>
      <c r="F133" s="16">
        <v>5</v>
      </c>
      <c r="G133" s="16">
        <v>2681.34</v>
      </c>
      <c r="H133" s="16">
        <v>13406.7</v>
      </c>
    </row>
    <row r="134" spans="1:8" ht="15" thickBot="1">
      <c r="A134" s="31" t="s">
        <v>2534</v>
      </c>
      <c r="B134" s="18" t="s">
        <v>2642</v>
      </c>
      <c r="C134" s="30" t="s">
        <v>2646</v>
      </c>
      <c r="D134" s="30" t="s">
        <v>2651</v>
      </c>
      <c r="E134" s="18" t="s">
        <v>2372</v>
      </c>
      <c r="F134" s="16">
        <v>8</v>
      </c>
      <c r="G134" s="16">
        <v>1670.31</v>
      </c>
      <c r="H134" s="16">
        <v>13362.48</v>
      </c>
    </row>
    <row r="135" spans="1:8" ht="15" thickBot="1">
      <c r="A135" s="64">
        <v>45111</v>
      </c>
      <c r="B135" s="18" t="s">
        <v>2642</v>
      </c>
      <c r="C135" s="30" t="s">
        <v>2645</v>
      </c>
      <c r="D135" s="30" t="s">
        <v>2649</v>
      </c>
      <c r="E135" s="18" t="s">
        <v>2372</v>
      </c>
      <c r="F135" s="16">
        <v>7</v>
      </c>
      <c r="G135" s="16">
        <v>1849.17</v>
      </c>
      <c r="H135" s="16">
        <v>12944.19</v>
      </c>
    </row>
    <row r="136" spans="1:8" ht="15" thickBot="1">
      <c r="A136" s="31" t="s">
        <v>2505</v>
      </c>
      <c r="B136" s="18" t="s">
        <v>2643</v>
      </c>
      <c r="C136" s="30" t="s">
        <v>2647</v>
      </c>
      <c r="D136" s="30" t="s">
        <v>2659</v>
      </c>
      <c r="E136" s="18" t="s">
        <v>2372</v>
      </c>
      <c r="F136" s="16">
        <v>13</v>
      </c>
      <c r="G136" s="16">
        <v>993.43</v>
      </c>
      <c r="H136" s="16">
        <v>12914.59</v>
      </c>
    </row>
    <row r="137" spans="1:8" ht="15" thickBot="1">
      <c r="A137" s="64">
        <v>45211</v>
      </c>
      <c r="B137" s="18" t="s">
        <v>2642</v>
      </c>
      <c r="C137" s="30" t="s">
        <v>2646</v>
      </c>
      <c r="D137" s="30" t="s">
        <v>2651</v>
      </c>
      <c r="E137" s="18" t="s">
        <v>2372</v>
      </c>
      <c r="F137" s="16">
        <v>8</v>
      </c>
      <c r="G137" s="16">
        <v>1595.76</v>
      </c>
      <c r="H137" s="16">
        <v>12766.08</v>
      </c>
    </row>
    <row r="138" spans="1:8" ht="15" thickBot="1">
      <c r="A138" s="31" t="s">
        <v>2587</v>
      </c>
      <c r="B138" s="18" t="s">
        <v>2641</v>
      </c>
      <c r="C138" s="30" t="s">
        <v>2644</v>
      </c>
      <c r="D138" s="30" t="s">
        <v>2653</v>
      </c>
      <c r="E138" s="18" t="s">
        <v>2372</v>
      </c>
      <c r="F138" s="16">
        <v>7</v>
      </c>
      <c r="G138" s="16">
        <v>1801.74</v>
      </c>
      <c r="H138" s="16">
        <v>12612.18</v>
      </c>
    </row>
    <row r="139" spans="1:8" ht="15" thickBot="1">
      <c r="A139" s="31" t="s">
        <v>2611</v>
      </c>
      <c r="B139" s="18" t="s">
        <v>2642</v>
      </c>
      <c r="C139" s="30" t="s">
        <v>2645</v>
      </c>
      <c r="D139" s="30" t="s">
        <v>2658</v>
      </c>
      <c r="E139" s="18" t="s">
        <v>2372</v>
      </c>
      <c r="F139" s="16">
        <v>13</v>
      </c>
      <c r="G139" s="16">
        <v>968.18</v>
      </c>
      <c r="H139" s="16">
        <v>12586.34</v>
      </c>
    </row>
    <row r="140" spans="1:8" ht="15" thickBot="1">
      <c r="A140" s="31" t="s">
        <v>2598</v>
      </c>
      <c r="B140" s="18" t="s">
        <v>2643</v>
      </c>
      <c r="C140" s="30" t="s">
        <v>2647</v>
      </c>
      <c r="D140" s="30" t="s">
        <v>2652</v>
      </c>
      <c r="E140" s="18" t="s">
        <v>2372</v>
      </c>
      <c r="F140" s="16">
        <v>5</v>
      </c>
      <c r="G140" s="16">
        <v>2463.9499999999998</v>
      </c>
      <c r="H140" s="16">
        <v>12319.75</v>
      </c>
    </row>
    <row r="141" spans="1:8" ht="15" thickBot="1">
      <c r="A141" s="31" t="s">
        <v>2541</v>
      </c>
      <c r="B141" s="18" t="s">
        <v>2641</v>
      </c>
      <c r="C141" s="30" t="s">
        <v>2648</v>
      </c>
      <c r="D141" s="30" t="s">
        <v>2657</v>
      </c>
      <c r="E141" s="18" t="s">
        <v>2372</v>
      </c>
      <c r="F141" s="16">
        <v>3</v>
      </c>
      <c r="G141" s="16">
        <v>4059.76</v>
      </c>
      <c r="H141" s="16">
        <v>12179.28</v>
      </c>
    </row>
    <row r="142" spans="1:8" ht="15" thickBot="1">
      <c r="A142" s="64">
        <v>45019</v>
      </c>
      <c r="B142" s="18" t="s">
        <v>2642</v>
      </c>
      <c r="C142" s="30" t="s">
        <v>2645</v>
      </c>
      <c r="D142" s="30" t="s">
        <v>2658</v>
      </c>
      <c r="E142" s="18" t="s">
        <v>2372</v>
      </c>
      <c r="F142" s="16">
        <v>19</v>
      </c>
      <c r="G142" s="16">
        <v>636.20000000000005</v>
      </c>
      <c r="H142" s="16">
        <v>12087.8</v>
      </c>
    </row>
    <row r="143" spans="1:8" ht="15" thickBot="1">
      <c r="A143" s="64">
        <v>44964</v>
      </c>
      <c r="B143" s="18" t="s">
        <v>2643</v>
      </c>
      <c r="C143" s="30" t="s">
        <v>2647</v>
      </c>
      <c r="D143" s="30" t="s">
        <v>2659</v>
      </c>
      <c r="E143" s="18" t="s">
        <v>2372</v>
      </c>
      <c r="F143" s="16">
        <v>4</v>
      </c>
      <c r="G143" s="16">
        <v>2984.27</v>
      </c>
      <c r="H143" s="16">
        <v>11937.08</v>
      </c>
    </row>
    <row r="144" spans="1:8" ht="15" thickBot="1">
      <c r="A144" s="31" t="s">
        <v>2449</v>
      </c>
      <c r="B144" s="18" t="s">
        <v>2642</v>
      </c>
      <c r="C144" s="30" t="s">
        <v>2646</v>
      </c>
      <c r="D144" s="30" t="s">
        <v>2651</v>
      </c>
      <c r="E144" s="18" t="s">
        <v>2372</v>
      </c>
      <c r="F144" s="16">
        <v>8</v>
      </c>
      <c r="G144" s="16">
        <v>1481.04</v>
      </c>
      <c r="H144" s="16">
        <v>11848.32</v>
      </c>
    </row>
    <row r="145" spans="1:8" ht="15" thickBot="1">
      <c r="A145" s="64">
        <v>45146</v>
      </c>
      <c r="B145" s="18" t="s">
        <v>2641</v>
      </c>
      <c r="C145" s="30" t="s">
        <v>2644</v>
      </c>
      <c r="D145" s="30" t="s">
        <v>2393</v>
      </c>
      <c r="E145" s="18" t="s">
        <v>2372</v>
      </c>
      <c r="F145" s="16">
        <v>8</v>
      </c>
      <c r="G145" s="16">
        <v>1461.31</v>
      </c>
      <c r="H145" s="16">
        <v>11690.48</v>
      </c>
    </row>
    <row r="146" spans="1:8" ht="15" thickBot="1">
      <c r="A146" s="31" t="s">
        <v>2536</v>
      </c>
      <c r="B146" s="18" t="s">
        <v>2643</v>
      </c>
      <c r="C146" s="30" t="s">
        <v>2647</v>
      </c>
      <c r="D146" s="30" t="s">
        <v>2652</v>
      </c>
      <c r="E146" s="18" t="s">
        <v>2372</v>
      </c>
      <c r="F146" s="16">
        <v>19</v>
      </c>
      <c r="G146" s="16">
        <v>609.63</v>
      </c>
      <c r="H146" s="16">
        <v>11582.97</v>
      </c>
    </row>
    <row r="147" spans="1:8" ht="15" thickBot="1">
      <c r="A147" s="64">
        <v>45113</v>
      </c>
      <c r="B147" s="18" t="s">
        <v>2642</v>
      </c>
      <c r="C147" s="30" t="s">
        <v>2646</v>
      </c>
      <c r="D147" s="30" t="s">
        <v>2650</v>
      </c>
      <c r="E147" s="18" t="s">
        <v>2372</v>
      </c>
      <c r="F147" s="16">
        <v>13</v>
      </c>
      <c r="G147" s="16">
        <v>857.86</v>
      </c>
      <c r="H147" s="16">
        <v>11152.18</v>
      </c>
    </row>
    <row r="148" spans="1:8" ht="15" thickBot="1">
      <c r="A148" s="31" t="s">
        <v>2573</v>
      </c>
      <c r="B148" s="18" t="s">
        <v>2642</v>
      </c>
      <c r="C148" s="30" t="s">
        <v>2645</v>
      </c>
      <c r="D148" s="30" t="s">
        <v>2649</v>
      </c>
      <c r="E148" s="18" t="s">
        <v>2372</v>
      </c>
      <c r="F148" s="16">
        <v>7</v>
      </c>
      <c r="G148" s="16">
        <v>1590.73</v>
      </c>
      <c r="H148" s="16">
        <v>11135.11</v>
      </c>
    </row>
    <row r="149" spans="1:8" ht="15" thickBot="1">
      <c r="A149" s="31" t="s">
        <v>2615</v>
      </c>
      <c r="B149" s="18" t="s">
        <v>2642</v>
      </c>
      <c r="C149" s="30" t="s">
        <v>2646</v>
      </c>
      <c r="D149" s="30" t="s">
        <v>2654</v>
      </c>
      <c r="E149" s="18" t="s">
        <v>2372</v>
      </c>
      <c r="F149" s="16">
        <v>13</v>
      </c>
      <c r="G149" s="16">
        <v>818.58</v>
      </c>
      <c r="H149" s="16">
        <v>10641.54</v>
      </c>
    </row>
    <row r="150" spans="1:8" ht="15" thickBot="1">
      <c r="A150" s="64">
        <v>44969</v>
      </c>
      <c r="B150" s="18" t="s">
        <v>2642</v>
      </c>
      <c r="C150" s="30" t="s">
        <v>2645</v>
      </c>
      <c r="D150" s="30" t="s">
        <v>2655</v>
      </c>
      <c r="E150" s="18" t="s">
        <v>2372</v>
      </c>
      <c r="F150" s="16">
        <v>3</v>
      </c>
      <c r="G150" s="16">
        <v>3445.08</v>
      </c>
      <c r="H150" s="16">
        <v>10335.24</v>
      </c>
    </row>
    <row r="151" spans="1:8" ht="15" thickBot="1">
      <c r="A151" s="64">
        <v>45054</v>
      </c>
      <c r="B151" s="18" t="s">
        <v>2643</v>
      </c>
      <c r="C151" s="30" t="s">
        <v>2647</v>
      </c>
      <c r="D151" s="30" t="s">
        <v>2652</v>
      </c>
      <c r="E151" s="18" t="s">
        <v>2372</v>
      </c>
      <c r="F151" s="16">
        <v>3</v>
      </c>
      <c r="G151" s="16">
        <v>3366.66</v>
      </c>
      <c r="H151" s="16">
        <v>10099.98</v>
      </c>
    </row>
    <row r="152" spans="1:8" ht="15" thickBot="1">
      <c r="A152" s="31" t="s">
        <v>2450</v>
      </c>
      <c r="B152" s="18" t="s">
        <v>2642</v>
      </c>
      <c r="C152" s="30" t="s">
        <v>2645</v>
      </c>
      <c r="D152" s="30" t="s">
        <v>2649</v>
      </c>
      <c r="E152" s="18" t="s">
        <v>2372</v>
      </c>
      <c r="F152" s="16">
        <v>12</v>
      </c>
      <c r="G152" s="16">
        <v>835.83</v>
      </c>
      <c r="H152" s="16">
        <v>10029.959999999999</v>
      </c>
    </row>
    <row r="153" spans="1:8" ht="15" thickBot="1">
      <c r="A153" s="64">
        <v>44965</v>
      </c>
      <c r="B153" s="18" t="s">
        <v>2641</v>
      </c>
      <c r="C153" s="30" t="s">
        <v>2648</v>
      </c>
      <c r="D153" s="30" t="s">
        <v>2657</v>
      </c>
      <c r="E153" s="18" t="s">
        <v>2372</v>
      </c>
      <c r="F153" s="16">
        <v>5</v>
      </c>
      <c r="G153" s="16">
        <v>1997.76</v>
      </c>
      <c r="H153" s="16">
        <v>9988.7999999999993</v>
      </c>
    </row>
    <row r="154" spans="1:8" ht="15" thickBot="1">
      <c r="A154" s="64">
        <v>44929</v>
      </c>
      <c r="B154" s="18" t="s">
        <v>2642</v>
      </c>
      <c r="C154" s="30" t="s">
        <v>2645</v>
      </c>
      <c r="D154" s="30" t="s">
        <v>2658</v>
      </c>
      <c r="E154" s="18" t="s">
        <v>2372</v>
      </c>
      <c r="F154" s="16">
        <v>20</v>
      </c>
      <c r="G154" s="16">
        <v>490.36</v>
      </c>
      <c r="H154" s="16">
        <v>9807.2000000000007</v>
      </c>
    </row>
    <row r="155" spans="1:8" ht="15" thickBot="1">
      <c r="A155" s="64">
        <v>45082</v>
      </c>
      <c r="B155" s="18" t="s">
        <v>2642</v>
      </c>
      <c r="C155" s="30" t="s">
        <v>2646</v>
      </c>
      <c r="D155" s="30" t="s">
        <v>2654</v>
      </c>
      <c r="E155" s="18" t="s">
        <v>2372</v>
      </c>
      <c r="F155" s="16">
        <v>4</v>
      </c>
      <c r="G155" s="16">
        <v>2425.52</v>
      </c>
      <c r="H155" s="16">
        <v>9702.08</v>
      </c>
    </row>
    <row r="156" spans="1:8" ht="15" thickBot="1">
      <c r="A156" s="64">
        <v>45117</v>
      </c>
      <c r="B156" s="18" t="s">
        <v>2641</v>
      </c>
      <c r="C156" s="30" t="s">
        <v>2648</v>
      </c>
      <c r="D156" s="30" t="s">
        <v>2656</v>
      </c>
      <c r="E156" s="18" t="s">
        <v>2372</v>
      </c>
      <c r="F156" s="16">
        <v>2</v>
      </c>
      <c r="G156" s="16">
        <v>4664.91</v>
      </c>
      <c r="H156" s="16">
        <v>9329.82</v>
      </c>
    </row>
    <row r="157" spans="1:8" ht="15" thickBot="1">
      <c r="A157" s="31" t="s">
        <v>2455</v>
      </c>
      <c r="B157" s="18" t="s">
        <v>2641</v>
      </c>
      <c r="C157" s="30" t="s">
        <v>2648</v>
      </c>
      <c r="D157" s="30" t="s">
        <v>2657</v>
      </c>
      <c r="E157" s="18" t="s">
        <v>2372</v>
      </c>
      <c r="F157" s="16">
        <v>12</v>
      </c>
      <c r="G157" s="16">
        <v>749.68</v>
      </c>
      <c r="H157" s="16">
        <v>8996.16</v>
      </c>
    </row>
    <row r="158" spans="1:8" ht="15" thickBot="1">
      <c r="A158" s="31" t="s">
        <v>2629</v>
      </c>
      <c r="B158" s="18" t="s">
        <v>2642</v>
      </c>
      <c r="C158" s="30" t="s">
        <v>2645</v>
      </c>
      <c r="D158" s="30" t="s">
        <v>2655</v>
      </c>
      <c r="E158" s="18" t="s">
        <v>2372</v>
      </c>
      <c r="F158" s="16">
        <v>5</v>
      </c>
      <c r="G158" s="16">
        <v>1757.01</v>
      </c>
      <c r="H158" s="16">
        <v>8785.0499999999993</v>
      </c>
    </row>
    <row r="159" spans="1:8" ht="15" thickBot="1">
      <c r="A159" s="31" t="s">
        <v>2474</v>
      </c>
      <c r="B159" s="18" t="s">
        <v>2641</v>
      </c>
      <c r="C159" s="30" t="s">
        <v>2648</v>
      </c>
      <c r="D159" s="30" t="s">
        <v>2396</v>
      </c>
      <c r="E159" s="18" t="s">
        <v>2372</v>
      </c>
      <c r="F159" s="16">
        <v>11</v>
      </c>
      <c r="G159" s="16">
        <v>793.45</v>
      </c>
      <c r="H159" s="16">
        <v>8727.9500000000007</v>
      </c>
    </row>
    <row r="160" spans="1:8" ht="15" thickBot="1">
      <c r="A160" s="31" t="s">
        <v>2638</v>
      </c>
      <c r="B160" s="18" t="s">
        <v>2643</v>
      </c>
      <c r="C160" s="30" t="s">
        <v>2647</v>
      </c>
      <c r="D160" s="30" t="s">
        <v>2659</v>
      </c>
      <c r="E160" s="18" t="s">
        <v>2372</v>
      </c>
      <c r="F160" s="16">
        <v>4</v>
      </c>
      <c r="G160" s="16">
        <v>2169.61</v>
      </c>
      <c r="H160" s="16">
        <v>8678.44</v>
      </c>
    </row>
    <row r="161" spans="1:8" ht="15" thickBot="1">
      <c r="A161" s="64">
        <v>45085</v>
      </c>
      <c r="B161" s="18" t="s">
        <v>2642</v>
      </c>
      <c r="C161" s="30" t="s">
        <v>2645</v>
      </c>
      <c r="D161" s="30" t="s">
        <v>2655</v>
      </c>
      <c r="E161" s="18" t="s">
        <v>2372</v>
      </c>
      <c r="F161" s="16">
        <v>10</v>
      </c>
      <c r="G161" s="16">
        <v>812.98</v>
      </c>
      <c r="H161" s="16">
        <v>8129.8</v>
      </c>
    </row>
    <row r="162" spans="1:8" ht="15" thickBot="1">
      <c r="A162" s="64">
        <v>45174</v>
      </c>
      <c r="B162" s="18" t="s">
        <v>2642</v>
      </c>
      <c r="C162" s="30" t="s">
        <v>2645</v>
      </c>
      <c r="D162" s="30" t="s">
        <v>2658</v>
      </c>
      <c r="E162" s="18" t="s">
        <v>2372</v>
      </c>
      <c r="F162" s="16">
        <v>16</v>
      </c>
      <c r="G162" s="16">
        <v>502.59</v>
      </c>
      <c r="H162" s="16">
        <v>8041.44</v>
      </c>
    </row>
    <row r="163" spans="1:8" ht="15" thickBot="1">
      <c r="A163" s="64">
        <v>45026</v>
      </c>
      <c r="B163" s="18" t="s">
        <v>2642</v>
      </c>
      <c r="C163" s="30" t="s">
        <v>2646</v>
      </c>
      <c r="D163" s="30" t="s">
        <v>2654</v>
      </c>
      <c r="E163" s="18" t="s">
        <v>2372</v>
      </c>
      <c r="F163" s="16">
        <v>17</v>
      </c>
      <c r="G163" s="16">
        <v>463.54</v>
      </c>
      <c r="H163" s="16">
        <v>7880.18</v>
      </c>
    </row>
    <row r="164" spans="1:8" ht="15" thickBot="1">
      <c r="A164" s="64">
        <v>44987</v>
      </c>
      <c r="B164" s="18" t="s">
        <v>2643</v>
      </c>
      <c r="C164" s="30" t="s">
        <v>2647</v>
      </c>
      <c r="D164" s="30" t="s">
        <v>2659</v>
      </c>
      <c r="E164" s="18" t="s">
        <v>2372</v>
      </c>
      <c r="F164" s="16">
        <v>4</v>
      </c>
      <c r="G164" s="16">
        <v>1938.6</v>
      </c>
      <c r="H164" s="16">
        <v>7754.4</v>
      </c>
    </row>
    <row r="165" spans="1:8" ht="15" thickBot="1">
      <c r="A165" s="64">
        <v>45047</v>
      </c>
      <c r="B165" s="18" t="s">
        <v>2642</v>
      </c>
      <c r="C165" s="30" t="s">
        <v>2646</v>
      </c>
      <c r="D165" s="30" t="s">
        <v>2651</v>
      </c>
      <c r="E165" s="18" t="s">
        <v>2372</v>
      </c>
      <c r="F165" s="16">
        <v>10</v>
      </c>
      <c r="G165" s="16">
        <v>772.21</v>
      </c>
      <c r="H165" s="16">
        <v>7722.1</v>
      </c>
    </row>
    <row r="166" spans="1:8" ht="15" thickBot="1">
      <c r="A166" s="31" t="s">
        <v>2547</v>
      </c>
      <c r="B166" s="18" t="s">
        <v>2643</v>
      </c>
      <c r="C166" s="30" t="s">
        <v>2647</v>
      </c>
      <c r="D166" s="30" t="s">
        <v>2660</v>
      </c>
      <c r="E166" s="18" t="s">
        <v>2372</v>
      </c>
      <c r="F166" s="16">
        <v>7</v>
      </c>
      <c r="G166" s="16">
        <v>1102.48</v>
      </c>
      <c r="H166" s="16">
        <v>7717.36</v>
      </c>
    </row>
    <row r="167" spans="1:8" ht="15" thickBot="1">
      <c r="A167" s="64">
        <v>45141</v>
      </c>
      <c r="B167" s="18" t="s">
        <v>2641</v>
      </c>
      <c r="C167" s="30" t="s">
        <v>2648</v>
      </c>
      <c r="D167" s="30" t="s">
        <v>2656</v>
      </c>
      <c r="E167" s="18" t="s">
        <v>2372</v>
      </c>
      <c r="F167" s="16">
        <v>2</v>
      </c>
      <c r="G167" s="16">
        <v>3825.5</v>
      </c>
      <c r="H167" s="16">
        <v>7651</v>
      </c>
    </row>
    <row r="168" spans="1:8" ht="15" thickBot="1">
      <c r="A168" s="64">
        <v>45110</v>
      </c>
      <c r="B168" s="18" t="s">
        <v>2642</v>
      </c>
      <c r="C168" s="30" t="s">
        <v>2646</v>
      </c>
      <c r="D168" s="30" t="s">
        <v>2651</v>
      </c>
      <c r="E168" s="18" t="s">
        <v>2372</v>
      </c>
      <c r="F168" s="16">
        <v>5</v>
      </c>
      <c r="G168" s="16">
        <v>1460.84</v>
      </c>
      <c r="H168" s="16">
        <v>7304.2</v>
      </c>
    </row>
    <row r="169" spans="1:8" ht="15" thickBot="1">
      <c r="A169" s="31" t="s">
        <v>2434</v>
      </c>
      <c r="B169" s="18" t="s">
        <v>2641</v>
      </c>
      <c r="C169" s="30" t="s">
        <v>2644</v>
      </c>
      <c r="D169" s="30" t="s">
        <v>2392</v>
      </c>
      <c r="E169" s="18" t="s">
        <v>2372</v>
      </c>
      <c r="F169" s="16">
        <v>9</v>
      </c>
      <c r="G169" s="16">
        <v>808.93</v>
      </c>
      <c r="H169" s="16">
        <v>7280.37</v>
      </c>
    </row>
    <row r="170" spans="1:8" ht="15" thickBot="1">
      <c r="A170" s="31" t="s">
        <v>2568</v>
      </c>
      <c r="B170" s="18" t="s">
        <v>2642</v>
      </c>
      <c r="C170" s="30" t="s">
        <v>2645</v>
      </c>
      <c r="D170" s="30" t="s">
        <v>2658</v>
      </c>
      <c r="E170" s="18" t="s">
        <v>2372</v>
      </c>
      <c r="F170" s="16">
        <v>12</v>
      </c>
      <c r="G170" s="16">
        <v>596.13</v>
      </c>
      <c r="H170" s="16">
        <v>7153.56</v>
      </c>
    </row>
    <row r="171" spans="1:8" ht="15" thickBot="1">
      <c r="A171" s="31" t="s">
        <v>2618</v>
      </c>
      <c r="B171" s="18" t="s">
        <v>2641</v>
      </c>
      <c r="C171" s="30" t="s">
        <v>2644</v>
      </c>
      <c r="D171" s="30" t="s">
        <v>2393</v>
      </c>
      <c r="E171" s="18" t="s">
        <v>2372</v>
      </c>
      <c r="F171" s="16">
        <v>12</v>
      </c>
      <c r="G171" s="16">
        <v>593.52</v>
      </c>
      <c r="H171" s="16">
        <v>7122.24</v>
      </c>
    </row>
    <row r="172" spans="1:8" ht="15" thickBot="1">
      <c r="A172" s="31" t="s">
        <v>2602</v>
      </c>
      <c r="B172" s="18" t="s">
        <v>2643</v>
      </c>
      <c r="C172" s="30" t="s">
        <v>2647</v>
      </c>
      <c r="D172" s="30" t="s">
        <v>2652</v>
      </c>
      <c r="E172" s="18" t="s">
        <v>2372</v>
      </c>
      <c r="F172" s="16">
        <v>12</v>
      </c>
      <c r="G172" s="16">
        <v>538.91</v>
      </c>
      <c r="H172" s="16">
        <v>6466.92</v>
      </c>
    </row>
    <row r="173" spans="1:8" ht="15" thickBot="1">
      <c r="A173" s="31" t="s">
        <v>2591</v>
      </c>
      <c r="B173" s="18" t="s">
        <v>2641</v>
      </c>
      <c r="C173" s="30" t="s">
        <v>2648</v>
      </c>
      <c r="D173" s="30" t="s">
        <v>2656</v>
      </c>
      <c r="E173" s="18" t="s">
        <v>2372</v>
      </c>
      <c r="F173" s="16">
        <v>6</v>
      </c>
      <c r="G173" s="16">
        <v>1016.27</v>
      </c>
      <c r="H173" s="16">
        <v>6097.62</v>
      </c>
    </row>
    <row r="174" spans="1:8" ht="15" thickBot="1">
      <c r="A174" s="31" t="s">
        <v>2487</v>
      </c>
      <c r="B174" s="18" t="s">
        <v>2641</v>
      </c>
      <c r="C174" s="30" t="s">
        <v>2648</v>
      </c>
      <c r="D174" s="30" t="s">
        <v>2657</v>
      </c>
      <c r="E174" s="18" t="s">
        <v>2372</v>
      </c>
      <c r="F174" s="16">
        <v>8</v>
      </c>
      <c r="G174" s="16">
        <v>758.58</v>
      </c>
      <c r="H174" s="16">
        <v>6068.64</v>
      </c>
    </row>
    <row r="175" spans="1:8" ht="15" thickBot="1">
      <c r="A175" s="31" t="s">
        <v>2472</v>
      </c>
      <c r="B175" s="18" t="s">
        <v>2642</v>
      </c>
      <c r="C175" s="30" t="s">
        <v>2645</v>
      </c>
      <c r="D175" s="30" t="s">
        <v>2655</v>
      </c>
      <c r="E175" s="18" t="s">
        <v>2372</v>
      </c>
      <c r="F175" s="16">
        <v>4</v>
      </c>
      <c r="G175" s="16">
        <v>1434.97</v>
      </c>
      <c r="H175" s="16">
        <v>5739.88</v>
      </c>
    </row>
    <row r="176" spans="1:8" ht="15" thickBot="1">
      <c r="A176" s="64">
        <v>45110</v>
      </c>
      <c r="B176" s="18" t="s">
        <v>2642</v>
      </c>
      <c r="C176" s="30" t="s">
        <v>2646</v>
      </c>
      <c r="D176" s="30" t="s">
        <v>2651</v>
      </c>
      <c r="E176" s="18" t="s">
        <v>2372</v>
      </c>
      <c r="F176" s="16">
        <v>4</v>
      </c>
      <c r="G176" s="16">
        <v>1385.95</v>
      </c>
      <c r="H176" s="16">
        <v>5543.8</v>
      </c>
    </row>
    <row r="177" spans="1:8" ht="15" thickBot="1">
      <c r="A177" s="31" t="s">
        <v>2468</v>
      </c>
      <c r="B177" s="18" t="s">
        <v>2641</v>
      </c>
      <c r="C177" s="30" t="s">
        <v>2648</v>
      </c>
      <c r="D177" s="30" t="s">
        <v>2396</v>
      </c>
      <c r="E177" s="18" t="s">
        <v>2372</v>
      </c>
      <c r="F177" s="16">
        <v>3</v>
      </c>
      <c r="G177" s="16">
        <v>1818.3</v>
      </c>
      <c r="H177" s="16">
        <v>5454.9</v>
      </c>
    </row>
    <row r="178" spans="1:8" ht="15" thickBot="1">
      <c r="A178" s="31" t="s">
        <v>2455</v>
      </c>
      <c r="B178" s="18" t="s">
        <v>2641</v>
      </c>
      <c r="C178" s="30" t="s">
        <v>2648</v>
      </c>
      <c r="D178" s="30" t="s">
        <v>2396</v>
      </c>
      <c r="E178" s="18" t="s">
        <v>2372</v>
      </c>
      <c r="F178" s="16">
        <v>4</v>
      </c>
      <c r="G178" s="16">
        <v>1303.8800000000001</v>
      </c>
      <c r="H178" s="16">
        <v>5215.5200000000004</v>
      </c>
    </row>
    <row r="179" spans="1:8" ht="15" thickBot="1">
      <c r="A179" s="31" t="s">
        <v>2562</v>
      </c>
      <c r="B179" s="18" t="s">
        <v>2641</v>
      </c>
      <c r="C179" s="30" t="s">
        <v>2644</v>
      </c>
      <c r="D179" s="30" t="s">
        <v>2653</v>
      </c>
      <c r="E179" s="18" t="s">
        <v>2372</v>
      </c>
      <c r="F179" s="16">
        <v>4</v>
      </c>
      <c r="G179" s="16">
        <v>1256.3399999999999</v>
      </c>
      <c r="H179" s="16">
        <v>5025.3599999999997</v>
      </c>
    </row>
    <row r="180" spans="1:8" ht="15" thickBot="1">
      <c r="A180" s="31" t="s">
        <v>2626</v>
      </c>
      <c r="B180" s="18" t="s">
        <v>2643</v>
      </c>
      <c r="C180" s="30" t="s">
        <v>2647</v>
      </c>
      <c r="D180" s="30" t="s">
        <v>2660</v>
      </c>
      <c r="E180" s="18" t="s">
        <v>2372</v>
      </c>
      <c r="F180" s="16">
        <v>18</v>
      </c>
      <c r="G180" s="16">
        <v>276.35000000000002</v>
      </c>
      <c r="H180" s="16">
        <v>4974.3</v>
      </c>
    </row>
    <row r="181" spans="1:8" ht="15" thickBot="1">
      <c r="A181" s="64">
        <v>45268</v>
      </c>
      <c r="B181" s="18" t="s">
        <v>2643</v>
      </c>
      <c r="C181" s="30" t="s">
        <v>2647</v>
      </c>
      <c r="D181" s="30" t="s">
        <v>2659</v>
      </c>
      <c r="E181" s="18" t="s">
        <v>2372</v>
      </c>
      <c r="F181" s="16">
        <v>15</v>
      </c>
      <c r="G181" s="16">
        <v>318.32</v>
      </c>
      <c r="H181" s="16">
        <v>4774.8</v>
      </c>
    </row>
    <row r="182" spans="1:8" ht="15" thickBot="1">
      <c r="A182" s="64">
        <v>45083</v>
      </c>
      <c r="B182" s="18" t="s">
        <v>2641</v>
      </c>
      <c r="C182" s="30" t="s">
        <v>2644</v>
      </c>
      <c r="D182" s="30" t="s">
        <v>2653</v>
      </c>
      <c r="E182" s="18" t="s">
        <v>2372</v>
      </c>
      <c r="F182" s="16">
        <v>1</v>
      </c>
      <c r="G182" s="16">
        <v>4681.07</v>
      </c>
      <c r="H182" s="16">
        <v>4681.07</v>
      </c>
    </row>
    <row r="183" spans="1:8" ht="15" thickBot="1">
      <c r="A183" s="64">
        <v>44938</v>
      </c>
      <c r="B183" s="18" t="s">
        <v>2641</v>
      </c>
      <c r="C183" s="30" t="s">
        <v>2648</v>
      </c>
      <c r="D183" s="30" t="s">
        <v>2657</v>
      </c>
      <c r="E183" s="18" t="s">
        <v>2372</v>
      </c>
      <c r="F183" s="16">
        <v>1</v>
      </c>
      <c r="G183" s="16">
        <v>4557.0600000000004</v>
      </c>
      <c r="H183" s="16">
        <v>4557.0600000000004</v>
      </c>
    </row>
    <row r="184" spans="1:8" ht="15" thickBot="1">
      <c r="A184" s="31" t="s">
        <v>2443</v>
      </c>
      <c r="B184" s="18" t="s">
        <v>2642</v>
      </c>
      <c r="C184" s="30" t="s">
        <v>2646</v>
      </c>
      <c r="D184" s="30" t="s">
        <v>2654</v>
      </c>
      <c r="E184" s="18" t="s">
        <v>2372</v>
      </c>
      <c r="F184" s="16">
        <v>1</v>
      </c>
      <c r="G184" s="16">
        <v>4443.22</v>
      </c>
      <c r="H184" s="16">
        <v>4443.22</v>
      </c>
    </row>
    <row r="185" spans="1:8" ht="15" thickBot="1">
      <c r="A185" s="31" t="s">
        <v>2435</v>
      </c>
      <c r="B185" s="18" t="s">
        <v>2642</v>
      </c>
      <c r="C185" s="30" t="s">
        <v>2645</v>
      </c>
      <c r="D185" s="30" t="s">
        <v>2658</v>
      </c>
      <c r="E185" s="18" t="s">
        <v>2372</v>
      </c>
      <c r="F185" s="16">
        <v>2</v>
      </c>
      <c r="G185" s="16">
        <v>2087.14</v>
      </c>
      <c r="H185" s="16">
        <v>4174.28</v>
      </c>
    </row>
    <row r="186" spans="1:8" ht="15" thickBot="1">
      <c r="A186" s="31" t="s">
        <v>2591</v>
      </c>
      <c r="B186" s="18" t="s">
        <v>2642</v>
      </c>
      <c r="C186" s="30" t="s">
        <v>2645</v>
      </c>
      <c r="D186" s="30" t="s">
        <v>2658</v>
      </c>
      <c r="E186" s="18" t="s">
        <v>2372</v>
      </c>
      <c r="F186" s="16">
        <v>1</v>
      </c>
      <c r="G186" s="16">
        <v>3964.08</v>
      </c>
      <c r="H186" s="16">
        <v>3964.08</v>
      </c>
    </row>
    <row r="187" spans="1:8" ht="15" thickBot="1">
      <c r="A187" s="64">
        <v>45142</v>
      </c>
      <c r="B187" s="18" t="s">
        <v>2641</v>
      </c>
      <c r="C187" s="30" t="s">
        <v>2644</v>
      </c>
      <c r="D187" s="30" t="s">
        <v>2392</v>
      </c>
      <c r="E187" s="18" t="s">
        <v>2372</v>
      </c>
      <c r="F187" s="16">
        <v>1</v>
      </c>
      <c r="G187" s="16">
        <v>3847.65</v>
      </c>
      <c r="H187" s="16">
        <v>3847.65</v>
      </c>
    </row>
    <row r="188" spans="1:8" ht="15" thickBot="1">
      <c r="A188" s="64">
        <v>45109</v>
      </c>
      <c r="B188" s="18" t="s">
        <v>2641</v>
      </c>
      <c r="C188" s="30" t="s">
        <v>2644</v>
      </c>
      <c r="D188" s="30" t="s">
        <v>2653</v>
      </c>
      <c r="E188" s="18" t="s">
        <v>2372</v>
      </c>
      <c r="F188" s="16">
        <v>11</v>
      </c>
      <c r="G188" s="16">
        <v>335.31</v>
      </c>
      <c r="H188" s="16">
        <v>3688.41</v>
      </c>
    </row>
    <row r="189" spans="1:8" ht="15" thickBot="1">
      <c r="A189" s="31" t="s">
        <v>2499</v>
      </c>
      <c r="B189" s="18" t="s">
        <v>2641</v>
      </c>
      <c r="C189" s="30" t="s">
        <v>2648</v>
      </c>
      <c r="D189" s="30" t="s">
        <v>2396</v>
      </c>
      <c r="E189" s="18" t="s">
        <v>2372</v>
      </c>
      <c r="F189" s="16">
        <v>1</v>
      </c>
      <c r="G189" s="16">
        <v>3658.84</v>
      </c>
      <c r="H189" s="16">
        <v>3658.84</v>
      </c>
    </row>
    <row r="190" spans="1:8" ht="15" thickBot="1">
      <c r="A190" s="31" t="s">
        <v>2462</v>
      </c>
      <c r="B190" s="18" t="s">
        <v>2642</v>
      </c>
      <c r="C190" s="30" t="s">
        <v>2645</v>
      </c>
      <c r="D190" s="30" t="s">
        <v>2658</v>
      </c>
      <c r="E190" s="18" t="s">
        <v>2372</v>
      </c>
      <c r="F190" s="16">
        <v>2</v>
      </c>
      <c r="G190" s="16">
        <v>1827.28</v>
      </c>
      <c r="H190" s="16">
        <v>3654.56</v>
      </c>
    </row>
    <row r="191" spans="1:8" ht="15" thickBot="1">
      <c r="A191" s="31" t="s">
        <v>2574</v>
      </c>
      <c r="B191" s="18" t="s">
        <v>2642</v>
      </c>
      <c r="C191" s="30" t="s">
        <v>2646</v>
      </c>
      <c r="D191" s="30" t="s">
        <v>2650</v>
      </c>
      <c r="E191" s="18" t="s">
        <v>2372</v>
      </c>
      <c r="F191" s="16">
        <v>3</v>
      </c>
      <c r="G191" s="16">
        <v>1205.6199999999999</v>
      </c>
      <c r="H191" s="16">
        <v>3616.86</v>
      </c>
    </row>
    <row r="192" spans="1:8" ht="15" thickBot="1">
      <c r="A192" s="64">
        <v>45148</v>
      </c>
      <c r="B192" s="18" t="s">
        <v>2641</v>
      </c>
      <c r="C192" s="30" t="s">
        <v>2644</v>
      </c>
      <c r="D192" s="30" t="s">
        <v>2393</v>
      </c>
      <c r="E192" s="18" t="s">
        <v>2372</v>
      </c>
      <c r="F192" s="16">
        <v>19</v>
      </c>
      <c r="G192" s="16">
        <v>182.01</v>
      </c>
      <c r="H192" s="16">
        <v>3458.19</v>
      </c>
    </row>
    <row r="193" spans="1:8" ht="15" thickBot="1">
      <c r="A193" s="31" t="s">
        <v>2637</v>
      </c>
      <c r="B193" s="18" t="s">
        <v>2641</v>
      </c>
      <c r="C193" s="30" t="s">
        <v>2644</v>
      </c>
      <c r="D193" s="30" t="s">
        <v>2653</v>
      </c>
      <c r="E193" s="18" t="s">
        <v>2372</v>
      </c>
      <c r="F193" s="16">
        <v>12</v>
      </c>
      <c r="G193" s="16">
        <v>283.86</v>
      </c>
      <c r="H193" s="16">
        <v>3406.32</v>
      </c>
    </row>
    <row r="194" spans="1:8" ht="15" thickBot="1">
      <c r="A194" s="31" t="s">
        <v>2553</v>
      </c>
      <c r="B194" s="18" t="s">
        <v>2641</v>
      </c>
      <c r="C194" s="30" t="s">
        <v>2648</v>
      </c>
      <c r="D194" s="30" t="s">
        <v>2657</v>
      </c>
      <c r="E194" s="18" t="s">
        <v>2372</v>
      </c>
      <c r="F194" s="16">
        <v>2</v>
      </c>
      <c r="G194" s="16">
        <v>1673.1</v>
      </c>
      <c r="H194" s="16">
        <v>3346.2</v>
      </c>
    </row>
    <row r="195" spans="1:8" ht="15" thickBot="1">
      <c r="A195" s="64">
        <v>45265</v>
      </c>
      <c r="B195" s="18" t="s">
        <v>2643</v>
      </c>
      <c r="C195" s="30" t="s">
        <v>2647</v>
      </c>
      <c r="D195" s="30" t="s">
        <v>2659</v>
      </c>
      <c r="E195" s="18" t="s">
        <v>2372</v>
      </c>
      <c r="F195" s="16">
        <v>16</v>
      </c>
      <c r="G195" s="16">
        <v>199.87</v>
      </c>
      <c r="H195" s="16">
        <v>3197.92</v>
      </c>
    </row>
    <row r="196" spans="1:8" ht="15" thickBot="1">
      <c r="A196" s="31" t="s">
        <v>2505</v>
      </c>
      <c r="B196" s="18" t="s">
        <v>2642</v>
      </c>
      <c r="C196" s="30" t="s">
        <v>2645</v>
      </c>
      <c r="D196" s="30" t="s">
        <v>2655</v>
      </c>
      <c r="E196" s="18" t="s">
        <v>2372</v>
      </c>
      <c r="F196" s="16">
        <v>1</v>
      </c>
      <c r="G196" s="16">
        <v>3042.8</v>
      </c>
      <c r="H196" s="16">
        <v>3042.8</v>
      </c>
    </row>
    <row r="197" spans="1:8" ht="15" thickBot="1">
      <c r="A197" s="31" t="s">
        <v>2604</v>
      </c>
      <c r="B197" s="18" t="s">
        <v>2641</v>
      </c>
      <c r="C197" s="30" t="s">
        <v>2644</v>
      </c>
      <c r="D197" s="30" t="s">
        <v>2653</v>
      </c>
      <c r="E197" s="18" t="s">
        <v>2372</v>
      </c>
      <c r="F197" s="16">
        <v>7</v>
      </c>
      <c r="G197" s="16">
        <v>392.9</v>
      </c>
      <c r="H197" s="16">
        <v>2750.3</v>
      </c>
    </row>
    <row r="198" spans="1:8" ht="15" thickBot="1">
      <c r="A198" s="64">
        <v>45267</v>
      </c>
      <c r="B198" s="18" t="s">
        <v>2641</v>
      </c>
      <c r="C198" s="30" t="s">
        <v>2648</v>
      </c>
      <c r="D198" s="30" t="s">
        <v>2396</v>
      </c>
      <c r="E198" s="18" t="s">
        <v>2372</v>
      </c>
      <c r="F198" s="16">
        <v>1</v>
      </c>
      <c r="G198" s="16">
        <v>2716.98</v>
      </c>
      <c r="H198" s="16">
        <v>2716.98</v>
      </c>
    </row>
    <row r="199" spans="1:8" ht="15" thickBot="1">
      <c r="A199" s="31" t="s">
        <v>2595</v>
      </c>
      <c r="B199" s="18" t="s">
        <v>2643</v>
      </c>
      <c r="C199" s="30" t="s">
        <v>2647</v>
      </c>
      <c r="D199" s="30" t="s">
        <v>2659</v>
      </c>
      <c r="E199" s="18" t="s">
        <v>2372</v>
      </c>
      <c r="F199" s="16">
        <v>12</v>
      </c>
      <c r="G199" s="16">
        <v>225.88</v>
      </c>
      <c r="H199" s="16">
        <v>2710.56</v>
      </c>
    </row>
    <row r="200" spans="1:8" ht="15" thickBot="1">
      <c r="A200" s="31" t="s">
        <v>2620</v>
      </c>
      <c r="B200" s="18" t="s">
        <v>2641</v>
      </c>
      <c r="C200" s="30" t="s">
        <v>2644</v>
      </c>
      <c r="D200" s="30" t="s">
        <v>2393</v>
      </c>
      <c r="E200" s="18" t="s">
        <v>2372</v>
      </c>
      <c r="F200" s="16">
        <v>1</v>
      </c>
      <c r="G200" s="16">
        <v>2517.3200000000002</v>
      </c>
      <c r="H200" s="16">
        <v>2517.3200000000002</v>
      </c>
    </row>
    <row r="201" spans="1:8" ht="15" thickBot="1">
      <c r="A201" s="31" t="s">
        <v>2444</v>
      </c>
      <c r="B201" s="18" t="s">
        <v>2643</v>
      </c>
      <c r="C201" s="30" t="s">
        <v>2647</v>
      </c>
      <c r="D201" s="30" t="s">
        <v>2659</v>
      </c>
      <c r="E201" s="18" t="s">
        <v>2372</v>
      </c>
      <c r="F201" s="16">
        <v>1</v>
      </c>
      <c r="G201" s="16">
        <v>2466.0100000000002</v>
      </c>
      <c r="H201" s="16">
        <v>2466.0100000000002</v>
      </c>
    </row>
    <row r="202" spans="1:8" ht="15" thickBot="1">
      <c r="A202" s="64">
        <v>44968</v>
      </c>
      <c r="B202" s="18" t="s">
        <v>2642</v>
      </c>
      <c r="C202" s="30" t="s">
        <v>2645</v>
      </c>
      <c r="D202" s="30" t="s">
        <v>2649</v>
      </c>
      <c r="E202" s="18" t="s">
        <v>2372</v>
      </c>
      <c r="F202" s="16">
        <v>9</v>
      </c>
      <c r="G202" s="16">
        <v>228.49</v>
      </c>
      <c r="H202" s="16">
        <v>2056.41</v>
      </c>
    </row>
    <row r="203" spans="1:8" ht="15" thickBot="1">
      <c r="A203" s="31" t="s">
        <v>2477</v>
      </c>
      <c r="B203" s="18" t="s">
        <v>2642</v>
      </c>
      <c r="C203" s="30" t="s">
        <v>2645</v>
      </c>
      <c r="D203" s="30" t="s">
        <v>2658</v>
      </c>
      <c r="E203" s="18" t="s">
        <v>2372</v>
      </c>
      <c r="F203" s="16">
        <v>8</v>
      </c>
      <c r="G203" s="16">
        <v>244.6</v>
      </c>
      <c r="H203" s="16">
        <v>1956.8</v>
      </c>
    </row>
    <row r="204" spans="1:8" ht="15" thickBot="1">
      <c r="A204" s="64">
        <v>44991</v>
      </c>
      <c r="B204" s="18" t="s">
        <v>2642</v>
      </c>
      <c r="C204" s="30" t="s">
        <v>2645</v>
      </c>
      <c r="D204" s="30" t="s">
        <v>2658</v>
      </c>
      <c r="E204" s="18" t="s">
        <v>2372</v>
      </c>
      <c r="F204" s="16">
        <v>9</v>
      </c>
      <c r="G204" s="16">
        <v>203.38</v>
      </c>
      <c r="H204" s="16">
        <v>1830.42</v>
      </c>
    </row>
    <row r="205" spans="1:8" ht="15" thickBot="1">
      <c r="A205" s="31" t="s">
        <v>2577</v>
      </c>
      <c r="B205" s="18" t="s">
        <v>2643</v>
      </c>
      <c r="C205" s="30" t="s">
        <v>2647</v>
      </c>
      <c r="D205" s="30" t="s">
        <v>2660</v>
      </c>
      <c r="E205" s="18" t="s">
        <v>2372</v>
      </c>
      <c r="F205" s="16">
        <v>1</v>
      </c>
      <c r="G205" s="16">
        <v>1793.18</v>
      </c>
      <c r="H205" s="16">
        <v>1793.18</v>
      </c>
    </row>
    <row r="206" spans="1:8" ht="15" thickBot="1">
      <c r="A206" s="31" t="s">
        <v>2513</v>
      </c>
      <c r="B206" s="18" t="s">
        <v>2643</v>
      </c>
      <c r="C206" s="30" t="s">
        <v>2647</v>
      </c>
      <c r="D206" s="30" t="s">
        <v>2652</v>
      </c>
      <c r="E206" s="18" t="s">
        <v>2372</v>
      </c>
      <c r="F206" s="16">
        <v>7</v>
      </c>
      <c r="G206" s="16">
        <v>252.75</v>
      </c>
      <c r="H206" s="16">
        <v>1769.25</v>
      </c>
    </row>
    <row r="207" spans="1:8" ht="15" thickBot="1">
      <c r="A207" s="31" t="s">
        <v>2636</v>
      </c>
      <c r="B207" s="18" t="s">
        <v>2642</v>
      </c>
      <c r="C207" s="30" t="s">
        <v>2646</v>
      </c>
      <c r="D207" s="30" t="s">
        <v>2651</v>
      </c>
      <c r="E207" s="18" t="s">
        <v>2372</v>
      </c>
      <c r="F207" s="16">
        <v>11</v>
      </c>
      <c r="G207" s="16">
        <v>146.47</v>
      </c>
      <c r="H207" s="16">
        <v>1611.17</v>
      </c>
    </row>
    <row r="208" spans="1:8" ht="15" thickBot="1">
      <c r="A208" s="31" t="s">
        <v>2454</v>
      </c>
      <c r="B208" s="18" t="s">
        <v>2642</v>
      </c>
      <c r="C208" s="30" t="s">
        <v>2645</v>
      </c>
      <c r="D208" s="30" t="s">
        <v>2655</v>
      </c>
      <c r="E208" s="18" t="s">
        <v>2372</v>
      </c>
      <c r="F208" s="16">
        <v>10</v>
      </c>
      <c r="G208" s="16">
        <v>159.27000000000001</v>
      </c>
      <c r="H208" s="16">
        <v>1592.7</v>
      </c>
    </row>
    <row r="209" spans="1:8" ht="15" thickBot="1">
      <c r="A209" s="64">
        <v>44937</v>
      </c>
      <c r="B209" s="18" t="s">
        <v>2642</v>
      </c>
      <c r="C209" s="30" t="s">
        <v>2646</v>
      </c>
      <c r="D209" s="30" t="s">
        <v>2650</v>
      </c>
      <c r="E209" s="18" t="s">
        <v>2372</v>
      </c>
      <c r="F209" s="16">
        <v>1</v>
      </c>
      <c r="G209" s="16">
        <v>1520.97</v>
      </c>
      <c r="H209" s="16">
        <v>1520.97</v>
      </c>
    </row>
    <row r="210" spans="1:8" ht="15" thickBot="1">
      <c r="A210" s="31" t="s">
        <v>2517</v>
      </c>
      <c r="B210" s="18" t="s">
        <v>2642</v>
      </c>
      <c r="C210" s="30" t="s">
        <v>2645</v>
      </c>
      <c r="D210" s="30" t="s">
        <v>2658</v>
      </c>
      <c r="E210" s="18" t="s">
        <v>2372</v>
      </c>
      <c r="F210" s="16">
        <v>3</v>
      </c>
      <c r="G210" s="16">
        <v>468.7</v>
      </c>
      <c r="H210" s="16">
        <v>1406.1</v>
      </c>
    </row>
    <row r="211" spans="1:8" ht="15" thickBot="1">
      <c r="A211" s="64">
        <v>45082</v>
      </c>
      <c r="B211" s="18" t="s">
        <v>2642</v>
      </c>
      <c r="C211" s="30" t="s">
        <v>2645</v>
      </c>
      <c r="D211" s="30" t="s">
        <v>2658</v>
      </c>
      <c r="E211" s="18" t="s">
        <v>2372</v>
      </c>
      <c r="F211" s="16">
        <v>1</v>
      </c>
      <c r="G211" s="16">
        <v>1219.0999999999999</v>
      </c>
      <c r="H211" s="16">
        <v>1219.0999999999999</v>
      </c>
    </row>
    <row r="212" spans="1:8" ht="15" thickBot="1">
      <c r="A212" s="31" t="s">
        <v>2631</v>
      </c>
      <c r="B212" s="18" t="s">
        <v>2642</v>
      </c>
      <c r="C212" s="30" t="s">
        <v>2645</v>
      </c>
      <c r="D212" s="30" t="s">
        <v>2655</v>
      </c>
      <c r="E212" s="18" t="s">
        <v>2372</v>
      </c>
      <c r="F212" s="16">
        <v>4</v>
      </c>
      <c r="G212" s="16">
        <v>277.45</v>
      </c>
      <c r="H212" s="16">
        <v>1109.8</v>
      </c>
    </row>
    <row r="213" spans="1:8" ht="15" thickBot="1">
      <c r="A213" s="31" t="s">
        <v>2633</v>
      </c>
      <c r="B213" s="18" t="s">
        <v>2643</v>
      </c>
      <c r="C213" s="30" t="s">
        <v>2647</v>
      </c>
      <c r="D213" s="30" t="s">
        <v>2660</v>
      </c>
      <c r="E213" s="18" t="s">
        <v>2372</v>
      </c>
      <c r="F213" s="16">
        <v>2</v>
      </c>
      <c r="G213" s="16">
        <v>528.62</v>
      </c>
      <c r="H213" s="16">
        <v>1057.24</v>
      </c>
    </row>
    <row r="214" spans="1:8" ht="15" thickBot="1">
      <c r="A214" s="64">
        <v>44991</v>
      </c>
      <c r="B214" s="18" t="s">
        <v>2642</v>
      </c>
      <c r="C214" s="30" t="s">
        <v>2646</v>
      </c>
      <c r="D214" s="30" t="s">
        <v>2650</v>
      </c>
      <c r="E214" s="18" t="s">
        <v>2372</v>
      </c>
      <c r="F214" s="16">
        <v>1</v>
      </c>
      <c r="G214" s="16">
        <v>696.38</v>
      </c>
      <c r="H214" s="16">
        <v>696.38</v>
      </c>
    </row>
    <row r="215" spans="1:8" ht="15" thickBot="1">
      <c r="A215" s="31" t="s">
        <v>2516</v>
      </c>
      <c r="B215" s="18" t="s">
        <v>2643</v>
      </c>
      <c r="C215" s="30" t="s">
        <v>2647</v>
      </c>
      <c r="D215" s="30" t="s">
        <v>2652</v>
      </c>
      <c r="E215" s="18" t="s">
        <v>2372</v>
      </c>
      <c r="F215" s="16">
        <v>2</v>
      </c>
      <c r="G215" s="16">
        <v>233.75</v>
      </c>
      <c r="H215" s="16">
        <v>467.5</v>
      </c>
    </row>
    <row r="216" spans="1:8" ht="15" thickBot="1">
      <c r="A216" s="64">
        <v>45119</v>
      </c>
      <c r="B216" s="18" t="s">
        <v>2643</v>
      </c>
      <c r="C216" s="30" t="s">
        <v>2647</v>
      </c>
      <c r="D216" s="30" t="s">
        <v>2652</v>
      </c>
      <c r="E216" s="18" t="s">
        <v>2372</v>
      </c>
      <c r="F216" s="16">
        <v>3</v>
      </c>
      <c r="G216" s="16">
        <v>144.38999999999999</v>
      </c>
      <c r="H216" s="16">
        <v>433.17</v>
      </c>
    </row>
    <row r="217" spans="1:8" ht="15" thickBot="1">
      <c r="A217" s="31" t="s">
        <v>2576</v>
      </c>
      <c r="B217" s="18" t="s">
        <v>2642</v>
      </c>
      <c r="C217" s="30" t="s">
        <v>2646</v>
      </c>
      <c r="D217" s="30" t="s">
        <v>2650</v>
      </c>
      <c r="E217" s="18" t="s">
        <v>2372</v>
      </c>
      <c r="F217" s="16">
        <v>1</v>
      </c>
      <c r="G217" s="16">
        <v>421.27</v>
      </c>
      <c r="H217" s="16">
        <v>421.27</v>
      </c>
    </row>
    <row r="218" spans="1:8" ht="15" thickBot="1">
      <c r="A218" s="64">
        <v>45239</v>
      </c>
      <c r="B218" s="18" t="s">
        <v>2641</v>
      </c>
      <c r="C218" s="30" t="s">
        <v>2644</v>
      </c>
      <c r="D218" s="30" t="s">
        <v>2653</v>
      </c>
      <c r="E218" s="18" t="s">
        <v>2372</v>
      </c>
      <c r="F218" s="16">
        <v>3</v>
      </c>
      <c r="G218" s="16">
        <v>116.58</v>
      </c>
      <c r="H218" s="16">
        <v>349.74</v>
      </c>
    </row>
    <row r="219" spans="1:8" ht="15" thickBot="1">
      <c r="A219" s="31" t="s">
        <v>2563</v>
      </c>
      <c r="B219" s="18" t="s">
        <v>2642</v>
      </c>
      <c r="C219" s="30" t="s">
        <v>2646</v>
      </c>
      <c r="D219" s="30" t="s">
        <v>2650</v>
      </c>
      <c r="E219" s="18" t="s">
        <v>2370</v>
      </c>
      <c r="F219" s="16">
        <v>20</v>
      </c>
      <c r="G219" s="16">
        <v>4710.8500000000004</v>
      </c>
      <c r="H219" s="16">
        <v>94217</v>
      </c>
    </row>
    <row r="220" spans="1:8" ht="15" thickBot="1">
      <c r="A220" s="31" t="s">
        <v>2573</v>
      </c>
      <c r="B220" s="18" t="s">
        <v>2641</v>
      </c>
      <c r="C220" s="30" t="s">
        <v>2644</v>
      </c>
      <c r="D220" s="30" t="s">
        <v>2653</v>
      </c>
      <c r="E220" s="18" t="s">
        <v>2370</v>
      </c>
      <c r="F220" s="16">
        <v>19</v>
      </c>
      <c r="G220" s="16">
        <v>4943.6899999999996</v>
      </c>
      <c r="H220" s="16">
        <v>93930.11</v>
      </c>
    </row>
    <row r="221" spans="1:8" ht="15" thickBot="1">
      <c r="A221" s="64">
        <v>45141</v>
      </c>
      <c r="B221" s="18" t="s">
        <v>2642</v>
      </c>
      <c r="C221" s="30" t="s">
        <v>2646</v>
      </c>
      <c r="D221" s="30" t="s">
        <v>2650</v>
      </c>
      <c r="E221" s="18" t="s">
        <v>2370</v>
      </c>
      <c r="F221" s="16">
        <v>19</v>
      </c>
      <c r="G221" s="16">
        <v>4642.84</v>
      </c>
      <c r="H221" s="16">
        <v>88213.96</v>
      </c>
    </row>
    <row r="222" spans="1:8" ht="15" thickBot="1">
      <c r="A222" s="31" t="s">
        <v>2561</v>
      </c>
      <c r="B222" s="18" t="s">
        <v>2642</v>
      </c>
      <c r="C222" s="30" t="s">
        <v>2645</v>
      </c>
      <c r="D222" s="30" t="s">
        <v>2655</v>
      </c>
      <c r="E222" s="18" t="s">
        <v>2370</v>
      </c>
      <c r="F222" s="16">
        <v>18</v>
      </c>
      <c r="G222" s="16">
        <v>4450.2299999999996</v>
      </c>
      <c r="H222" s="16">
        <v>80104.14</v>
      </c>
    </row>
    <row r="223" spans="1:8" ht="15" thickBot="1">
      <c r="A223" s="64">
        <v>45211</v>
      </c>
      <c r="B223" s="18" t="s">
        <v>2642</v>
      </c>
      <c r="C223" s="30" t="s">
        <v>2645</v>
      </c>
      <c r="D223" s="30" t="s">
        <v>2649</v>
      </c>
      <c r="E223" s="18" t="s">
        <v>2370</v>
      </c>
      <c r="F223" s="16">
        <v>16</v>
      </c>
      <c r="G223" s="16">
        <v>4999.8999999999996</v>
      </c>
      <c r="H223" s="16">
        <v>79998.399999999994</v>
      </c>
    </row>
    <row r="224" spans="1:8" ht="15" thickBot="1">
      <c r="A224" s="64">
        <v>45026</v>
      </c>
      <c r="B224" s="18" t="s">
        <v>2643</v>
      </c>
      <c r="C224" s="30" t="s">
        <v>2647</v>
      </c>
      <c r="D224" s="30" t="s">
        <v>2652</v>
      </c>
      <c r="E224" s="18" t="s">
        <v>2370</v>
      </c>
      <c r="F224" s="16">
        <v>16</v>
      </c>
      <c r="G224" s="16">
        <v>4860.07</v>
      </c>
      <c r="H224" s="16">
        <v>77761.119999999995</v>
      </c>
    </row>
    <row r="225" spans="1:8" ht="15" thickBot="1">
      <c r="A225" s="64">
        <v>44967</v>
      </c>
      <c r="B225" s="18" t="s">
        <v>2642</v>
      </c>
      <c r="C225" s="30" t="s">
        <v>2645</v>
      </c>
      <c r="D225" s="30" t="s">
        <v>2655</v>
      </c>
      <c r="E225" s="18" t="s">
        <v>2370</v>
      </c>
      <c r="F225" s="16">
        <v>16</v>
      </c>
      <c r="G225" s="16">
        <v>4720.2299999999996</v>
      </c>
      <c r="H225" s="16">
        <v>75523.679999999993</v>
      </c>
    </row>
    <row r="226" spans="1:8" ht="15" thickBot="1">
      <c r="A226" s="64">
        <v>44934</v>
      </c>
      <c r="B226" s="18" t="s">
        <v>2642</v>
      </c>
      <c r="C226" s="30" t="s">
        <v>2645</v>
      </c>
      <c r="D226" s="30" t="s">
        <v>2655</v>
      </c>
      <c r="E226" s="18" t="s">
        <v>2370</v>
      </c>
      <c r="F226" s="16">
        <v>20</v>
      </c>
      <c r="G226" s="16">
        <v>3728.46</v>
      </c>
      <c r="H226" s="16">
        <v>74569.2</v>
      </c>
    </row>
    <row r="227" spans="1:8" ht="15" thickBot="1">
      <c r="A227" s="64">
        <v>45173</v>
      </c>
      <c r="B227" s="18" t="s">
        <v>2641</v>
      </c>
      <c r="C227" s="30" t="s">
        <v>2648</v>
      </c>
      <c r="D227" s="30" t="s">
        <v>2396</v>
      </c>
      <c r="E227" s="18" t="s">
        <v>2370</v>
      </c>
      <c r="F227" s="16">
        <v>18</v>
      </c>
      <c r="G227" s="16">
        <v>3982.89</v>
      </c>
      <c r="H227" s="16">
        <v>71692.02</v>
      </c>
    </row>
    <row r="228" spans="1:8" ht="15" thickBot="1">
      <c r="A228" s="31" t="s">
        <v>2533</v>
      </c>
      <c r="B228" s="18" t="s">
        <v>2641</v>
      </c>
      <c r="C228" s="30" t="s">
        <v>2644</v>
      </c>
      <c r="D228" s="30" t="s">
        <v>2392</v>
      </c>
      <c r="E228" s="18" t="s">
        <v>2370</v>
      </c>
      <c r="F228" s="16">
        <v>19</v>
      </c>
      <c r="G228" s="16">
        <v>3718.59</v>
      </c>
      <c r="H228" s="16">
        <v>70653.210000000006</v>
      </c>
    </row>
    <row r="229" spans="1:8" ht="15" thickBot="1">
      <c r="A229" s="64">
        <v>45178</v>
      </c>
      <c r="B229" s="18" t="s">
        <v>2643</v>
      </c>
      <c r="C229" s="30" t="s">
        <v>2647</v>
      </c>
      <c r="D229" s="30" t="s">
        <v>2652</v>
      </c>
      <c r="E229" s="18" t="s">
        <v>2370</v>
      </c>
      <c r="F229" s="16">
        <v>15</v>
      </c>
      <c r="G229" s="16">
        <v>4667.42</v>
      </c>
      <c r="H229" s="16">
        <v>70011.3</v>
      </c>
    </row>
    <row r="230" spans="1:8" ht="15" thickBot="1">
      <c r="A230" s="64">
        <v>45018</v>
      </c>
      <c r="B230" s="18" t="s">
        <v>2641</v>
      </c>
      <c r="C230" s="30" t="s">
        <v>2644</v>
      </c>
      <c r="D230" s="30" t="s">
        <v>2392</v>
      </c>
      <c r="E230" s="18" t="s">
        <v>2370</v>
      </c>
      <c r="F230" s="16">
        <v>17</v>
      </c>
      <c r="G230" s="16">
        <v>4100.2700000000004</v>
      </c>
      <c r="H230" s="16">
        <v>69704.59</v>
      </c>
    </row>
    <row r="231" spans="1:8" ht="15" thickBot="1">
      <c r="A231" s="31" t="s">
        <v>2576</v>
      </c>
      <c r="B231" s="18" t="s">
        <v>2643</v>
      </c>
      <c r="C231" s="30" t="s">
        <v>2647</v>
      </c>
      <c r="D231" s="30" t="s">
        <v>2660</v>
      </c>
      <c r="E231" s="18" t="s">
        <v>2370</v>
      </c>
      <c r="F231" s="16">
        <v>20</v>
      </c>
      <c r="G231" s="16">
        <v>3438.25</v>
      </c>
      <c r="H231" s="16">
        <v>68765</v>
      </c>
    </row>
    <row r="232" spans="1:8" ht="15" thickBot="1">
      <c r="A232" s="31" t="s">
        <v>2583</v>
      </c>
      <c r="B232" s="18" t="s">
        <v>2642</v>
      </c>
      <c r="C232" s="30" t="s">
        <v>2645</v>
      </c>
      <c r="D232" s="30" t="s">
        <v>2658</v>
      </c>
      <c r="E232" s="18" t="s">
        <v>2370</v>
      </c>
      <c r="F232" s="16">
        <v>14</v>
      </c>
      <c r="G232" s="16">
        <v>4894.84</v>
      </c>
      <c r="H232" s="16">
        <v>68527.759999999995</v>
      </c>
    </row>
    <row r="233" spans="1:8" ht="15" thickBot="1">
      <c r="A233" s="31" t="s">
        <v>2523</v>
      </c>
      <c r="B233" s="18" t="s">
        <v>2642</v>
      </c>
      <c r="C233" s="30" t="s">
        <v>2646</v>
      </c>
      <c r="D233" s="30" t="s">
        <v>2651</v>
      </c>
      <c r="E233" s="18" t="s">
        <v>2370</v>
      </c>
      <c r="F233" s="16">
        <v>17</v>
      </c>
      <c r="G233" s="16">
        <v>3933.92</v>
      </c>
      <c r="H233" s="16">
        <v>66876.639999999999</v>
      </c>
    </row>
    <row r="234" spans="1:8" ht="15" thickBot="1">
      <c r="A234" s="64">
        <v>45174</v>
      </c>
      <c r="B234" s="18" t="s">
        <v>2641</v>
      </c>
      <c r="C234" s="30" t="s">
        <v>2644</v>
      </c>
      <c r="D234" s="30" t="s">
        <v>2653</v>
      </c>
      <c r="E234" s="18" t="s">
        <v>2370</v>
      </c>
      <c r="F234" s="16">
        <v>19</v>
      </c>
      <c r="G234" s="16">
        <v>3374.33</v>
      </c>
      <c r="H234" s="16">
        <v>64112.27</v>
      </c>
    </row>
    <row r="235" spans="1:8" ht="15" thickBot="1">
      <c r="A235" s="31" t="s">
        <v>2530</v>
      </c>
      <c r="B235" s="18" t="s">
        <v>2641</v>
      </c>
      <c r="C235" s="30" t="s">
        <v>2648</v>
      </c>
      <c r="D235" s="30" t="s">
        <v>2396</v>
      </c>
      <c r="E235" s="18" t="s">
        <v>2370</v>
      </c>
      <c r="F235" s="16">
        <v>18</v>
      </c>
      <c r="G235" s="16">
        <v>3561.06</v>
      </c>
      <c r="H235" s="16">
        <v>64099.08</v>
      </c>
    </row>
    <row r="236" spans="1:8" ht="15" thickBot="1">
      <c r="A236" s="31" t="s">
        <v>2538</v>
      </c>
      <c r="B236" s="18" t="s">
        <v>2642</v>
      </c>
      <c r="C236" s="30" t="s">
        <v>2646</v>
      </c>
      <c r="D236" s="30" t="s">
        <v>2654</v>
      </c>
      <c r="E236" s="18" t="s">
        <v>2370</v>
      </c>
      <c r="F236" s="16">
        <v>19</v>
      </c>
      <c r="G236" s="16">
        <v>3336.46</v>
      </c>
      <c r="H236" s="16">
        <v>63392.74</v>
      </c>
    </row>
    <row r="237" spans="1:8" ht="15" thickBot="1">
      <c r="A237" s="64">
        <v>45089</v>
      </c>
      <c r="B237" s="18" t="s">
        <v>2642</v>
      </c>
      <c r="C237" s="30" t="s">
        <v>2645</v>
      </c>
      <c r="D237" s="30" t="s">
        <v>2649</v>
      </c>
      <c r="E237" s="18" t="s">
        <v>2370</v>
      </c>
      <c r="F237" s="16">
        <v>16</v>
      </c>
      <c r="G237" s="16">
        <v>3897.57</v>
      </c>
      <c r="H237" s="16">
        <v>62361.120000000003</v>
      </c>
    </row>
    <row r="238" spans="1:8" ht="15" thickBot="1">
      <c r="A238" s="31" t="s">
        <v>2446</v>
      </c>
      <c r="B238" s="18" t="s">
        <v>2641</v>
      </c>
      <c r="C238" s="30" t="s">
        <v>2644</v>
      </c>
      <c r="D238" s="30" t="s">
        <v>2392</v>
      </c>
      <c r="E238" s="18" t="s">
        <v>2370</v>
      </c>
      <c r="F238" s="16">
        <v>14</v>
      </c>
      <c r="G238" s="16">
        <v>4428</v>
      </c>
      <c r="H238" s="16">
        <v>61992</v>
      </c>
    </row>
    <row r="239" spans="1:8" ht="15" thickBot="1">
      <c r="A239" s="31" t="s">
        <v>2505</v>
      </c>
      <c r="B239" s="18" t="s">
        <v>2643</v>
      </c>
      <c r="C239" s="30" t="s">
        <v>2647</v>
      </c>
      <c r="D239" s="30" t="s">
        <v>2659</v>
      </c>
      <c r="E239" s="18" t="s">
        <v>2370</v>
      </c>
      <c r="F239" s="16">
        <v>13</v>
      </c>
      <c r="G239" s="16">
        <v>4542.74</v>
      </c>
      <c r="H239" s="16">
        <v>59055.62</v>
      </c>
    </row>
    <row r="240" spans="1:8" ht="15" thickBot="1">
      <c r="A240" s="64">
        <v>45170</v>
      </c>
      <c r="B240" s="18" t="s">
        <v>2643</v>
      </c>
      <c r="C240" s="30" t="s">
        <v>2647</v>
      </c>
      <c r="D240" s="30" t="s">
        <v>2652</v>
      </c>
      <c r="E240" s="18" t="s">
        <v>2370</v>
      </c>
      <c r="F240" s="16">
        <v>16</v>
      </c>
      <c r="G240" s="16">
        <v>3625.28</v>
      </c>
      <c r="H240" s="16">
        <v>58004.480000000003</v>
      </c>
    </row>
    <row r="241" spans="1:8" ht="15" thickBot="1">
      <c r="A241" s="31" t="s">
        <v>2603</v>
      </c>
      <c r="B241" s="18" t="s">
        <v>2642</v>
      </c>
      <c r="C241" s="30" t="s">
        <v>2646</v>
      </c>
      <c r="D241" s="30" t="s">
        <v>2654</v>
      </c>
      <c r="E241" s="18" t="s">
        <v>2370</v>
      </c>
      <c r="F241" s="16">
        <v>20</v>
      </c>
      <c r="G241" s="16">
        <v>2860.96</v>
      </c>
      <c r="H241" s="16">
        <v>57219.199999999997</v>
      </c>
    </row>
    <row r="242" spans="1:8" ht="15" thickBot="1">
      <c r="A242" s="31" t="s">
        <v>2525</v>
      </c>
      <c r="B242" s="18" t="s">
        <v>2641</v>
      </c>
      <c r="C242" s="30" t="s">
        <v>2644</v>
      </c>
      <c r="D242" s="30" t="s">
        <v>2653</v>
      </c>
      <c r="E242" s="18" t="s">
        <v>2370</v>
      </c>
      <c r="F242" s="16">
        <v>12</v>
      </c>
      <c r="G242" s="16">
        <v>4713.26</v>
      </c>
      <c r="H242" s="16">
        <v>56559.12</v>
      </c>
    </row>
    <row r="243" spans="1:8" ht="15" thickBot="1">
      <c r="A243" s="31" t="s">
        <v>2468</v>
      </c>
      <c r="B243" s="18" t="s">
        <v>2643</v>
      </c>
      <c r="C243" s="30" t="s">
        <v>2647</v>
      </c>
      <c r="D243" s="30" t="s">
        <v>2652</v>
      </c>
      <c r="E243" s="18" t="s">
        <v>2370</v>
      </c>
      <c r="F243" s="16">
        <v>13</v>
      </c>
      <c r="G243" s="16">
        <v>4339.46</v>
      </c>
      <c r="H243" s="16">
        <v>56412.98</v>
      </c>
    </row>
    <row r="244" spans="1:8" ht="15" thickBot="1">
      <c r="A244" s="31" t="s">
        <v>2624</v>
      </c>
      <c r="B244" s="18" t="s">
        <v>2642</v>
      </c>
      <c r="C244" s="30" t="s">
        <v>2645</v>
      </c>
      <c r="D244" s="30" t="s">
        <v>2658</v>
      </c>
      <c r="E244" s="18" t="s">
        <v>2370</v>
      </c>
      <c r="F244" s="16">
        <v>19</v>
      </c>
      <c r="G244" s="16">
        <v>2900.31</v>
      </c>
      <c r="H244" s="16">
        <v>55105.89</v>
      </c>
    </row>
    <row r="245" spans="1:8" ht="15" thickBot="1">
      <c r="A245" s="31" t="s">
        <v>2585</v>
      </c>
      <c r="B245" s="18" t="s">
        <v>2643</v>
      </c>
      <c r="C245" s="30" t="s">
        <v>2647</v>
      </c>
      <c r="D245" s="30" t="s">
        <v>2652</v>
      </c>
      <c r="E245" s="18" t="s">
        <v>2370</v>
      </c>
      <c r="F245" s="16">
        <v>13</v>
      </c>
      <c r="G245" s="16">
        <v>4084.32</v>
      </c>
      <c r="H245" s="16">
        <v>53096.160000000003</v>
      </c>
    </row>
    <row r="246" spans="1:8" ht="15" thickBot="1">
      <c r="A246" s="31" t="s">
        <v>2440</v>
      </c>
      <c r="B246" s="18" t="s">
        <v>2641</v>
      </c>
      <c r="C246" s="30" t="s">
        <v>2648</v>
      </c>
      <c r="D246" s="30" t="s">
        <v>2657</v>
      </c>
      <c r="E246" s="18" t="s">
        <v>2370</v>
      </c>
      <c r="F246" s="16">
        <v>13</v>
      </c>
      <c r="G246" s="16">
        <v>4076.94</v>
      </c>
      <c r="H246" s="16">
        <v>53000.22</v>
      </c>
    </row>
    <row r="247" spans="1:8" ht="15" thickBot="1">
      <c r="A247" s="31" t="s">
        <v>2445</v>
      </c>
      <c r="B247" s="18" t="s">
        <v>2641</v>
      </c>
      <c r="C247" s="30" t="s">
        <v>2644</v>
      </c>
      <c r="D247" s="30" t="s">
        <v>2393</v>
      </c>
      <c r="E247" s="18" t="s">
        <v>2370</v>
      </c>
      <c r="F247" s="16">
        <v>11</v>
      </c>
      <c r="G247" s="16">
        <v>4681.04</v>
      </c>
      <c r="H247" s="16">
        <v>51491.44</v>
      </c>
    </row>
    <row r="248" spans="1:8" ht="15" thickBot="1">
      <c r="A248" s="64">
        <v>45272</v>
      </c>
      <c r="B248" s="18" t="s">
        <v>2642</v>
      </c>
      <c r="C248" s="30" t="s">
        <v>2645</v>
      </c>
      <c r="D248" s="30" t="s">
        <v>2649</v>
      </c>
      <c r="E248" s="18" t="s">
        <v>2370</v>
      </c>
      <c r="F248" s="16">
        <v>18</v>
      </c>
      <c r="G248" s="16">
        <v>2784.49</v>
      </c>
      <c r="H248" s="16">
        <v>50120.82</v>
      </c>
    </row>
    <row r="249" spans="1:8" ht="15" thickBot="1">
      <c r="A249" s="31" t="s">
        <v>2616</v>
      </c>
      <c r="B249" s="18" t="s">
        <v>2642</v>
      </c>
      <c r="C249" s="30" t="s">
        <v>2645</v>
      </c>
      <c r="D249" s="30" t="s">
        <v>2649</v>
      </c>
      <c r="E249" s="18" t="s">
        <v>2370</v>
      </c>
      <c r="F249" s="16">
        <v>15</v>
      </c>
      <c r="G249" s="16">
        <v>3270.81</v>
      </c>
      <c r="H249" s="16">
        <v>49062.15</v>
      </c>
    </row>
    <row r="250" spans="1:8" ht="15" thickBot="1">
      <c r="A250" s="31" t="s">
        <v>2572</v>
      </c>
      <c r="B250" s="18" t="s">
        <v>2642</v>
      </c>
      <c r="C250" s="30" t="s">
        <v>2646</v>
      </c>
      <c r="D250" s="30" t="s">
        <v>2654</v>
      </c>
      <c r="E250" s="18" t="s">
        <v>2370</v>
      </c>
      <c r="F250" s="16">
        <v>20</v>
      </c>
      <c r="G250" s="16">
        <v>2446.31</v>
      </c>
      <c r="H250" s="16">
        <v>48926.2</v>
      </c>
    </row>
    <row r="251" spans="1:8" ht="15" thickBot="1">
      <c r="A251" s="31" t="s">
        <v>2471</v>
      </c>
      <c r="B251" s="18" t="s">
        <v>2643</v>
      </c>
      <c r="C251" s="30" t="s">
        <v>2647</v>
      </c>
      <c r="D251" s="30" t="s">
        <v>2660</v>
      </c>
      <c r="E251" s="18" t="s">
        <v>2370</v>
      </c>
      <c r="F251" s="16">
        <v>12</v>
      </c>
      <c r="G251" s="16">
        <v>3981.34</v>
      </c>
      <c r="H251" s="16">
        <v>47776.08</v>
      </c>
    </row>
    <row r="252" spans="1:8" ht="15" thickBot="1">
      <c r="A252" s="31" t="s">
        <v>2496</v>
      </c>
      <c r="B252" s="18" t="s">
        <v>2641</v>
      </c>
      <c r="C252" s="30" t="s">
        <v>2648</v>
      </c>
      <c r="D252" s="30" t="s">
        <v>2657</v>
      </c>
      <c r="E252" s="18" t="s">
        <v>2370</v>
      </c>
      <c r="F252" s="16">
        <v>19</v>
      </c>
      <c r="G252" s="16">
        <v>2493.0300000000002</v>
      </c>
      <c r="H252" s="16">
        <v>47367.57</v>
      </c>
    </row>
    <row r="253" spans="1:8" ht="15" thickBot="1">
      <c r="A253" s="64">
        <v>45232</v>
      </c>
      <c r="B253" s="18" t="s">
        <v>2641</v>
      </c>
      <c r="C253" s="30" t="s">
        <v>2644</v>
      </c>
      <c r="D253" s="30" t="s">
        <v>2392</v>
      </c>
      <c r="E253" s="18" t="s">
        <v>2370</v>
      </c>
      <c r="F253" s="16">
        <v>16</v>
      </c>
      <c r="G253" s="16">
        <v>2954.32</v>
      </c>
      <c r="H253" s="16">
        <v>47269.120000000003</v>
      </c>
    </row>
    <row r="254" spans="1:8" ht="15" thickBot="1">
      <c r="A254" s="31" t="s">
        <v>2543</v>
      </c>
      <c r="B254" s="18" t="s">
        <v>2642</v>
      </c>
      <c r="C254" s="30" t="s">
        <v>2646</v>
      </c>
      <c r="D254" s="30" t="s">
        <v>2654</v>
      </c>
      <c r="E254" s="18" t="s">
        <v>2370</v>
      </c>
      <c r="F254" s="16">
        <v>17</v>
      </c>
      <c r="G254" s="16">
        <v>2664.62</v>
      </c>
      <c r="H254" s="16">
        <v>45298.54</v>
      </c>
    </row>
    <row r="255" spans="1:8" ht="15" thickBot="1">
      <c r="A255" s="64">
        <v>45237</v>
      </c>
      <c r="B255" s="18" t="s">
        <v>2641</v>
      </c>
      <c r="C255" s="30" t="s">
        <v>2648</v>
      </c>
      <c r="D255" s="30" t="s">
        <v>2657</v>
      </c>
      <c r="E255" s="18" t="s">
        <v>2370</v>
      </c>
      <c r="F255" s="16">
        <v>15</v>
      </c>
      <c r="G255" s="16">
        <v>3005.08</v>
      </c>
      <c r="H255" s="16">
        <v>45076.2</v>
      </c>
    </row>
    <row r="256" spans="1:8" ht="15" thickBot="1">
      <c r="A256" s="31" t="s">
        <v>2436</v>
      </c>
      <c r="B256" s="18" t="s">
        <v>2641</v>
      </c>
      <c r="C256" s="30" t="s">
        <v>2644</v>
      </c>
      <c r="D256" s="30" t="s">
        <v>2653</v>
      </c>
      <c r="E256" s="18" t="s">
        <v>2370</v>
      </c>
      <c r="F256" s="16">
        <v>18</v>
      </c>
      <c r="G256" s="16">
        <v>2494.9499999999998</v>
      </c>
      <c r="H256" s="16">
        <v>44909.1</v>
      </c>
    </row>
    <row r="257" spans="1:8" ht="15" thickBot="1">
      <c r="A257" s="31" t="s">
        <v>2511</v>
      </c>
      <c r="B257" s="18" t="s">
        <v>2641</v>
      </c>
      <c r="C257" s="30" t="s">
        <v>2644</v>
      </c>
      <c r="D257" s="30" t="s">
        <v>2653</v>
      </c>
      <c r="E257" s="18" t="s">
        <v>2370</v>
      </c>
      <c r="F257" s="16">
        <v>9</v>
      </c>
      <c r="G257" s="16">
        <v>4953.3999999999996</v>
      </c>
      <c r="H257" s="16">
        <v>44580.6</v>
      </c>
    </row>
    <row r="258" spans="1:8" ht="15" thickBot="1">
      <c r="A258" s="64">
        <v>45267</v>
      </c>
      <c r="B258" s="18" t="s">
        <v>2641</v>
      </c>
      <c r="C258" s="30" t="s">
        <v>2644</v>
      </c>
      <c r="D258" s="30" t="s">
        <v>2392</v>
      </c>
      <c r="E258" s="18" t="s">
        <v>2370</v>
      </c>
      <c r="F258" s="16">
        <v>9</v>
      </c>
      <c r="G258" s="16">
        <v>4757.53</v>
      </c>
      <c r="H258" s="16">
        <v>42817.77</v>
      </c>
    </row>
    <row r="259" spans="1:8" ht="15" thickBot="1">
      <c r="A259" s="31" t="s">
        <v>2450</v>
      </c>
      <c r="B259" s="18" t="s">
        <v>2641</v>
      </c>
      <c r="C259" s="30" t="s">
        <v>2648</v>
      </c>
      <c r="D259" s="30" t="s">
        <v>2656</v>
      </c>
      <c r="E259" s="18" t="s">
        <v>2370</v>
      </c>
      <c r="F259" s="16">
        <v>20</v>
      </c>
      <c r="G259" s="16">
        <v>2133.5300000000002</v>
      </c>
      <c r="H259" s="16">
        <v>42670.6</v>
      </c>
    </row>
    <row r="260" spans="1:8" ht="15" thickBot="1">
      <c r="A260" s="64">
        <v>45058</v>
      </c>
      <c r="B260" s="18" t="s">
        <v>2642</v>
      </c>
      <c r="C260" s="30" t="s">
        <v>2646</v>
      </c>
      <c r="D260" s="30" t="s">
        <v>2654</v>
      </c>
      <c r="E260" s="18" t="s">
        <v>2370</v>
      </c>
      <c r="F260" s="16">
        <v>13</v>
      </c>
      <c r="G260" s="16">
        <v>3190.8</v>
      </c>
      <c r="H260" s="16">
        <v>41480.400000000001</v>
      </c>
    </row>
    <row r="261" spans="1:8" ht="15" thickBot="1">
      <c r="A261" s="64">
        <v>45201</v>
      </c>
      <c r="B261" s="18" t="s">
        <v>2641</v>
      </c>
      <c r="C261" s="30" t="s">
        <v>2648</v>
      </c>
      <c r="D261" s="30" t="s">
        <v>2657</v>
      </c>
      <c r="E261" s="18" t="s">
        <v>2370</v>
      </c>
      <c r="F261" s="16">
        <v>12</v>
      </c>
      <c r="G261" s="16">
        <v>3443.54</v>
      </c>
      <c r="H261" s="16">
        <v>41322.480000000003</v>
      </c>
    </row>
    <row r="262" spans="1:8" ht="15" thickBot="1">
      <c r="A262" s="64">
        <v>44962</v>
      </c>
      <c r="B262" s="18" t="s">
        <v>2642</v>
      </c>
      <c r="C262" s="30" t="s">
        <v>2645</v>
      </c>
      <c r="D262" s="30" t="s">
        <v>2649</v>
      </c>
      <c r="E262" s="18" t="s">
        <v>2370</v>
      </c>
      <c r="F262" s="16">
        <v>12</v>
      </c>
      <c r="G262" s="16">
        <v>3358.78</v>
      </c>
      <c r="H262" s="16">
        <v>40305.360000000001</v>
      </c>
    </row>
    <row r="263" spans="1:8" ht="15" thickBot="1">
      <c r="A263" s="31" t="s">
        <v>2522</v>
      </c>
      <c r="B263" s="18" t="s">
        <v>2643</v>
      </c>
      <c r="C263" s="30" t="s">
        <v>2647</v>
      </c>
      <c r="D263" s="30" t="s">
        <v>2652</v>
      </c>
      <c r="E263" s="18" t="s">
        <v>2370</v>
      </c>
      <c r="F263" s="16">
        <v>8</v>
      </c>
      <c r="G263" s="16">
        <v>4986.3100000000004</v>
      </c>
      <c r="H263" s="16">
        <v>39890.480000000003</v>
      </c>
    </row>
    <row r="264" spans="1:8" ht="15" thickBot="1">
      <c r="A264" s="64">
        <v>44988</v>
      </c>
      <c r="B264" s="18" t="s">
        <v>2641</v>
      </c>
      <c r="C264" s="30" t="s">
        <v>2644</v>
      </c>
      <c r="D264" s="30" t="s">
        <v>2653</v>
      </c>
      <c r="E264" s="18" t="s">
        <v>2370</v>
      </c>
      <c r="F264" s="16">
        <v>11</v>
      </c>
      <c r="G264" s="16">
        <v>3584.06</v>
      </c>
      <c r="H264" s="16">
        <v>39424.660000000003</v>
      </c>
    </row>
    <row r="265" spans="1:8" ht="15" thickBot="1">
      <c r="A265" s="31" t="s">
        <v>2563</v>
      </c>
      <c r="B265" s="18" t="s">
        <v>2643</v>
      </c>
      <c r="C265" s="30" t="s">
        <v>2647</v>
      </c>
      <c r="D265" s="30" t="s">
        <v>2652</v>
      </c>
      <c r="E265" s="18" t="s">
        <v>2370</v>
      </c>
      <c r="F265" s="16">
        <v>8</v>
      </c>
      <c r="G265" s="16">
        <v>4866.58</v>
      </c>
      <c r="H265" s="16">
        <v>38932.639999999999</v>
      </c>
    </row>
    <row r="266" spans="1:8" ht="15" thickBot="1">
      <c r="A266" s="31" t="s">
        <v>2567</v>
      </c>
      <c r="B266" s="18" t="s">
        <v>2641</v>
      </c>
      <c r="C266" s="30" t="s">
        <v>2648</v>
      </c>
      <c r="D266" s="30" t="s">
        <v>2656</v>
      </c>
      <c r="E266" s="18" t="s">
        <v>2370</v>
      </c>
      <c r="F266" s="16">
        <v>11</v>
      </c>
      <c r="G266" s="16">
        <v>3538.83</v>
      </c>
      <c r="H266" s="16">
        <v>38927.129999999997</v>
      </c>
    </row>
    <row r="267" spans="1:8" ht="15" thickBot="1">
      <c r="A267" s="31" t="s">
        <v>2554</v>
      </c>
      <c r="B267" s="18" t="s">
        <v>2641</v>
      </c>
      <c r="C267" s="30" t="s">
        <v>2644</v>
      </c>
      <c r="D267" s="30" t="s">
        <v>2392</v>
      </c>
      <c r="E267" s="18" t="s">
        <v>2370</v>
      </c>
      <c r="F267" s="16">
        <v>14</v>
      </c>
      <c r="G267" s="16">
        <v>2775.33</v>
      </c>
      <c r="H267" s="16">
        <v>38854.620000000003</v>
      </c>
    </row>
    <row r="268" spans="1:8" ht="15" thickBot="1">
      <c r="A268" s="64">
        <v>45084</v>
      </c>
      <c r="B268" s="18" t="s">
        <v>2641</v>
      </c>
      <c r="C268" s="30" t="s">
        <v>2644</v>
      </c>
      <c r="D268" s="30" t="s">
        <v>2653</v>
      </c>
      <c r="E268" s="18" t="s">
        <v>2370</v>
      </c>
      <c r="F268" s="16">
        <v>15</v>
      </c>
      <c r="G268" s="16">
        <v>2551.6</v>
      </c>
      <c r="H268" s="16">
        <v>38274</v>
      </c>
    </row>
    <row r="269" spans="1:8" ht="15" thickBot="1">
      <c r="A269" s="64">
        <v>45017</v>
      </c>
      <c r="B269" s="18" t="s">
        <v>2642</v>
      </c>
      <c r="C269" s="30" t="s">
        <v>2646</v>
      </c>
      <c r="D269" s="30" t="s">
        <v>2651</v>
      </c>
      <c r="E269" s="18" t="s">
        <v>2370</v>
      </c>
      <c r="F269" s="16">
        <v>13</v>
      </c>
      <c r="G269" s="16">
        <v>2913.56</v>
      </c>
      <c r="H269" s="16">
        <v>37876.28</v>
      </c>
    </row>
    <row r="270" spans="1:8" ht="15" thickBot="1">
      <c r="A270" s="64">
        <v>45144</v>
      </c>
      <c r="B270" s="18" t="s">
        <v>2641</v>
      </c>
      <c r="C270" s="30" t="s">
        <v>2648</v>
      </c>
      <c r="D270" s="30" t="s">
        <v>2656</v>
      </c>
      <c r="E270" s="18" t="s">
        <v>2370</v>
      </c>
      <c r="F270" s="16">
        <v>15</v>
      </c>
      <c r="G270" s="16">
        <v>2514.9499999999998</v>
      </c>
      <c r="H270" s="16">
        <v>37724.25</v>
      </c>
    </row>
    <row r="271" spans="1:8" ht="15" thickBot="1">
      <c r="A271" s="64">
        <v>45149</v>
      </c>
      <c r="B271" s="18" t="s">
        <v>2643</v>
      </c>
      <c r="C271" s="30" t="s">
        <v>2647</v>
      </c>
      <c r="D271" s="30" t="s">
        <v>2652</v>
      </c>
      <c r="E271" s="18" t="s">
        <v>2370</v>
      </c>
      <c r="F271" s="16">
        <v>17</v>
      </c>
      <c r="G271" s="16">
        <v>2216.38</v>
      </c>
      <c r="H271" s="16">
        <v>37678.46</v>
      </c>
    </row>
    <row r="272" spans="1:8" ht="15" thickBot="1">
      <c r="A272" s="31" t="s">
        <v>2622</v>
      </c>
      <c r="B272" s="18" t="s">
        <v>2641</v>
      </c>
      <c r="C272" s="30" t="s">
        <v>2644</v>
      </c>
      <c r="D272" s="30" t="s">
        <v>2392</v>
      </c>
      <c r="E272" s="18" t="s">
        <v>2370</v>
      </c>
      <c r="F272" s="16">
        <v>8</v>
      </c>
      <c r="G272" s="16">
        <v>4576.97</v>
      </c>
      <c r="H272" s="16">
        <v>36615.760000000002</v>
      </c>
    </row>
    <row r="273" spans="1:8" ht="15" thickBot="1">
      <c r="A273" s="31" t="s">
        <v>2467</v>
      </c>
      <c r="B273" s="18" t="s">
        <v>2641</v>
      </c>
      <c r="C273" s="30" t="s">
        <v>2648</v>
      </c>
      <c r="D273" s="30" t="s">
        <v>2657</v>
      </c>
      <c r="E273" s="18" t="s">
        <v>2370</v>
      </c>
      <c r="F273" s="16">
        <v>17</v>
      </c>
      <c r="G273" s="16">
        <v>2107.36</v>
      </c>
      <c r="H273" s="16">
        <v>35825.120000000003</v>
      </c>
    </row>
    <row r="274" spans="1:8" ht="15" thickBot="1">
      <c r="A274" s="31" t="s">
        <v>2493</v>
      </c>
      <c r="B274" s="18" t="s">
        <v>2642</v>
      </c>
      <c r="C274" s="30" t="s">
        <v>2645</v>
      </c>
      <c r="D274" s="30" t="s">
        <v>2658</v>
      </c>
      <c r="E274" s="18" t="s">
        <v>2370</v>
      </c>
      <c r="F274" s="16">
        <v>8</v>
      </c>
      <c r="G274" s="16">
        <v>4402.3599999999997</v>
      </c>
      <c r="H274" s="16">
        <v>35218.879999999997</v>
      </c>
    </row>
    <row r="275" spans="1:8" ht="15" thickBot="1">
      <c r="A275" s="64">
        <v>45019</v>
      </c>
      <c r="B275" s="18" t="s">
        <v>2642</v>
      </c>
      <c r="C275" s="30" t="s">
        <v>2646</v>
      </c>
      <c r="D275" s="30" t="s">
        <v>2650</v>
      </c>
      <c r="E275" s="18" t="s">
        <v>2370</v>
      </c>
      <c r="F275" s="16">
        <v>13</v>
      </c>
      <c r="G275" s="16">
        <v>2693.09</v>
      </c>
      <c r="H275" s="16">
        <v>35010.17</v>
      </c>
    </row>
    <row r="276" spans="1:8" ht="15" thickBot="1">
      <c r="A276" s="31" t="s">
        <v>2468</v>
      </c>
      <c r="B276" s="18" t="s">
        <v>2641</v>
      </c>
      <c r="C276" s="30" t="s">
        <v>2648</v>
      </c>
      <c r="D276" s="30" t="s">
        <v>2396</v>
      </c>
      <c r="E276" s="18" t="s">
        <v>2370</v>
      </c>
      <c r="F276" s="16">
        <v>19</v>
      </c>
      <c r="G276" s="16">
        <v>1809.9</v>
      </c>
      <c r="H276" s="16">
        <v>34388.1</v>
      </c>
    </row>
    <row r="277" spans="1:8" ht="15" thickBot="1">
      <c r="A277" s="64">
        <v>45053</v>
      </c>
      <c r="B277" s="18" t="s">
        <v>2643</v>
      </c>
      <c r="C277" s="30" t="s">
        <v>2647</v>
      </c>
      <c r="D277" s="30" t="s">
        <v>2652</v>
      </c>
      <c r="E277" s="18" t="s">
        <v>2370</v>
      </c>
      <c r="F277" s="16">
        <v>10</v>
      </c>
      <c r="G277" s="16">
        <v>3411.13</v>
      </c>
      <c r="H277" s="16">
        <v>34111.300000000003</v>
      </c>
    </row>
    <row r="278" spans="1:8" ht="15" thickBot="1">
      <c r="A278" s="31" t="s">
        <v>2617</v>
      </c>
      <c r="B278" s="18" t="s">
        <v>2641</v>
      </c>
      <c r="C278" s="30" t="s">
        <v>2648</v>
      </c>
      <c r="D278" s="30" t="s">
        <v>2657</v>
      </c>
      <c r="E278" s="18" t="s">
        <v>2370</v>
      </c>
      <c r="F278" s="16">
        <v>8</v>
      </c>
      <c r="G278" s="16">
        <v>4197.6400000000003</v>
      </c>
      <c r="H278" s="16">
        <v>33581.120000000003</v>
      </c>
    </row>
    <row r="279" spans="1:8" ht="15" thickBot="1">
      <c r="A279" s="31" t="s">
        <v>2461</v>
      </c>
      <c r="B279" s="18" t="s">
        <v>2642</v>
      </c>
      <c r="C279" s="30" t="s">
        <v>2646</v>
      </c>
      <c r="D279" s="30" t="s">
        <v>2651</v>
      </c>
      <c r="E279" s="18" t="s">
        <v>2370</v>
      </c>
      <c r="F279" s="16">
        <v>9</v>
      </c>
      <c r="G279" s="16">
        <v>3643.26</v>
      </c>
      <c r="H279" s="16">
        <v>32789.339999999997</v>
      </c>
    </row>
    <row r="280" spans="1:8" ht="15" thickBot="1">
      <c r="A280" s="64">
        <v>45265</v>
      </c>
      <c r="B280" s="18" t="s">
        <v>2642</v>
      </c>
      <c r="C280" s="30" t="s">
        <v>2646</v>
      </c>
      <c r="D280" s="30" t="s">
        <v>2651</v>
      </c>
      <c r="E280" s="18" t="s">
        <v>2370</v>
      </c>
      <c r="F280" s="16">
        <v>11</v>
      </c>
      <c r="G280" s="16">
        <v>2852.22</v>
      </c>
      <c r="H280" s="16">
        <v>31374.42</v>
      </c>
    </row>
    <row r="281" spans="1:8" ht="15" thickBot="1">
      <c r="A281" s="64">
        <v>45174</v>
      </c>
      <c r="B281" s="18" t="s">
        <v>2643</v>
      </c>
      <c r="C281" s="30" t="s">
        <v>2647</v>
      </c>
      <c r="D281" s="30" t="s">
        <v>2659</v>
      </c>
      <c r="E281" s="18" t="s">
        <v>2370</v>
      </c>
      <c r="F281" s="16">
        <v>12</v>
      </c>
      <c r="G281" s="16">
        <v>2581.09</v>
      </c>
      <c r="H281" s="16">
        <v>30973.08</v>
      </c>
    </row>
    <row r="282" spans="1:8" ht="15" thickBot="1">
      <c r="A282" s="31" t="s">
        <v>2473</v>
      </c>
      <c r="B282" s="18" t="s">
        <v>2642</v>
      </c>
      <c r="C282" s="30" t="s">
        <v>2645</v>
      </c>
      <c r="D282" s="30" t="s">
        <v>2655</v>
      </c>
      <c r="E282" s="18" t="s">
        <v>2370</v>
      </c>
      <c r="F282" s="16">
        <v>11</v>
      </c>
      <c r="G282" s="16">
        <v>2677.03</v>
      </c>
      <c r="H282" s="16">
        <v>29447.33</v>
      </c>
    </row>
    <row r="283" spans="1:8" ht="15" thickBot="1">
      <c r="A283" s="64">
        <v>45117</v>
      </c>
      <c r="B283" s="18" t="s">
        <v>2642</v>
      </c>
      <c r="C283" s="30" t="s">
        <v>2645</v>
      </c>
      <c r="D283" s="30" t="s">
        <v>2658</v>
      </c>
      <c r="E283" s="18" t="s">
        <v>2370</v>
      </c>
      <c r="F283" s="16">
        <v>13</v>
      </c>
      <c r="G283" s="16">
        <v>2238.96</v>
      </c>
      <c r="H283" s="16">
        <v>29106.48</v>
      </c>
    </row>
    <row r="284" spans="1:8" ht="15" thickBot="1">
      <c r="A284" s="31" t="s">
        <v>2578</v>
      </c>
      <c r="B284" s="18" t="s">
        <v>2641</v>
      </c>
      <c r="C284" s="30" t="s">
        <v>2644</v>
      </c>
      <c r="D284" s="30" t="s">
        <v>2653</v>
      </c>
      <c r="E284" s="18" t="s">
        <v>2370</v>
      </c>
      <c r="F284" s="16">
        <v>8</v>
      </c>
      <c r="G284" s="16">
        <v>3615.06</v>
      </c>
      <c r="H284" s="16">
        <v>28920.48</v>
      </c>
    </row>
    <row r="285" spans="1:8" ht="15" thickBot="1">
      <c r="A285" s="31" t="s">
        <v>2491</v>
      </c>
      <c r="B285" s="18" t="s">
        <v>2643</v>
      </c>
      <c r="C285" s="30" t="s">
        <v>2647</v>
      </c>
      <c r="D285" s="30" t="s">
        <v>2660</v>
      </c>
      <c r="E285" s="18" t="s">
        <v>2370</v>
      </c>
      <c r="F285" s="16">
        <v>18</v>
      </c>
      <c r="G285" s="16">
        <v>1601.74</v>
      </c>
      <c r="H285" s="16">
        <v>28831.32</v>
      </c>
    </row>
    <row r="286" spans="1:8" ht="15" thickBot="1">
      <c r="A286" s="31" t="s">
        <v>2453</v>
      </c>
      <c r="B286" s="18" t="s">
        <v>2641</v>
      </c>
      <c r="C286" s="30" t="s">
        <v>2648</v>
      </c>
      <c r="D286" s="30" t="s">
        <v>2656</v>
      </c>
      <c r="E286" s="18" t="s">
        <v>2370</v>
      </c>
      <c r="F286" s="16">
        <v>12</v>
      </c>
      <c r="G286" s="16">
        <v>2384.1</v>
      </c>
      <c r="H286" s="16">
        <v>28609.200000000001</v>
      </c>
    </row>
    <row r="287" spans="1:8" ht="15" thickBot="1">
      <c r="A287" s="31" t="s">
        <v>2507</v>
      </c>
      <c r="B287" s="18" t="s">
        <v>2641</v>
      </c>
      <c r="C287" s="30" t="s">
        <v>2648</v>
      </c>
      <c r="D287" s="30" t="s">
        <v>2396</v>
      </c>
      <c r="E287" s="18" t="s">
        <v>2370</v>
      </c>
      <c r="F287" s="16">
        <v>13</v>
      </c>
      <c r="G287" s="16">
        <v>2163.4</v>
      </c>
      <c r="H287" s="16">
        <v>28124.2</v>
      </c>
    </row>
    <row r="288" spans="1:8" ht="15" thickBot="1">
      <c r="A288" s="64">
        <v>45200</v>
      </c>
      <c r="B288" s="18" t="s">
        <v>2642</v>
      </c>
      <c r="C288" s="30" t="s">
        <v>2646</v>
      </c>
      <c r="D288" s="30" t="s">
        <v>2651</v>
      </c>
      <c r="E288" s="18" t="s">
        <v>2370</v>
      </c>
      <c r="F288" s="16">
        <v>11</v>
      </c>
      <c r="G288" s="16">
        <v>2491.8000000000002</v>
      </c>
      <c r="H288" s="16">
        <v>27409.8</v>
      </c>
    </row>
    <row r="289" spans="1:8" ht="15" thickBot="1">
      <c r="A289" s="64">
        <v>45142</v>
      </c>
      <c r="B289" s="18" t="s">
        <v>2641</v>
      </c>
      <c r="C289" s="30" t="s">
        <v>2648</v>
      </c>
      <c r="D289" s="30" t="s">
        <v>2657</v>
      </c>
      <c r="E289" s="18" t="s">
        <v>2370</v>
      </c>
      <c r="F289" s="16">
        <v>6</v>
      </c>
      <c r="G289" s="16">
        <v>4541.92</v>
      </c>
      <c r="H289" s="16">
        <v>27251.52</v>
      </c>
    </row>
    <row r="290" spans="1:8" ht="15" thickBot="1">
      <c r="A290" s="64">
        <v>45178</v>
      </c>
      <c r="B290" s="18" t="s">
        <v>2641</v>
      </c>
      <c r="C290" s="30" t="s">
        <v>2644</v>
      </c>
      <c r="D290" s="30" t="s">
        <v>2653</v>
      </c>
      <c r="E290" s="18" t="s">
        <v>2370</v>
      </c>
      <c r="F290" s="16">
        <v>15</v>
      </c>
      <c r="G290" s="16">
        <v>1790.03</v>
      </c>
      <c r="H290" s="16">
        <v>26850.45</v>
      </c>
    </row>
    <row r="291" spans="1:8" ht="15" thickBot="1">
      <c r="A291" s="64">
        <v>45084</v>
      </c>
      <c r="B291" s="18" t="s">
        <v>2641</v>
      </c>
      <c r="C291" s="30" t="s">
        <v>2648</v>
      </c>
      <c r="D291" s="30" t="s">
        <v>2396</v>
      </c>
      <c r="E291" s="18" t="s">
        <v>2370</v>
      </c>
      <c r="F291" s="16">
        <v>6</v>
      </c>
      <c r="G291" s="16">
        <v>4265.8599999999997</v>
      </c>
      <c r="H291" s="16">
        <v>25595.16</v>
      </c>
    </row>
    <row r="292" spans="1:8" ht="15" thickBot="1">
      <c r="A292" s="31" t="s">
        <v>2593</v>
      </c>
      <c r="B292" s="18" t="s">
        <v>2641</v>
      </c>
      <c r="C292" s="30" t="s">
        <v>2644</v>
      </c>
      <c r="D292" s="30" t="s">
        <v>2653</v>
      </c>
      <c r="E292" s="18" t="s">
        <v>2370</v>
      </c>
      <c r="F292" s="16">
        <v>20</v>
      </c>
      <c r="G292" s="16">
        <v>1260.25</v>
      </c>
      <c r="H292" s="16">
        <v>25205</v>
      </c>
    </row>
    <row r="293" spans="1:8" ht="15" thickBot="1">
      <c r="A293" s="31" t="s">
        <v>2546</v>
      </c>
      <c r="B293" s="18" t="s">
        <v>2641</v>
      </c>
      <c r="C293" s="30" t="s">
        <v>2644</v>
      </c>
      <c r="D293" s="30" t="s">
        <v>2653</v>
      </c>
      <c r="E293" s="18" t="s">
        <v>2370</v>
      </c>
      <c r="F293" s="16">
        <v>17</v>
      </c>
      <c r="G293" s="16">
        <v>1457.07</v>
      </c>
      <c r="H293" s="16">
        <v>24770.19</v>
      </c>
    </row>
    <row r="294" spans="1:8" ht="15" thickBot="1">
      <c r="A294" s="64">
        <v>45149</v>
      </c>
      <c r="B294" s="18" t="s">
        <v>2643</v>
      </c>
      <c r="C294" s="30" t="s">
        <v>2647</v>
      </c>
      <c r="D294" s="30" t="s">
        <v>2652</v>
      </c>
      <c r="E294" s="18" t="s">
        <v>2370</v>
      </c>
      <c r="F294" s="16">
        <v>15</v>
      </c>
      <c r="G294" s="16">
        <v>1543.85</v>
      </c>
      <c r="H294" s="16">
        <v>23157.75</v>
      </c>
    </row>
    <row r="295" spans="1:8" ht="15" thickBot="1">
      <c r="A295" s="31" t="s">
        <v>2520</v>
      </c>
      <c r="B295" s="18" t="s">
        <v>2642</v>
      </c>
      <c r="C295" s="30" t="s">
        <v>2646</v>
      </c>
      <c r="D295" s="30" t="s">
        <v>2650</v>
      </c>
      <c r="E295" s="18" t="s">
        <v>2370</v>
      </c>
      <c r="F295" s="16">
        <v>18</v>
      </c>
      <c r="G295" s="16">
        <v>1279.4100000000001</v>
      </c>
      <c r="H295" s="16">
        <v>23029.38</v>
      </c>
    </row>
    <row r="296" spans="1:8" ht="15" thickBot="1">
      <c r="A296" s="31" t="s">
        <v>2497</v>
      </c>
      <c r="B296" s="18" t="s">
        <v>2641</v>
      </c>
      <c r="C296" s="30" t="s">
        <v>2648</v>
      </c>
      <c r="D296" s="30" t="s">
        <v>2656</v>
      </c>
      <c r="E296" s="18" t="s">
        <v>2370</v>
      </c>
      <c r="F296" s="16">
        <v>13</v>
      </c>
      <c r="G296" s="16">
        <v>1753.48</v>
      </c>
      <c r="H296" s="16">
        <v>22795.24</v>
      </c>
    </row>
    <row r="297" spans="1:8" ht="15" thickBot="1">
      <c r="A297" s="64">
        <v>45267</v>
      </c>
      <c r="B297" s="18" t="s">
        <v>2642</v>
      </c>
      <c r="C297" s="30" t="s">
        <v>2646</v>
      </c>
      <c r="D297" s="30" t="s">
        <v>2651</v>
      </c>
      <c r="E297" s="18" t="s">
        <v>2370</v>
      </c>
      <c r="F297" s="16">
        <v>9</v>
      </c>
      <c r="G297" s="16">
        <v>2427.88</v>
      </c>
      <c r="H297" s="16">
        <v>21850.92</v>
      </c>
    </row>
    <row r="298" spans="1:8" ht="15" thickBot="1">
      <c r="A298" s="31" t="s">
        <v>2581</v>
      </c>
      <c r="B298" s="18" t="s">
        <v>2642</v>
      </c>
      <c r="C298" s="30" t="s">
        <v>2646</v>
      </c>
      <c r="D298" s="30" t="s">
        <v>2654</v>
      </c>
      <c r="E298" s="18" t="s">
        <v>2370</v>
      </c>
      <c r="F298" s="16">
        <v>13</v>
      </c>
      <c r="G298" s="16">
        <v>1647.87</v>
      </c>
      <c r="H298" s="16">
        <v>21422.31</v>
      </c>
    </row>
    <row r="299" spans="1:8" ht="15" thickBot="1">
      <c r="A299" s="64">
        <v>45176</v>
      </c>
      <c r="B299" s="18" t="s">
        <v>2641</v>
      </c>
      <c r="C299" s="30" t="s">
        <v>2644</v>
      </c>
      <c r="D299" s="30" t="s">
        <v>2393</v>
      </c>
      <c r="E299" s="18" t="s">
        <v>2370</v>
      </c>
      <c r="F299" s="16">
        <v>18</v>
      </c>
      <c r="G299" s="16">
        <v>1177.8</v>
      </c>
      <c r="H299" s="16">
        <v>21200.400000000001</v>
      </c>
    </row>
    <row r="300" spans="1:8" ht="15" thickBot="1">
      <c r="A300" s="64">
        <v>45206</v>
      </c>
      <c r="B300" s="18" t="s">
        <v>2643</v>
      </c>
      <c r="C300" s="30" t="s">
        <v>2647</v>
      </c>
      <c r="D300" s="30" t="s">
        <v>2652</v>
      </c>
      <c r="E300" s="18" t="s">
        <v>2370</v>
      </c>
      <c r="F300" s="16">
        <v>8</v>
      </c>
      <c r="G300" s="16">
        <v>2606.36</v>
      </c>
      <c r="H300" s="16">
        <v>20850.88</v>
      </c>
    </row>
    <row r="301" spans="1:8" ht="15" thickBot="1">
      <c r="A301" s="64">
        <v>44994</v>
      </c>
      <c r="B301" s="18" t="s">
        <v>2643</v>
      </c>
      <c r="C301" s="30" t="s">
        <v>2647</v>
      </c>
      <c r="D301" s="30" t="s">
        <v>2660</v>
      </c>
      <c r="E301" s="18" t="s">
        <v>2370</v>
      </c>
      <c r="F301" s="16">
        <v>5</v>
      </c>
      <c r="G301" s="16">
        <v>4165.41</v>
      </c>
      <c r="H301" s="16">
        <v>20827.05</v>
      </c>
    </row>
    <row r="302" spans="1:8" ht="15" thickBot="1">
      <c r="A302" s="64">
        <v>44995</v>
      </c>
      <c r="B302" s="18" t="s">
        <v>2642</v>
      </c>
      <c r="C302" s="30" t="s">
        <v>2645</v>
      </c>
      <c r="D302" s="30" t="s">
        <v>2649</v>
      </c>
      <c r="E302" s="18" t="s">
        <v>2370</v>
      </c>
      <c r="F302" s="16">
        <v>17</v>
      </c>
      <c r="G302" s="16">
        <v>1194.33</v>
      </c>
      <c r="H302" s="16">
        <v>20303.61</v>
      </c>
    </row>
    <row r="303" spans="1:8" ht="15" thickBot="1">
      <c r="A303" s="64">
        <v>44959</v>
      </c>
      <c r="B303" s="18" t="s">
        <v>2641</v>
      </c>
      <c r="C303" s="30" t="s">
        <v>2648</v>
      </c>
      <c r="D303" s="30" t="s">
        <v>2396</v>
      </c>
      <c r="E303" s="18" t="s">
        <v>2370</v>
      </c>
      <c r="F303" s="16">
        <v>6</v>
      </c>
      <c r="G303" s="16">
        <v>3350.51</v>
      </c>
      <c r="H303" s="16">
        <v>20103.060000000001</v>
      </c>
    </row>
    <row r="304" spans="1:8" ht="15" thickBot="1">
      <c r="A304" s="31" t="s">
        <v>2473</v>
      </c>
      <c r="B304" s="18" t="s">
        <v>2643</v>
      </c>
      <c r="C304" s="30" t="s">
        <v>2647</v>
      </c>
      <c r="D304" s="30" t="s">
        <v>2660</v>
      </c>
      <c r="E304" s="18" t="s">
        <v>2370</v>
      </c>
      <c r="F304" s="16">
        <v>12</v>
      </c>
      <c r="G304" s="16">
        <v>1673.01</v>
      </c>
      <c r="H304" s="16">
        <v>20076.12</v>
      </c>
    </row>
    <row r="305" spans="1:8" ht="15" thickBot="1">
      <c r="A305" s="31" t="s">
        <v>2479</v>
      </c>
      <c r="B305" s="18" t="s">
        <v>2641</v>
      </c>
      <c r="C305" s="30" t="s">
        <v>2648</v>
      </c>
      <c r="D305" s="30" t="s">
        <v>2396</v>
      </c>
      <c r="E305" s="18" t="s">
        <v>2370</v>
      </c>
      <c r="F305" s="16">
        <v>11</v>
      </c>
      <c r="G305" s="16">
        <v>1798.54</v>
      </c>
      <c r="H305" s="16">
        <v>19783.939999999999</v>
      </c>
    </row>
    <row r="306" spans="1:8" ht="15" thickBot="1">
      <c r="A306" s="31" t="s">
        <v>2591</v>
      </c>
      <c r="B306" s="18" t="s">
        <v>2642</v>
      </c>
      <c r="C306" s="30" t="s">
        <v>2646</v>
      </c>
      <c r="D306" s="30" t="s">
        <v>2654</v>
      </c>
      <c r="E306" s="18" t="s">
        <v>2370</v>
      </c>
      <c r="F306" s="16">
        <v>4</v>
      </c>
      <c r="G306" s="16">
        <v>4782.74</v>
      </c>
      <c r="H306" s="16">
        <v>19130.96</v>
      </c>
    </row>
    <row r="307" spans="1:8" ht="15" thickBot="1">
      <c r="A307" s="31" t="s">
        <v>2555</v>
      </c>
      <c r="B307" s="18" t="s">
        <v>2643</v>
      </c>
      <c r="C307" s="30" t="s">
        <v>2647</v>
      </c>
      <c r="D307" s="30" t="s">
        <v>2652</v>
      </c>
      <c r="E307" s="18" t="s">
        <v>2370</v>
      </c>
      <c r="F307" s="16">
        <v>16</v>
      </c>
      <c r="G307" s="16">
        <v>1192.3800000000001</v>
      </c>
      <c r="H307" s="16">
        <v>19078.080000000002</v>
      </c>
    </row>
    <row r="308" spans="1:8" ht="15" thickBot="1">
      <c r="A308" s="64">
        <v>45203</v>
      </c>
      <c r="B308" s="18" t="s">
        <v>2641</v>
      </c>
      <c r="C308" s="30" t="s">
        <v>2644</v>
      </c>
      <c r="D308" s="30" t="s">
        <v>2392</v>
      </c>
      <c r="E308" s="18" t="s">
        <v>2370</v>
      </c>
      <c r="F308" s="16">
        <v>11</v>
      </c>
      <c r="G308" s="16">
        <v>1708.99</v>
      </c>
      <c r="H308" s="16">
        <v>18798.89</v>
      </c>
    </row>
    <row r="309" spans="1:8" ht="15" thickBot="1">
      <c r="A309" s="31" t="s">
        <v>2582</v>
      </c>
      <c r="B309" s="18" t="s">
        <v>2642</v>
      </c>
      <c r="C309" s="30" t="s">
        <v>2646</v>
      </c>
      <c r="D309" s="30" t="s">
        <v>2650</v>
      </c>
      <c r="E309" s="18" t="s">
        <v>2370</v>
      </c>
      <c r="F309" s="16">
        <v>14</v>
      </c>
      <c r="G309" s="16">
        <v>1293.27</v>
      </c>
      <c r="H309" s="16">
        <v>18105.78</v>
      </c>
    </row>
    <row r="310" spans="1:8" ht="15" thickBot="1">
      <c r="A310" s="31" t="s">
        <v>2525</v>
      </c>
      <c r="B310" s="18" t="s">
        <v>2641</v>
      </c>
      <c r="C310" s="30" t="s">
        <v>2648</v>
      </c>
      <c r="D310" s="30" t="s">
        <v>2396</v>
      </c>
      <c r="E310" s="18" t="s">
        <v>2370</v>
      </c>
      <c r="F310" s="16">
        <v>5</v>
      </c>
      <c r="G310" s="16">
        <v>3619.58</v>
      </c>
      <c r="H310" s="16">
        <v>18097.900000000001</v>
      </c>
    </row>
    <row r="311" spans="1:8" ht="15" thickBot="1">
      <c r="A311" s="31" t="s">
        <v>2519</v>
      </c>
      <c r="B311" s="18" t="s">
        <v>2641</v>
      </c>
      <c r="C311" s="30" t="s">
        <v>2648</v>
      </c>
      <c r="D311" s="30" t="s">
        <v>2656</v>
      </c>
      <c r="E311" s="18" t="s">
        <v>2370</v>
      </c>
      <c r="F311" s="16">
        <v>14</v>
      </c>
      <c r="G311" s="16">
        <v>1215.6199999999999</v>
      </c>
      <c r="H311" s="16">
        <v>17018.68</v>
      </c>
    </row>
    <row r="312" spans="1:8" ht="15" thickBot="1">
      <c r="A312" s="31" t="s">
        <v>2461</v>
      </c>
      <c r="B312" s="18" t="s">
        <v>2641</v>
      </c>
      <c r="C312" s="30" t="s">
        <v>2644</v>
      </c>
      <c r="D312" s="30" t="s">
        <v>2392</v>
      </c>
      <c r="E312" s="18" t="s">
        <v>2370</v>
      </c>
      <c r="F312" s="16">
        <v>15</v>
      </c>
      <c r="G312" s="16">
        <v>1113.76</v>
      </c>
      <c r="H312" s="16">
        <v>16706.400000000001</v>
      </c>
    </row>
    <row r="313" spans="1:8" ht="15" thickBot="1">
      <c r="A313" s="31" t="s">
        <v>2545</v>
      </c>
      <c r="B313" s="18" t="s">
        <v>2643</v>
      </c>
      <c r="C313" s="30" t="s">
        <v>2647</v>
      </c>
      <c r="D313" s="30" t="s">
        <v>2652</v>
      </c>
      <c r="E313" s="18" t="s">
        <v>2370</v>
      </c>
      <c r="F313" s="16">
        <v>8</v>
      </c>
      <c r="G313" s="16">
        <v>2019.04</v>
      </c>
      <c r="H313" s="16">
        <v>16152.32</v>
      </c>
    </row>
    <row r="314" spans="1:8" ht="15" thickBot="1">
      <c r="A314" s="31" t="s">
        <v>2460</v>
      </c>
      <c r="B314" s="18" t="s">
        <v>2641</v>
      </c>
      <c r="C314" s="30" t="s">
        <v>2644</v>
      </c>
      <c r="D314" s="30" t="s">
        <v>2653</v>
      </c>
      <c r="E314" s="18" t="s">
        <v>2370</v>
      </c>
      <c r="F314" s="16">
        <v>12</v>
      </c>
      <c r="G314" s="16">
        <v>1333.81</v>
      </c>
      <c r="H314" s="16">
        <v>16005.72</v>
      </c>
    </row>
    <row r="315" spans="1:8" ht="15" thickBot="1">
      <c r="A315" s="64">
        <v>44965</v>
      </c>
      <c r="B315" s="18" t="s">
        <v>2642</v>
      </c>
      <c r="C315" s="30" t="s">
        <v>2646</v>
      </c>
      <c r="D315" s="30" t="s">
        <v>2651</v>
      </c>
      <c r="E315" s="18" t="s">
        <v>2370</v>
      </c>
      <c r="F315" s="16">
        <v>13</v>
      </c>
      <c r="G315" s="16">
        <v>1220.76</v>
      </c>
      <c r="H315" s="16">
        <v>15869.88</v>
      </c>
    </row>
    <row r="316" spans="1:8" ht="15" thickBot="1">
      <c r="A316" s="64">
        <v>44929</v>
      </c>
      <c r="B316" s="18" t="s">
        <v>2641</v>
      </c>
      <c r="C316" s="30" t="s">
        <v>2648</v>
      </c>
      <c r="D316" s="30" t="s">
        <v>2657</v>
      </c>
      <c r="E316" s="18" t="s">
        <v>2370</v>
      </c>
      <c r="F316" s="16">
        <v>6</v>
      </c>
      <c r="G316" s="16">
        <v>2609.65</v>
      </c>
      <c r="H316" s="16">
        <v>15657.9</v>
      </c>
    </row>
    <row r="317" spans="1:8" ht="15" thickBot="1">
      <c r="A317" s="64">
        <v>45085</v>
      </c>
      <c r="B317" s="18" t="s">
        <v>2643</v>
      </c>
      <c r="C317" s="30" t="s">
        <v>2647</v>
      </c>
      <c r="D317" s="30" t="s">
        <v>2659</v>
      </c>
      <c r="E317" s="18" t="s">
        <v>2370</v>
      </c>
      <c r="F317" s="16">
        <v>12</v>
      </c>
      <c r="G317" s="16">
        <v>1304.81</v>
      </c>
      <c r="H317" s="16">
        <v>15657.72</v>
      </c>
    </row>
    <row r="318" spans="1:8" ht="15" thickBot="1">
      <c r="A318" s="64">
        <v>45055</v>
      </c>
      <c r="B318" s="18" t="s">
        <v>2642</v>
      </c>
      <c r="C318" s="30" t="s">
        <v>2646</v>
      </c>
      <c r="D318" s="30" t="s">
        <v>2654</v>
      </c>
      <c r="E318" s="18" t="s">
        <v>2370</v>
      </c>
      <c r="F318" s="16">
        <v>20</v>
      </c>
      <c r="G318" s="16">
        <v>774.07</v>
      </c>
      <c r="H318" s="16">
        <v>15481.4</v>
      </c>
    </row>
    <row r="319" spans="1:8" ht="15" thickBot="1">
      <c r="A319" s="31" t="s">
        <v>2471</v>
      </c>
      <c r="B319" s="18" t="s">
        <v>2641</v>
      </c>
      <c r="C319" s="30" t="s">
        <v>2648</v>
      </c>
      <c r="D319" s="30" t="s">
        <v>2656</v>
      </c>
      <c r="E319" s="18" t="s">
        <v>2370</v>
      </c>
      <c r="F319" s="16">
        <v>8</v>
      </c>
      <c r="G319" s="16">
        <v>1916.14</v>
      </c>
      <c r="H319" s="16">
        <v>15329.12</v>
      </c>
    </row>
    <row r="320" spans="1:8" ht="15" thickBot="1">
      <c r="A320" s="64">
        <v>45147</v>
      </c>
      <c r="B320" s="18" t="s">
        <v>2641</v>
      </c>
      <c r="C320" s="30" t="s">
        <v>2644</v>
      </c>
      <c r="D320" s="30" t="s">
        <v>2392</v>
      </c>
      <c r="E320" s="18" t="s">
        <v>2370</v>
      </c>
      <c r="F320" s="16">
        <v>4</v>
      </c>
      <c r="G320" s="16">
        <v>3725.78</v>
      </c>
      <c r="H320" s="16">
        <v>14903.12</v>
      </c>
    </row>
    <row r="321" spans="1:8" ht="15" thickBot="1">
      <c r="A321" s="31" t="s">
        <v>2565</v>
      </c>
      <c r="B321" s="18" t="s">
        <v>2641</v>
      </c>
      <c r="C321" s="30" t="s">
        <v>2648</v>
      </c>
      <c r="D321" s="30" t="s">
        <v>2656</v>
      </c>
      <c r="E321" s="18" t="s">
        <v>2370</v>
      </c>
      <c r="F321" s="16">
        <v>4</v>
      </c>
      <c r="G321" s="16">
        <v>3561.12</v>
      </c>
      <c r="H321" s="16">
        <v>14244.48</v>
      </c>
    </row>
    <row r="322" spans="1:8" ht="15" thickBot="1">
      <c r="A322" s="31" t="s">
        <v>2543</v>
      </c>
      <c r="B322" s="18" t="s">
        <v>2643</v>
      </c>
      <c r="C322" s="30" t="s">
        <v>2647</v>
      </c>
      <c r="D322" s="30" t="s">
        <v>2652</v>
      </c>
      <c r="E322" s="18" t="s">
        <v>2370</v>
      </c>
      <c r="F322" s="16">
        <v>3</v>
      </c>
      <c r="G322" s="16">
        <v>4608.8900000000003</v>
      </c>
      <c r="H322" s="16">
        <v>13826.67</v>
      </c>
    </row>
    <row r="323" spans="1:8" ht="15" thickBot="1">
      <c r="A323" s="31" t="s">
        <v>2580</v>
      </c>
      <c r="B323" s="18" t="s">
        <v>2642</v>
      </c>
      <c r="C323" s="30" t="s">
        <v>2645</v>
      </c>
      <c r="D323" s="30" t="s">
        <v>2655</v>
      </c>
      <c r="E323" s="18" t="s">
        <v>2370</v>
      </c>
      <c r="F323" s="16">
        <v>12</v>
      </c>
      <c r="G323" s="16">
        <v>1104.74</v>
      </c>
      <c r="H323" s="16">
        <v>13256.88</v>
      </c>
    </row>
    <row r="324" spans="1:8" ht="15" thickBot="1">
      <c r="A324" s="64">
        <v>45025</v>
      </c>
      <c r="B324" s="18" t="s">
        <v>2642</v>
      </c>
      <c r="C324" s="30" t="s">
        <v>2645</v>
      </c>
      <c r="D324" s="30" t="s">
        <v>2649</v>
      </c>
      <c r="E324" s="18" t="s">
        <v>2370</v>
      </c>
      <c r="F324" s="16">
        <v>11</v>
      </c>
      <c r="G324" s="16">
        <v>1169.3</v>
      </c>
      <c r="H324" s="16">
        <v>12862.3</v>
      </c>
    </row>
    <row r="325" spans="1:8" ht="15" thickBot="1">
      <c r="A325" s="31" t="s">
        <v>2524</v>
      </c>
      <c r="B325" s="18" t="s">
        <v>2641</v>
      </c>
      <c r="C325" s="30" t="s">
        <v>2648</v>
      </c>
      <c r="D325" s="30" t="s">
        <v>2656</v>
      </c>
      <c r="E325" s="18" t="s">
        <v>2370</v>
      </c>
      <c r="F325" s="16">
        <v>16</v>
      </c>
      <c r="G325" s="16">
        <v>796.69</v>
      </c>
      <c r="H325" s="16">
        <v>12747.04</v>
      </c>
    </row>
    <row r="326" spans="1:8" ht="15" thickBot="1">
      <c r="A326" s="64">
        <v>45078</v>
      </c>
      <c r="B326" s="18" t="s">
        <v>2642</v>
      </c>
      <c r="C326" s="30" t="s">
        <v>2645</v>
      </c>
      <c r="D326" s="30" t="s">
        <v>2655</v>
      </c>
      <c r="E326" s="18" t="s">
        <v>2370</v>
      </c>
      <c r="F326" s="16">
        <v>12</v>
      </c>
      <c r="G326" s="16">
        <v>1061.49</v>
      </c>
      <c r="H326" s="16">
        <v>12737.88</v>
      </c>
    </row>
    <row r="327" spans="1:8" ht="15" thickBot="1">
      <c r="A327" s="64">
        <v>45202</v>
      </c>
      <c r="B327" s="18" t="s">
        <v>2643</v>
      </c>
      <c r="C327" s="30" t="s">
        <v>2647</v>
      </c>
      <c r="D327" s="30" t="s">
        <v>2652</v>
      </c>
      <c r="E327" s="18" t="s">
        <v>2370</v>
      </c>
      <c r="F327" s="16">
        <v>3</v>
      </c>
      <c r="G327" s="16">
        <v>4229.84</v>
      </c>
      <c r="H327" s="16">
        <v>12689.52</v>
      </c>
    </row>
    <row r="328" spans="1:8" ht="15" thickBot="1">
      <c r="A328" s="64">
        <v>45203</v>
      </c>
      <c r="B328" s="18" t="s">
        <v>2643</v>
      </c>
      <c r="C328" s="30" t="s">
        <v>2647</v>
      </c>
      <c r="D328" s="30" t="s">
        <v>2652</v>
      </c>
      <c r="E328" s="18" t="s">
        <v>2370</v>
      </c>
      <c r="F328" s="16">
        <v>3</v>
      </c>
      <c r="G328" s="16">
        <v>4201.09</v>
      </c>
      <c r="H328" s="16">
        <v>12603.27</v>
      </c>
    </row>
    <row r="329" spans="1:8" ht="15" thickBot="1">
      <c r="A329" s="64">
        <v>45174</v>
      </c>
      <c r="B329" s="18" t="s">
        <v>2642</v>
      </c>
      <c r="C329" s="30" t="s">
        <v>2645</v>
      </c>
      <c r="D329" s="30" t="s">
        <v>2655</v>
      </c>
      <c r="E329" s="18" t="s">
        <v>2370</v>
      </c>
      <c r="F329" s="16">
        <v>18</v>
      </c>
      <c r="G329" s="16">
        <v>696.83</v>
      </c>
      <c r="H329" s="16">
        <v>12542.94</v>
      </c>
    </row>
    <row r="330" spans="1:8" ht="15" thickBot="1">
      <c r="A330" s="64">
        <v>44929</v>
      </c>
      <c r="B330" s="18" t="s">
        <v>2642</v>
      </c>
      <c r="C330" s="30" t="s">
        <v>2646</v>
      </c>
      <c r="D330" s="30" t="s">
        <v>2650</v>
      </c>
      <c r="E330" s="18" t="s">
        <v>2370</v>
      </c>
      <c r="F330" s="16">
        <v>3</v>
      </c>
      <c r="G330" s="16">
        <v>4132.17</v>
      </c>
      <c r="H330" s="16">
        <v>12396.51</v>
      </c>
    </row>
    <row r="331" spans="1:8" ht="15" thickBot="1">
      <c r="A331" s="31" t="s">
        <v>2548</v>
      </c>
      <c r="B331" s="18" t="s">
        <v>2641</v>
      </c>
      <c r="C331" s="30" t="s">
        <v>2648</v>
      </c>
      <c r="D331" s="30" t="s">
        <v>2656</v>
      </c>
      <c r="E331" s="18" t="s">
        <v>2370</v>
      </c>
      <c r="F331" s="16">
        <v>3</v>
      </c>
      <c r="G331" s="16">
        <v>4083.59</v>
      </c>
      <c r="H331" s="16">
        <v>12250.77</v>
      </c>
    </row>
    <row r="332" spans="1:8" ht="15" thickBot="1">
      <c r="A332" s="31" t="s">
        <v>2474</v>
      </c>
      <c r="B332" s="18" t="s">
        <v>2642</v>
      </c>
      <c r="C332" s="30" t="s">
        <v>2645</v>
      </c>
      <c r="D332" s="30" t="s">
        <v>2655</v>
      </c>
      <c r="E332" s="18" t="s">
        <v>2370</v>
      </c>
      <c r="F332" s="16">
        <v>18</v>
      </c>
      <c r="G332" s="16">
        <v>678.76</v>
      </c>
      <c r="H332" s="16">
        <v>12217.68</v>
      </c>
    </row>
    <row r="333" spans="1:8" ht="15" thickBot="1">
      <c r="A333" s="64">
        <v>45180</v>
      </c>
      <c r="B333" s="18" t="s">
        <v>2641</v>
      </c>
      <c r="C333" s="30" t="s">
        <v>2648</v>
      </c>
      <c r="D333" s="30" t="s">
        <v>2657</v>
      </c>
      <c r="E333" s="18" t="s">
        <v>2370</v>
      </c>
      <c r="F333" s="16">
        <v>7</v>
      </c>
      <c r="G333" s="16">
        <v>1729.24</v>
      </c>
      <c r="H333" s="16">
        <v>12104.68</v>
      </c>
    </row>
    <row r="334" spans="1:8" ht="15" thickBot="1">
      <c r="A334" s="64">
        <v>45176</v>
      </c>
      <c r="B334" s="18" t="s">
        <v>2642</v>
      </c>
      <c r="C334" s="30" t="s">
        <v>2646</v>
      </c>
      <c r="D334" s="30" t="s">
        <v>2650</v>
      </c>
      <c r="E334" s="18" t="s">
        <v>2370</v>
      </c>
      <c r="F334" s="16">
        <v>4</v>
      </c>
      <c r="G334" s="16">
        <v>3022.72</v>
      </c>
      <c r="H334" s="16">
        <v>12090.88</v>
      </c>
    </row>
    <row r="335" spans="1:8" ht="15" thickBot="1">
      <c r="A335" s="31" t="s">
        <v>2510</v>
      </c>
      <c r="B335" s="18" t="s">
        <v>2643</v>
      </c>
      <c r="C335" s="30" t="s">
        <v>2647</v>
      </c>
      <c r="D335" s="30" t="s">
        <v>2660</v>
      </c>
      <c r="E335" s="18" t="s">
        <v>2370</v>
      </c>
      <c r="F335" s="16">
        <v>3</v>
      </c>
      <c r="G335" s="16">
        <v>4020.68</v>
      </c>
      <c r="H335" s="16">
        <v>12062.04</v>
      </c>
    </row>
    <row r="336" spans="1:8" ht="15" thickBot="1">
      <c r="A336" s="31" t="s">
        <v>2527</v>
      </c>
      <c r="B336" s="18" t="s">
        <v>2643</v>
      </c>
      <c r="C336" s="30" t="s">
        <v>2647</v>
      </c>
      <c r="D336" s="30" t="s">
        <v>2660</v>
      </c>
      <c r="E336" s="18" t="s">
        <v>2370</v>
      </c>
      <c r="F336" s="16">
        <v>11</v>
      </c>
      <c r="G336" s="16">
        <v>1069.3900000000001</v>
      </c>
      <c r="H336" s="16">
        <v>11763.29</v>
      </c>
    </row>
    <row r="337" spans="1:8" ht="15" thickBot="1">
      <c r="A337" s="31" t="s">
        <v>2563</v>
      </c>
      <c r="B337" s="18" t="s">
        <v>2643</v>
      </c>
      <c r="C337" s="30" t="s">
        <v>2647</v>
      </c>
      <c r="D337" s="30" t="s">
        <v>2659</v>
      </c>
      <c r="E337" s="18" t="s">
        <v>2370</v>
      </c>
      <c r="F337" s="16">
        <v>11</v>
      </c>
      <c r="G337" s="16">
        <v>1065.6400000000001</v>
      </c>
      <c r="H337" s="16">
        <v>11722.04</v>
      </c>
    </row>
    <row r="338" spans="1:8" ht="15" thickBot="1">
      <c r="A338" s="64">
        <v>45143</v>
      </c>
      <c r="B338" s="18" t="s">
        <v>2641</v>
      </c>
      <c r="C338" s="30" t="s">
        <v>2648</v>
      </c>
      <c r="D338" s="30" t="s">
        <v>2656</v>
      </c>
      <c r="E338" s="18" t="s">
        <v>2370</v>
      </c>
      <c r="F338" s="16">
        <v>3</v>
      </c>
      <c r="G338" s="16">
        <v>3861.09</v>
      </c>
      <c r="H338" s="16">
        <v>11583.27</v>
      </c>
    </row>
    <row r="339" spans="1:8" ht="15" thickBot="1">
      <c r="A339" s="31" t="s">
        <v>2460</v>
      </c>
      <c r="B339" s="18" t="s">
        <v>2641</v>
      </c>
      <c r="C339" s="30" t="s">
        <v>2644</v>
      </c>
      <c r="D339" s="30" t="s">
        <v>2653</v>
      </c>
      <c r="E339" s="18" t="s">
        <v>2370</v>
      </c>
      <c r="F339" s="16">
        <v>9</v>
      </c>
      <c r="G339" s="16">
        <v>1280.74</v>
      </c>
      <c r="H339" s="16">
        <v>11526.66</v>
      </c>
    </row>
    <row r="340" spans="1:8" ht="15" thickBot="1">
      <c r="A340" s="64">
        <v>45264</v>
      </c>
      <c r="B340" s="18" t="s">
        <v>2641</v>
      </c>
      <c r="C340" s="30" t="s">
        <v>2644</v>
      </c>
      <c r="D340" s="30" t="s">
        <v>2653</v>
      </c>
      <c r="E340" s="18" t="s">
        <v>2370</v>
      </c>
      <c r="F340" s="16">
        <v>7</v>
      </c>
      <c r="G340" s="16">
        <v>1576.4</v>
      </c>
      <c r="H340" s="16">
        <v>11034.8</v>
      </c>
    </row>
    <row r="341" spans="1:8" ht="15" thickBot="1">
      <c r="A341" s="31" t="s">
        <v>2612</v>
      </c>
      <c r="B341" s="18" t="s">
        <v>2642</v>
      </c>
      <c r="C341" s="30" t="s">
        <v>2645</v>
      </c>
      <c r="D341" s="30" t="s">
        <v>2655</v>
      </c>
      <c r="E341" s="18" t="s">
        <v>2370</v>
      </c>
      <c r="F341" s="16">
        <v>4</v>
      </c>
      <c r="G341" s="16">
        <v>2625.31</v>
      </c>
      <c r="H341" s="16">
        <v>10501.24</v>
      </c>
    </row>
    <row r="342" spans="1:8" ht="15" thickBot="1">
      <c r="A342" s="64">
        <v>45146</v>
      </c>
      <c r="B342" s="18" t="s">
        <v>2641</v>
      </c>
      <c r="C342" s="30" t="s">
        <v>2644</v>
      </c>
      <c r="D342" s="30" t="s">
        <v>2392</v>
      </c>
      <c r="E342" s="18" t="s">
        <v>2370</v>
      </c>
      <c r="F342" s="16">
        <v>6</v>
      </c>
      <c r="G342" s="16">
        <v>1701.04</v>
      </c>
      <c r="H342" s="16">
        <v>10206.24</v>
      </c>
    </row>
    <row r="343" spans="1:8" ht="15" thickBot="1">
      <c r="A343" s="64">
        <v>45271</v>
      </c>
      <c r="B343" s="18" t="s">
        <v>2641</v>
      </c>
      <c r="C343" s="30" t="s">
        <v>2644</v>
      </c>
      <c r="D343" s="30" t="s">
        <v>2392</v>
      </c>
      <c r="E343" s="18" t="s">
        <v>2370</v>
      </c>
      <c r="F343" s="16">
        <v>7</v>
      </c>
      <c r="G343" s="16">
        <v>1458</v>
      </c>
      <c r="H343" s="16">
        <v>10206</v>
      </c>
    </row>
    <row r="344" spans="1:8" ht="15" thickBot="1">
      <c r="A344" s="31" t="s">
        <v>2584</v>
      </c>
      <c r="B344" s="18" t="s">
        <v>2641</v>
      </c>
      <c r="C344" s="30" t="s">
        <v>2644</v>
      </c>
      <c r="D344" s="30" t="s">
        <v>2393</v>
      </c>
      <c r="E344" s="18" t="s">
        <v>2370</v>
      </c>
      <c r="F344" s="16">
        <v>20</v>
      </c>
      <c r="G344" s="16">
        <v>486.25</v>
      </c>
      <c r="H344" s="16">
        <v>9725</v>
      </c>
    </row>
    <row r="345" spans="1:8" ht="15" thickBot="1">
      <c r="A345" s="64">
        <v>44993</v>
      </c>
      <c r="B345" s="18" t="s">
        <v>2642</v>
      </c>
      <c r="C345" s="30" t="s">
        <v>2645</v>
      </c>
      <c r="D345" s="30" t="s">
        <v>2655</v>
      </c>
      <c r="E345" s="18" t="s">
        <v>2370</v>
      </c>
      <c r="F345" s="16">
        <v>15</v>
      </c>
      <c r="G345" s="16">
        <v>624.87</v>
      </c>
      <c r="H345" s="16">
        <v>9373.0499999999993</v>
      </c>
    </row>
    <row r="346" spans="1:8" ht="15" thickBot="1">
      <c r="A346" s="31" t="s">
        <v>2461</v>
      </c>
      <c r="B346" s="18" t="s">
        <v>2642</v>
      </c>
      <c r="C346" s="30" t="s">
        <v>2646</v>
      </c>
      <c r="D346" s="30" t="s">
        <v>2654</v>
      </c>
      <c r="E346" s="18" t="s">
        <v>2370</v>
      </c>
      <c r="F346" s="16">
        <v>7</v>
      </c>
      <c r="G346" s="16">
        <v>1316.13</v>
      </c>
      <c r="H346" s="16">
        <v>9212.91</v>
      </c>
    </row>
    <row r="347" spans="1:8" ht="15" thickBot="1">
      <c r="A347" s="64">
        <v>45081</v>
      </c>
      <c r="B347" s="18" t="s">
        <v>2641</v>
      </c>
      <c r="C347" s="30" t="s">
        <v>2648</v>
      </c>
      <c r="D347" s="30" t="s">
        <v>2657</v>
      </c>
      <c r="E347" s="18" t="s">
        <v>2370</v>
      </c>
      <c r="F347" s="16">
        <v>7</v>
      </c>
      <c r="G347" s="16">
        <v>1205.8900000000001</v>
      </c>
      <c r="H347" s="16">
        <v>8441.23</v>
      </c>
    </row>
    <row r="348" spans="1:8" ht="15" thickBot="1">
      <c r="A348" s="31" t="s">
        <v>2444</v>
      </c>
      <c r="B348" s="18" t="s">
        <v>2641</v>
      </c>
      <c r="C348" s="30" t="s">
        <v>2648</v>
      </c>
      <c r="D348" s="30" t="s">
        <v>2656</v>
      </c>
      <c r="E348" s="18" t="s">
        <v>2370</v>
      </c>
      <c r="F348" s="16">
        <v>10</v>
      </c>
      <c r="G348" s="16">
        <v>843.5</v>
      </c>
      <c r="H348" s="16">
        <v>8435</v>
      </c>
    </row>
    <row r="349" spans="1:8" ht="15" thickBot="1">
      <c r="A349" s="31" t="s">
        <v>2552</v>
      </c>
      <c r="B349" s="18" t="s">
        <v>2641</v>
      </c>
      <c r="C349" s="30" t="s">
        <v>2648</v>
      </c>
      <c r="D349" s="30" t="s">
        <v>2657</v>
      </c>
      <c r="E349" s="18" t="s">
        <v>2370</v>
      </c>
      <c r="F349" s="16">
        <v>16</v>
      </c>
      <c r="G349" s="16">
        <v>523.29999999999995</v>
      </c>
      <c r="H349" s="16">
        <v>8372.7999999999993</v>
      </c>
    </row>
    <row r="350" spans="1:8" ht="15" thickBot="1">
      <c r="A350" s="64">
        <v>44987</v>
      </c>
      <c r="B350" s="18" t="s">
        <v>2642</v>
      </c>
      <c r="C350" s="30" t="s">
        <v>2645</v>
      </c>
      <c r="D350" s="30" t="s">
        <v>2658</v>
      </c>
      <c r="E350" s="18" t="s">
        <v>2370</v>
      </c>
      <c r="F350" s="16">
        <v>7</v>
      </c>
      <c r="G350" s="16">
        <v>1164.5999999999999</v>
      </c>
      <c r="H350" s="16">
        <v>8152.2</v>
      </c>
    </row>
    <row r="351" spans="1:8" ht="15" thickBot="1">
      <c r="A351" s="31" t="s">
        <v>2591</v>
      </c>
      <c r="B351" s="18" t="s">
        <v>2642</v>
      </c>
      <c r="C351" s="30" t="s">
        <v>2645</v>
      </c>
      <c r="D351" s="30" t="s">
        <v>2649</v>
      </c>
      <c r="E351" s="18" t="s">
        <v>2370</v>
      </c>
      <c r="F351" s="16">
        <v>5</v>
      </c>
      <c r="G351" s="16">
        <v>1566.04</v>
      </c>
      <c r="H351" s="16">
        <v>7830.2</v>
      </c>
    </row>
    <row r="352" spans="1:8" ht="15" thickBot="1">
      <c r="A352" s="31" t="s">
        <v>2501</v>
      </c>
      <c r="B352" s="18" t="s">
        <v>2642</v>
      </c>
      <c r="C352" s="30" t="s">
        <v>2645</v>
      </c>
      <c r="D352" s="30" t="s">
        <v>2649</v>
      </c>
      <c r="E352" s="18" t="s">
        <v>2370</v>
      </c>
      <c r="F352" s="16">
        <v>8</v>
      </c>
      <c r="G352" s="16">
        <v>918.76</v>
      </c>
      <c r="H352" s="16">
        <v>7350.08</v>
      </c>
    </row>
    <row r="353" spans="1:8" ht="15" thickBot="1">
      <c r="A353" s="31" t="s">
        <v>2567</v>
      </c>
      <c r="B353" s="18" t="s">
        <v>2641</v>
      </c>
      <c r="C353" s="30" t="s">
        <v>2644</v>
      </c>
      <c r="D353" s="30" t="s">
        <v>2392</v>
      </c>
      <c r="E353" s="18" t="s">
        <v>2370</v>
      </c>
      <c r="F353" s="16">
        <v>4</v>
      </c>
      <c r="G353" s="16">
        <v>1788.95</v>
      </c>
      <c r="H353" s="16">
        <v>7155.8</v>
      </c>
    </row>
    <row r="354" spans="1:8" ht="15" thickBot="1">
      <c r="A354" s="64">
        <v>45237</v>
      </c>
      <c r="B354" s="18" t="s">
        <v>2642</v>
      </c>
      <c r="C354" s="30" t="s">
        <v>2645</v>
      </c>
      <c r="D354" s="30" t="s">
        <v>2649</v>
      </c>
      <c r="E354" s="18" t="s">
        <v>2370</v>
      </c>
      <c r="F354" s="16">
        <v>9</v>
      </c>
      <c r="G354" s="16">
        <v>773.71</v>
      </c>
      <c r="H354" s="16">
        <v>6963.39</v>
      </c>
    </row>
    <row r="355" spans="1:8" ht="15" thickBot="1">
      <c r="A355" s="64">
        <v>45150</v>
      </c>
      <c r="B355" s="18" t="s">
        <v>2642</v>
      </c>
      <c r="C355" s="30" t="s">
        <v>2645</v>
      </c>
      <c r="D355" s="30" t="s">
        <v>2658</v>
      </c>
      <c r="E355" s="18" t="s">
        <v>2370</v>
      </c>
      <c r="F355" s="16">
        <v>5</v>
      </c>
      <c r="G355" s="16">
        <v>1372.78</v>
      </c>
      <c r="H355" s="16">
        <v>6863.9</v>
      </c>
    </row>
    <row r="356" spans="1:8" ht="15" thickBot="1">
      <c r="A356" s="31" t="s">
        <v>2502</v>
      </c>
      <c r="B356" s="18" t="s">
        <v>2641</v>
      </c>
      <c r="C356" s="30" t="s">
        <v>2644</v>
      </c>
      <c r="D356" s="30" t="s">
        <v>2392</v>
      </c>
      <c r="E356" s="18" t="s">
        <v>2370</v>
      </c>
      <c r="F356" s="16">
        <v>2</v>
      </c>
      <c r="G356" s="16">
        <v>3239.94</v>
      </c>
      <c r="H356" s="16">
        <v>6479.88</v>
      </c>
    </row>
    <row r="357" spans="1:8" ht="15" thickBot="1">
      <c r="A357" s="31" t="s">
        <v>2609</v>
      </c>
      <c r="B357" s="18" t="s">
        <v>2641</v>
      </c>
      <c r="C357" s="30" t="s">
        <v>2644</v>
      </c>
      <c r="D357" s="30" t="s">
        <v>2393</v>
      </c>
      <c r="E357" s="18" t="s">
        <v>2370</v>
      </c>
      <c r="F357" s="16">
        <v>7</v>
      </c>
      <c r="G357" s="16">
        <v>859.87</v>
      </c>
      <c r="H357" s="16">
        <v>6019.09</v>
      </c>
    </row>
    <row r="358" spans="1:8" ht="15" thickBot="1">
      <c r="A358" s="31" t="s">
        <v>2476</v>
      </c>
      <c r="B358" s="18" t="s">
        <v>2642</v>
      </c>
      <c r="C358" s="30" t="s">
        <v>2645</v>
      </c>
      <c r="D358" s="30" t="s">
        <v>2655</v>
      </c>
      <c r="E358" s="18" t="s">
        <v>2370</v>
      </c>
      <c r="F358" s="16">
        <v>8</v>
      </c>
      <c r="G358" s="16">
        <v>720.07</v>
      </c>
      <c r="H358" s="16">
        <v>5760.56</v>
      </c>
    </row>
    <row r="359" spans="1:8" ht="15" thickBot="1">
      <c r="A359" s="31" t="s">
        <v>2542</v>
      </c>
      <c r="B359" s="18" t="s">
        <v>2642</v>
      </c>
      <c r="C359" s="30" t="s">
        <v>2646</v>
      </c>
      <c r="D359" s="30" t="s">
        <v>2651</v>
      </c>
      <c r="E359" s="18" t="s">
        <v>2370</v>
      </c>
      <c r="F359" s="16">
        <v>16</v>
      </c>
      <c r="G359" s="16">
        <v>325.52</v>
      </c>
      <c r="H359" s="16">
        <v>5208.32</v>
      </c>
    </row>
    <row r="360" spans="1:8" ht="15" thickBot="1">
      <c r="A360" s="31" t="s">
        <v>2499</v>
      </c>
      <c r="B360" s="18" t="s">
        <v>2642</v>
      </c>
      <c r="C360" s="30" t="s">
        <v>2646</v>
      </c>
      <c r="D360" s="30" t="s">
        <v>2651</v>
      </c>
      <c r="E360" s="18" t="s">
        <v>2370</v>
      </c>
      <c r="F360" s="16">
        <v>15</v>
      </c>
      <c r="G360" s="16">
        <v>346.45</v>
      </c>
      <c r="H360" s="16">
        <v>5196.75</v>
      </c>
    </row>
    <row r="361" spans="1:8" ht="15" thickBot="1">
      <c r="A361" s="64">
        <v>45209</v>
      </c>
      <c r="B361" s="18" t="s">
        <v>2642</v>
      </c>
      <c r="C361" s="30" t="s">
        <v>2645</v>
      </c>
      <c r="D361" s="30" t="s">
        <v>2649</v>
      </c>
      <c r="E361" s="18" t="s">
        <v>2370</v>
      </c>
      <c r="F361" s="16">
        <v>7</v>
      </c>
      <c r="G361" s="16">
        <v>702.24</v>
      </c>
      <c r="H361" s="16">
        <v>4915.68</v>
      </c>
    </row>
    <row r="362" spans="1:8" ht="15" thickBot="1">
      <c r="A362" s="64">
        <v>45018</v>
      </c>
      <c r="B362" s="18" t="s">
        <v>2643</v>
      </c>
      <c r="C362" s="30" t="s">
        <v>2647</v>
      </c>
      <c r="D362" s="30" t="s">
        <v>2660</v>
      </c>
      <c r="E362" s="18" t="s">
        <v>2370</v>
      </c>
      <c r="F362" s="16">
        <v>5</v>
      </c>
      <c r="G362" s="16">
        <v>968.86</v>
      </c>
      <c r="H362" s="16">
        <v>4844.3</v>
      </c>
    </row>
    <row r="363" spans="1:8" ht="15" thickBot="1">
      <c r="A363" s="64">
        <v>45211</v>
      </c>
      <c r="B363" s="18" t="s">
        <v>2641</v>
      </c>
      <c r="C363" s="30" t="s">
        <v>2648</v>
      </c>
      <c r="D363" s="30" t="s">
        <v>2396</v>
      </c>
      <c r="E363" s="18" t="s">
        <v>2370</v>
      </c>
      <c r="F363" s="16">
        <v>4</v>
      </c>
      <c r="G363" s="16">
        <v>1208.21</v>
      </c>
      <c r="H363" s="16">
        <v>4832.84</v>
      </c>
    </row>
    <row r="364" spans="1:8" ht="15" thickBot="1">
      <c r="A364" s="64">
        <v>45172</v>
      </c>
      <c r="B364" s="18" t="s">
        <v>2643</v>
      </c>
      <c r="C364" s="30" t="s">
        <v>2647</v>
      </c>
      <c r="D364" s="30" t="s">
        <v>2660</v>
      </c>
      <c r="E364" s="18" t="s">
        <v>2370</v>
      </c>
      <c r="F364" s="16">
        <v>4</v>
      </c>
      <c r="G364" s="16">
        <v>1181.3900000000001</v>
      </c>
      <c r="H364" s="16">
        <v>4725.5600000000004</v>
      </c>
    </row>
    <row r="365" spans="1:8" ht="15" thickBot="1">
      <c r="A365" s="64">
        <v>44937</v>
      </c>
      <c r="B365" s="18" t="s">
        <v>2642</v>
      </c>
      <c r="C365" s="30" t="s">
        <v>2646</v>
      </c>
      <c r="D365" s="30" t="s">
        <v>2654</v>
      </c>
      <c r="E365" s="18" t="s">
        <v>2370</v>
      </c>
      <c r="F365" s="16">
        <v>18</v>
      </c>
      <c r="G365" s="16">
        <v>262.12</v>
      </c>
      <c r="H365" s="16">
        <v>4718.16</v>
      </c>
    </row>
    <row r="366" spans="1:8" ht="15" thickBot="1">
      <c r="A366" s="31" t="s">
        <v>2576</v>
      </c>
      <c r="B366" s="18" t="s">
        <v>2642</v>
      </c>
      <c r="C366" s="30" t="s">
        <v>2645</v>
      </c>
      <c r="D366" s="30" t="s">
        <v>2658</v>
      </c>
      <c r="E366" s="18" t="s">
        <v>2370</v>
      </c>
      <c r="F366" s="16">
        <v>9</v>
      </c>
      <c r="G366" s="16">
        <v>515.97</v>
      </c>
      <c r="H366" s="16">
        <v>4643.7299999999996</v>
      </c>
    </row>
    <row r="367" spans="1:8" ht="15" thickBot="1">
      <c r="A367" s="64">
        <v>45087</v>
      </c>
      <c r="B367" s="18" t="s">
        <v>2643</v>
      </c>
      <c r="C367" s="30" t="s">
        <v>2647</v>
      </c>
      <c r="D367" s="30" t="s">
        <v>2652</v>
      </c>
      <c r="E367" s="18" t="s">
        <v>2370</v>
      </c>
      <c r="F367" s="16">
        <v>4</v>
      </c>
      <c r="G367" s="16">
        <v>1147.06</v>
      </c>
      <c r="H367" s="16">
        <v>4588.24</v>
      </c>
    </row>
    <row r="368" spans="1:8" ht="15" thickBot="1">
      <c r="A368" s="31" t="s">
        <v>2456</v>
      </c>
      <c r="B368" s="18" t="s">
        <v>2642</v>
      </c>
      <c r="C368" s="30" t="s">
        <v>2645</v>
      </c>
      <c r="D368" s="30" t="s">
        <v>2658</v>
      </c>
      <c r="E368" s="18" t="s">
        <v>2370</v>
      </c>
      <c r="F368" s="16">
        <v>2</v>
      </c>
      <c r="G368" s="16">
        <v>2287.09</v>
      </c>
      <c r="H368" s="16">
        <v>4574.18</v>
      </c>
    </row>
    <row r="369" spans="1:8" ht="15" thickBot="1">
      <c r="A369" s="64">
        <v>45172</v>
      </c>
      <c r="B369" s="18" t="s">
        <v>2643</v>
      </c>
      <c r="C369" s="30" t="s">
        <v>2647</v>
      </c>
      <c r="D369" s="30" t="s">
        <v>2660</v>
      </c>
      <c r="E369" s="18" t="s">
        <v>2370</v>
      </c>
      <c r="F369" s="16">
        <v>5</v>
      </c>
      <c r="G369" s="16">
        <v>912.33</v>
      </c>
      <c r="H369" s="16">
        <v>4561.6499999999996</v>
      </c>
    </row>
    <row r="370" spans="1:8" ht="15" thickBot="1">
      <c r="A370" s="31" t="s">
        <v>2602</v>
      </c>
      <c r="B370" s="18" t="s">
        <v>2643</v>
      </c>
      <c r="C370" s="30" t="s">
        <v>2647</v>
      </c>
      <c r="D370" s="30" t="s">
        <v>2659</v>
      </c>
      <c r="E370" s="18" t="s">
        <v>2370</v>
      </c>
      <c r="F370" s="16">
        <v>4</v>
      </c>
      <c r="G370" s="16">
        <v>1128.8900000000001</v>
      </c>
      <c r="H370" s="16">
        <v>4515.5600000000004</v>
      </c>
    </row>
    <row r="371" spans="1:8" ht="15" thickBot="1">
      <c r="A371" s="31" t="s">
        <v>2592</v>
      </c>
      <c r="B371" s="18" t="s">
        <v>2642</v>
      </c>
      <c r="C371" s="30" t="s">
        <v>2646</v>
      </c>
      <c r="D371" s="30" t="s">
        <v>2654</v>
      </c>
      <c r="E371" s="18" t="s">
        <v>2370</v>
      </c>
      <c r="F371" s="16">
        <v>9</v>
      </c>
      <c r="G371" s="16">
        <v>491.64</v>
      </c>
      <c r="H371" s="16">
        <v>4424.76</v>
      </c>
    </row>
    <row r="372" spans="1:8" ht="15" thickBot="1">
      <c r="A372" s="31" t="s">
        <v>2575</v>
      </c>
      <c r="B372" s="18" t="s">
        <v>2643</v>
      </c>
      <c r="C372" s="30" t="s">
        <v>2647</v>
      </c>
      <c r="D372" s="30" t="s">
        <v>2659</v>
      </c>
      <c r="E372" s="18" t="s">
        <v>2370</v>
      </c>
      <c r="F372" s="16">
        <v>2</v>
      </c>
      <c r="G372" s="16">
        <v>2119.5100000000002</v>
      </c>
      <c r="H372" s="16">
        <v>4239.0200000000004</v>
      </c>
    </row>
    <row r="373" spans="1:8" ht="15" thickBot="1">
      <c r="A373" s="64">
        <v>45141</v>
      </c>
      <c r="B373" s="18" t="s">
        <v>2643</v>
      </c>
      <c r="C373" s="30" t="s">
        <v>2647</v>
      </c>
      <c r="D373" s="30" t="s">
        <v>2659</v>
      </c>
      <c r="E373" s="18" t="s">
        <v>2370</v>
      </c>
      <c r="F373" s="16">
        <v>11</v>
      </c>
      <c r="G373" s="16">
        <v>377.1</v>
      </c>
      <c r="H373" s="16">
        <v>4148.1000000000004</v>
      </c>
    </row>
    <row r="374" spans="1:8" ht="15" thickBot="1">
      <c r="A374" s="31" t="s">
        <v>2587</v>
      </c>
      <c r="B374" s="18" t="s">
        <v>2641</v>
      </c>
      <c r="C374" s="30" t="s">
        <v>2644</v>
      </c>
      <c r="D374" s="30" t="s">
        <v>2392</v>
      </c>
      <c r="E374" s="18" t="s">
        <v>2370</v>
      </c>
      <c r="F374" s="16">
        <v>6</v>
      </c>
      <c r="G374" s="16">
        <v>686.38</v>
      </c>
      <c r="H374" s="16">
        <v>4118.28</v>
      </c>
    </row>
    <row r="375" spans="1:8" ht="15" thickBot="1">
      <c r="A375" s="64">
        <v>45017</v>
      </c>
      <c r="B375" s="18" t="s">
        <v>2641</v>
      </c>
      <c r="C375" s="30" t="s">
        <v>2648</v>
      </c>
      <c r="D375" s="30" t="s">
        <v>2396</v>
      </c>
      <c r="E375" s="18" t="s">
        <v>2370</v>
      </c>
      <c r="F375" s="16">
        <v>4</v>
      </c>
      <c r="G375" s="16">
        <v>1027.32</v>
      </c>
      <c r="H375" s="16">
        <v>4109.28</v>
      </c>
    </row>
    <row r="376" spans="1:8" ht="15" thickBot="1">
      <c r="A376" s="31" t="s">
        <v>2441</v>
      </c>
      <c r="B376" s="18" t="s">
        <v>2643</v>
      </c>
      <c r="C376" s="30" t="s">
        <v>2647</v>
      </c>
      <c r="D376" s="30" t="s">
        <v>2652</v>
      </c>
      <c r="E376" s="18" t="s">
        <v>2370</v>
      </c>
      <c r="F376" s="16">
        <v>4</v>
      </c>
      <c r="G376" s="16">
        <v>1020.23</v>
      </c>
      <c r="H376" s="16">
        <v>4080.92</v>
      </c>
    </row>
    <row r="377" spans="1:8" ht="15" thickBot="1">
      <c r="A377" s="31" t="s">
        <v>2451</v>
      </c>
      <c r="B377" s="18" t="s">
        <v>2642</v>
      </c>
      <c r="C377" s="30" t="s">
        <v>2646</v>
      </c>
      <c r="D377" s="30" t="s">
        <v>2654</v>
      </c>
      <c r="E377" s="18" t="s">
        <v>2370</v>
      </c>
      <c r="F377" s="16">
        <v>2</v>
      </c>
      <c r="G377" s="16">
        <v>1983.93</v>
      </c>
      <c r="H377" s="16">
        <v>3967.86</v>
      </c>
    </row>
    <row r="378" spans="1:8" ht="15" thickBot="1">
      <c r="A378" s="31" t="s">
        <v>2562</v>
      </c>
      <c r="B378" s="18" t="s">
        <v>2641</v>
      </c>
      <c r="C378" s="30" t="s">
        <v>2648</v>
      </c>
      <c r="D378" s="30" t="s">
        <v>2396</v>
      </c>
      <c r="E378" s="18" t="s">
        <v>2370</v>
      </c>
      <c r="F378" s="16">
        <v>2</v>
      </c>
      <c r="G378" s="16">
        <v>1971</v>
      </c>
      <c r="H378" s="16">
        <v>3942</v>
      </c>
    </row>
    <row r="379" spans="1:8" ht="15" thickBot="1">
      <c r="A379" s="31" t="s">
        <v>2546</v>
      </c>
      <c r="B379" s="18" t="s">
        <v>2641</v>
      </c>
      <c r="C379" s="30" t="s">
        <v>2648</v>
      </c>
      <c r="D379" s="30" t="s">
        <v>2396</v>
      </c>
      <c r="E379" s="18" t="s">
        <v>2370</v>
      </c>
      <c r="F379" s="16">
        <v>5</v>
      </c>
      <c r="G379" s="16">
        <v>714.68</v>
      </c>
      <c r="H379" s="16">
        <v>3573.4</v>
      </c>
    </row>
    <row r="380" spans="1:8" ht="15" thickBot="1">
      <c r="A380" s="31" t="s">
        <v>2617</v>
      </c>
      <c r="B380" s="18" t="s">
        <v>2641</v>
      </c>
      <c r="C380" s="30" t="s">
        <v>2648</v>
      </c>
      <c r="D380" s="30" t="s">
        <v>2656</v>
      </c>
      <c r="E380" s="18" t="s">
        <v>2370</v>
      </c>
      <c r="F380" s="16">
        <v>12</v>
      </c>
      <c r="G380" s="16">
        <v>255.59</v>
      </c>
      <c r="H380" s="16">
        <v>3067.08</v>
      </c>
    </row>
    <row r="381" spans="1:8" ht="15" thickBot="1">
      <c r="A381" s="31" t="s">
        <v>2535</v>
      </c>
      <c r="B381" s="18" t="s">
        <v>2642</v>
      </c>
      <c r="C381" s="30" t="s">
        <v>2645</v>
      </c>
      <c r="D381" s="30" t="s">
        <v>2658</v>
      </c>
      <c r="E381" s="18" t="s">
        <v>2370</v>
      </c>
      <c r="F381" s="16">
        <v>8</v>
      </c>
      <c r="G381" s="16">
        <v>372.22</v>
      </c>
      <c r="H381" s="16">
        <v>2977.76</v>
      </c>
    </row>
    <row r="382" spans="1:8" ht="15" thickBot="1">
      <c r="A382" s="31" t="s">
        <v>2554</v>
      </c>
      <c r="B382" s="18" t="s">
        <v>2642</v>
      </c>
      <c r="C382" s="30" t="s">
        <v>2646</v>
      </c>
      <c r="D382" s="30" t="s">
        <v>2651</v>
      </c>
      <c r="E382" s="18" t="s">
        <v>2370</v>
      </c>
      <c r="F382" s="16">
        <v>3</v>
      </c>
      <c r="G382" s="16">
        <v>938.33</v>
      </c>
      <c r="H382" s="16">
        <v>2814.99</v>
      </c>
    </row>
    <row r="383" spans="1:8" ht="15" thickBot="1">
      <c r="A383" s="31" t="s">
        <v>2524</v>
      </c>
      <c r="B383" s="18" t="s">
        <v>2642</v>
      </c>
      <c r="C383" s="30" t="s">
        <v>2645</v>
      </c>
      <c r="D383" s="30" t="s">
        <v>2649</v>
      </c>
      <c r="E383" s="18" t="s">
        <v>2370</v>
      </c>
      <c r="F383" s="16">
        <v>1</v>
      </c>
      <c r="G383" s="16">
        <v>2710.27</v>
      </c>
      <c r="H383" s="16">
        <v>2710.27</v>
      </c>
    </row>
    <row r="384" spans="1:8" ht="15" thickBot="1">
      <c r="A384" s="64">
        <v>44996</v>
      </c>
      <c r="B384" s="18" t="s">
        <v>2641</v>
      </c>
      <c r="C384" s="30" t="s">
        <v>2648</v>
      </c>
      <c r="D384" s="30" t="s">
        <v>2656</v>
      </c>
      <c r="E384" s="18" t="s">
        <v>2370</v>
      </c>
      <c r="F384" s="16">
        <v>3</v>
      </c>
      <c r="G384" s="16">
        <v>884.5</v>
      </c>
      <c r="H384" s="16">
        <v>2653.5</v>
      </c>
    </row>
    <row r="385" spans="1:8" ht="15" thickBot="1">
      <c r="A385" s="31" t="s">
        <v>2474</v>
      </c>
      <c r="B385" s="18" t="s">
        <v>2641</v>
      </c>
      <c r="C385" s="30" t="s">
        <v>2648</v>
      </c>
      <c r="D385" s="30" t="s">
        <v>2657</v>
      </c>
      <c r="E385" s="18" t="s">
        <v>2370</v>
      </c>
      <c r="F385" s="16">
        <v>1</v>
      </c>
      <c r="G385" s="16">
        <v>2571.59</v>
      </c>
      <c r="H385" s="16">
        <v>2571.59</v>
      </c>
    </row>
    <row r="386" spans="1:8" ht="15" thickBot="1">
      <c r="A386" s="31" t="s">
        <v>2534</v>
      </c>
      <c r="B386" s="18" t="s">
        <v>2642</v>
      </c>
      <c r="C386" s="30" t="s">
        <v>2646</v>
      </c>
      <c r="D386" s="30" t="s">
        <v>2650</v>
      </c>
      <c r="E386" s="18" t="s">
        <v>2370</v>
      </c>
      <c r="F386" s="16">
        <v>15</v>
      </c>
      <c r="G386" s="16">
        <v>170.6</v>
      </c>
      <c r="H386" s="16">
        <v>2559</v>
      </c>
    </row>
    <row r="387" spans="1:8" ht="15" thickBot="1">
      <c r="A387" s="31" t="s">
        <v>2446</v>
      </c>
      <c r="B387" s="18" t="s">
        <v>2642</v>
      </c>
      <c r="C387" s="30" t="s">
        <v>2646</v>
      </c>
      <c r="D387" s="30" t="s">
        <v>2651</v>
      </c>
      <c r="E387" s="18" t="s">
        <v>2370</v>
      </c>
      <c r="F387" s="16">
        <v>8</v>
      </c>
      <c r="G387" s="16">
        <v>308.68</v>
      </c>
      <c r="H387" s="16">
        <v>2469.44</v>
      </c>
    </row>
    <row r="388" spans="1:8" ht="15" thickBot="1">
      <c r="A388" s="31" t="s">
        <v>2476</v>
      </c>
      <c r="B388" s="18" t="s">
        <v>2642</v>
      </c>
      <c r="C388" s="30" t="s">
        <v>2645</v>
      </c>
      <c r="D388" s="30" t="s">
        <v>2658</v>
      </c>
      <c r="E388" s="18" t="s">
        <v>2370</v>
      </c>
      <c r="F388" s="16">
        <v>3</v>
      </c>
      <c r="G388" s="16">
        <v>772.21</v>
      </c>
      <c r="H388" s="16">
        <v>2316.63</v>
      </c>
    </row>
    <row r="389" spans="1:8" ht="15" thickBot="1">
      <c r="A389" s="31" t="s">
        <v>2527</v>
      </c>
      <c r="B389" s="18" t="s">
        <v>2643</v>
      </c>
      <c r="C389" s="30" t="s">
        <v>2647</v>
      </c>
      <c r="D389" s="30" t="s">
        <v>2652</v>
      </c>
      <c r="E389" s="18" t="s">
        <v>2370</v>
      </c>
      <c r="F389" s="16">
        <v>1</v>
      </c>
      <c r="G389" s="16">
        <v>1967.8</v>
      </c>
      <c r="H389" s="16">
        <v>1967.8</v>
      </c>
    </row>
    <row r="390" spans="1:8" ht="15" thickBot="1">
      <c r="A390" s="64">
        <v>45052</v>
      </c>
      <c r="B390" s="18" t="s">
        <v>2643</v>
      </c>
      <c r="C390" s="30" t="s">
        <v>2647</v>
      </c>
      <c r="D390" s="30" t="s">
        <v>2659</v>
      </c>
      <c r="E390" s="18" t="s">
        <v>2370</v>
      </c>
      <c r="F390" s="16">
        <v>1</v>
      </c>
      <c r="G390" s="16">
        <v>1591.88</v>
      </c>
      <c r="H390" s="16">
        <v>1591.88</v>
      </c>
    </row>
    <row r="391" spans="1:8" ht="15" thickBot="1">
      <c r="A391" s="31" t="s">
        <v>2583</v>
      </c>
      <c r="B391" s="18" t="s">
        <v>2642</v>
      </c>
      <c r="C391" s="30" t="s">
        <v>2646</v>
      </c>
      <c r="D391" s="30" t="s">
        <v>2654</v>
      </c>
      <c r="E391" s="18" t="s">
        <v>2370</v>
      </c>
      <c r="F391" s="16">
        <v>7</v>
      </c>
      <c r="G391" s="16">
        <v>222.61</v>
      </c>
      <c r="H391" s="16">
        <v>1558.27</v>
      </c>
    </row>
    <row r="392" spans="1:8" ht="15" thickBot="1">
      <c r="A392" s="64">
        <v>45114</v>
      </c>
      <c r="B392" s="18" t="s">
        <v>2642</v>
      </c>
      <c r="C392" s="30" t="s">
        <v>2646</v>
      </c>
      <c r="D392" s="30" t="s">
        <v>2654</v>
      </c>
      <c r="E392" s="18" t="s">
        <v>2370</v>
      </c>
      <c r="F392" s="16">
        <v>1</v>
      </c>
      <c r="G392" s="16">
        <v>1355.14</v>
      </c>
      <c r="H392" s="16">
        <v>1355.14</v>
      </c>
    </row>
    <row r="393" spans="1:8" ht="15" thickBot="1">
      <c r="A393" s="31" t="s">
        <v>2582</v>
      </c>
      <c r="B393" s="18" t="s">
        <v>2642</v>
      </c>
      <c r="C393" s="30" t="s">
        <v>2645</v>
      </c>
      <c r="D393" s="30" t="s">
        <v>2649</v>
      </c>
      <c r="E393" s="18" t="s">
        <v>2370</v>
      </c>
      <c r="F393" s="16">
        <v>2</v>
      </c>
      <c r="G393" s="16">
        <v>659.83</v>
      </c>
      <c r="H393" s="16">
        <v>1319.66</v>
      </c>
    </row>
    <row r="394" spans="1:8" ht="15" thickBot="1">
      <c r="A394" s="31" t="s">
        <v>2524</v>
      </c>
      <c r="B394" s="18" t="s">
        <v>2641</v>
      </c>
      <c r="C394" s="30" t="s">
        <v>2648</v>
      </c>
      <c r="D394" s="30" t="s">
        <v>2657</v>
      </c>
      <c r="E394" s="18" t="s">
        <v>2370</v>
      </c>
      <c r="F394" s="16">
        <v>3</v>
      </c>
      <c r="G394" s="16">
        <v>403.5</v>
      </c>
      <c r="H394" s="16">
        <v>1210.5</v>
      </c>
    </row>
    <row r="395" spans="1:8" ht="15" thickBot="1">
      <c r="A395" s="31" t="s">
        <v>2455</v>
      </c>
      <c r="B395" s="18" t="s">
        <v>2641</v>
      </c>
      <c r="C395" s="30" t="s">
        <v>2648</v>
      </c>
      <c r="D395" s="30" t="s">
        <v>2657</v>
      </c>
      <c r="E395" s="18" t="s">
        <v>2370</v>
      </c>
      <c r="F395" s="16">
        <v>1</v>
      </c>
      <c r="G395" s="16">
        <v>983.24</v>
      </c>
      <c r="H395" s="16">
        <v>983.24</v>
      </c>
    </row>
    <row r="396" spans="1:8" ht="15" thickBot="1">
      <c r="A396" s="31" t="s">
        <v>2628</v>
      </c>
      <c r="B396" s="18" t="s">
        <v>2642</v>
      </c>
      <c r="C396" s="30" t="s">
        <v>2645</v>
      </c>
      <c r="D396" s="30" t="s">
        <v>2655</v>
      </c>
      <c r="E396" s="18" t="s">
        <v>2370</v>
      </c>
      <c r="F396" s="16">
        <v>1</v>
      </c>
      <c r="G396" s="16">
        <v>979.17</v>
      </c>
      <c r="H396" s="16">
        <v>979.17</v>
      </c>
    </row>
    <row r="397" spans="1:8" ht="15" thickBot="1">
      <c r="A397" s="64">
        <v>45088</v>
      </c>
      <c r="B397" s="18" t="s">
        <v>2642</v>
      </c>
      <c r="C397" s="30" t="s">
        <v>2646</v>
      </c>
      <c r="D397" s="30" t="s">
        <v>2651</v>
      </c>
      <c r="E397" s="18" t="s">
        <v>2370</v>
      </c>
      <c r="F397" s="16">
        <v>1</v>
      </c>
      <c r="G397" s="16">
        <v>585.58000000000004</v>
      </c>
      <c r="H397" s="16">
        <v>585.58000000000004</v>
      </c>
    </row>
    <row r="398" spans="1:8" ht="15" thickBot="1">
      <c r="A398" s="31" t="s">
        <v>2562</v>
      </c>
      <c r="B398" s="18" t="s">
        <v>2641</v>
      </c>
      <c r="C398" s="30" t="s">
        <v>2644</v>
      </c>
      <c r="D398" s="30" t="s">
        <v>2392</v>
      </c>
      <c r="E398" s="18" t="s">
        <v>2370</v>
      </c>
      <c r="F398" s="16">
        <v>1</v>
      </c>
      <c r="G398" s="16">
        <v>568.54999999999995</v>
      </c>
      <c r="H398" s="16">
        <v>568.54999999999995</v>
      </c>
    </row>
    <row r="399" spans="1:8" ht="15" thickBot="1">
      <c r="A399" s="31" t="s">
        <v>2546</v>
      </c>
      <c r="B399" s="18" t="s">
        <v>2642</v>
      </c>
      <c r="C399" s="30" t="s">
        <v>2645</v>
      </c>
      <c r="D399" s="30" t="s">
        <v>2655</v>
      </c>
      <c r="E399" s="18" t="s">
        <v>2370</v>
      </c>
      <c r="F399" s="16">
        <v>2</v>
      </c>
      <c r="G399" s="16">
        <v>161.19</v>
      </c>
      <c r="H399" s="16">
        <v>322.38</v>
      </c>
    </row>
    <row r="400" spans="1:8" ht="15" thickBot="1">
      <c r="A400" s="64">
        <v>45119</v>
      </c>
      <c r="B400" s="18" t="s">
        <v>2643</v>
      </c>
      <c r="C400" s="30" t="s">
        <v>2647</v>
      </c>
      <c r="D400" s="30" t="s">
        <v>2660</v>
      </c>
      <c r="E400" s="18" t="s">
        <v>2373</v>
      </c>
      <c r="F400" s="16">
        <v>20</v>
      </c>
      <c r="G400" s="16">
        <v>4821.82</v>
      </c>
      <c r="H400" s="16">
        <v>96436.4</v>
      </c>
    </row>
    <row r="401" spans="1:8" ht="15" thickBot="1">
      <c r="A401" s="31" t="s">
        <v>2530</v>
      </c>
      <c r="B401" s="18" t="s">
        <v>2642</v>
      </c>
      <c r="C401" s="30" t="s">
        <v>2646</v>
      </c>
      <c r="D401" s="30" t="s">
        <v>2651</v>
      </c>
      <c r="E401" s="18" t="s">
        <v>2373</v>
      </c>
      <c r="F401" s="16">
        <v>19</v>
      </c>
      <c r="G401" s="16">
        <v>4771.5</v>
      </c>
      <c r="H401" s="16">
        <v>90658.5</v>
      </c>
    </row>
    <row r="402" spans="1:8" ht="15" thickBot="1">
      <c r="A402" s="64">
        <v>45051</v>
      </c>
      <c r="B402" s="18" t="s">
        <v>2641</v>
      </c>
      <c r="C402" s="30" t="s">
        <v>2644</v>
      </c>
      <c r="D402" s="30" t="s">
        <v>2392</v>
      </c>
      <c r="E402" s="18" t="s">
        <v>2373</v>
      </c>
      <c r="F402" s="16">
        <v>20</v>
      </c>
      <c r="G402" s="16">
        <v>4270.08</v>
      </c>
      <c r="H402" s="16">
        <v>85401.600000000006</v>
      </c>
    </row>
    <row r="403" spans="1:8" ht="15" thickBot="1">
      <c r="A403" s="64">
        <v>45114</v>
      </c>
      <c r="B403" s="18" t="s">
        <v>2642</v>
      </c>
      <c r="C403" s="30" t="s">
        <v>2645</v>
      </c>
      <c r="D403" s="30" t="s">
        <v>2649</v>
      </c>
      <c r="E403" s="18" t="s">
        <v>2373</v>
      </c>
      <c r="F403" s="16">
        <v>19</v>
      </c>
      <c r="G403" s="16">
        <v>4421.6899999999996</v>
      </c>
      <c r="H403" s="16">
        <v>84012.11</v>
      </c>
    </row>
    <row r="404" spans="1:8" ht="15" thickBot="1">
      <c r="A404" s="31" t="s">
        <v>2448</v>
      </c>
      <c r="B404" s="18" t="s">
        <v>2642</v>
      </c>
      <c r="C404" s="30" t="s">
        <v>2645</v>
      </c>
      <c r="D404" s="30" t="s">
        <v>2655</v>
      </c>
      <c r="E404" s="18" t="s">
        <v>2373</v>
      </c>
      <c r="F404" s="16">
        <v>19</v>
      </c>
      <c r="G404" s="16">
        <v>4411.57</v>
      </c>
      <c r="H404" s="16">
        <v>83819.83</v>
      </c>
    </row>
    <row r="405" spans="1:8" ht="15" thickBot="1">
      <c r="A405" s="31" t="s">
        <v>2435</v>
      </c>
      <c r="B405" s="18" t="s">
        <v>2642</v>
      </c>
      <c r="C405" s="30" t="s">
        <v>2646</v>
      </c>
      <c r="D405" s="30" t="s">
        <v>2651</v>
      </c>
      <c r="E405" s="18" t="s">
        <v>2373</v>
      </c>
      <c r="F405" s="16">
        <v>17</v>
      </c>
      <c r="G405" s="16">
        <v>4890.5</v>
      </c>
      <c r="H405" s="16">
        <v>83138.5</v>
      </c>
    </row>
    <row r="406" spans="1:8" ht="15" thickBot="1">
      <c r="A406" s="64">
        <v>45084</v>
      </c>
      <c r="B406" s="18" t="s">
        <v>2641</v>
      </c>
      <c r="C406" s="30" t="s">
        <v>2648</v>
      </c>
      <c r="D406" s="30" t="s">
        <v>2656</v>
      </c>
      <c r="E406" s="18" t="s">
        <v>2373</v>
      </c>
      <c r="F406" s="16">
        <v>19</v>
      </c>
      <c r="G406" s="16">
        <v>4348.7299999999996</v>
      </c>
      <c r="H406" s="16">
        <v>82625.87</v>
      </c>
    </row>
    <row r="407" spans="1:8" ht="15" thickBot="1">
      <c r="A407" s="31" t="s">
        <v>2506</v>
      </c>
      <c r="B407" s="18" t="s">
        <v>2641</v>
      </c>
      <c r="C407" s="30" t="s">
        <v>2648</v>
      </c>
      <c r="D407" s="30" t="s">
        <v>2396</v>
      </c>
      <c r="E407" s="18" t="s">
        <v>2373</v>
      </c>
      <c r="F407" s="16">
        <v>20</v>
      </c>
      <c r="G407" s="16">
        <v>4066.74</v>
      </c>
      <c r="H407" s="16">
        <v>81334.8</v>
      </c>
    </row>
    <row r="408" spans="1:8" ht="15" thickBot="1">
      <c r="A408" s="31" t="s">
        <v>2565</v>
      </c>
      <c r="B408" s="18" t="s">
        <v>2643</v>
      </c>
      <c r="C408" s="30" t="s">
        <v>2647</v>
      </c>
      <c r="D408" s="30" t="s">
        <v>2652</v>
      </c>
      <c r="E408" s="18" t="s">
        <v>2373</v>
      </c>
      <c r="F408" s="16">
        <v>20</v>
      </c>
      <c r="G408" s="16">
        <v>4035.61</v>
      </c>
      <c r="H408" s="16">
        <v>80712.2</v>
      </c>
    </row>
    <row r="409" spans="1:8" ht="15" thickBot="1">
      <c r="A409" s="31" t="s">
        <v>2583</v>
      </c>
      <c r="B409" s="18" t="s">
        <v>2643</v>
      </c>
      <c r="C409" s="30" t="s">
        <v>2647</v>
      </c>
      <c r="D409" s="30" t="s">
        <v>2652</v>
      </c>
      <c r="E409" s="18" t="s">
        <v>2373</v>
      </c>
      <c r="F409" s="16">
        <v>17</v>
      </c>
      <c r="G409" s="16">
        <v>4502.3900000000003</v>
      </c>
      <c r="H409" s="16">
        <v>76540.63</v>
      </c>
    </row>
    <row r="410" spans="1:8" ht="15" thickBot="1">
      <c r="A410" s="31" t="s">
        <v>2627</v>
      </c>
      <c r="B410" s="18" t="s">
        <v>2643</v>
      </c>
      <c r="C410" s="30" t="s">
        <v>2647</v>
      </c>
      <c r="D410" s="30" t="s">
        <v>2660</v>
      </c>
      <c r="E410" s="18" t="s">
        <v>2373</v>
      </c>
      <c r="F410" s="16">
        <v>20</v>
      </c>
      <c r="G410" s="16">
        <v>3753.15</v>
      </c>
      <c r="H410" s="16">
        <v>75063</v>
      </c>
    </row>
    <row r="411" spans="1:8" ht="15" thickBot="1">
      <c r="A411" s="31" t="s">
        <v>2517</v>
      </c>
      <c r="B411" s="18" t="s">
        <v>2641</v>
      </c>
      <c r="C411" s="30" t="s">
        <v>2648</v>
      </c>
      <c r="D411" s="30" t="s">
        <v>2656</v>
      </c>
      <c r="E411" s="18" t="s">
        <v>2373</v>
      </c>
      <c r="F411" s="16">
        <v>19</v>
      </c>
      <c r="G411" s="16">
        <v>3907.56</v>
      </c>
      <c r="H411" s="16">
        <v>74243.64</v>
      </c>
    </row>
    <row r="412" spans="1:8" ht="15" thickBot="1">
      <c r="A412" s="31" t="s">
        <v>2640</v>
      </c>
      <c r="B412" s="18" t="s">
        <v>2641</v>
      </c>
      <c r="C412" s="30" t="s">
        <v>2648</v>
      </c>
      <c r="D412" s="30" t="s">
        <v>2657</v>
      </c>
      <c r="E412" s="18" t="s">
        <v>2373</v>
      </c>
      <c r="F412" s="16">
        <v>16</v>
      </c>
      <c r="G412" s="16">
        <v>4614.01</v>
      </c>
      <c r="H412" s="16">
        <v>73824.160000000003</v>
      </c>
    </row>
    <row r="413" spans="1:8" ht="15" thickBot="1">
      <c r="A413" s="31" t="s">
        <v>2466</v>
      </c>
      <c r="B413" s="18" t="s">
        <v>2641</v>
      </c>
      <c r="C413" s="30" t="s">
        <v>2644</v>
      </c>
      <c r="D413" s="30" t="s">
        <v>2392</v>
      </c>
      <c r="E413" s="18" t="s">
        <v>2373</v>
      </c>
      <c r="F413" s="16">
        <v>15</v>
      </c>
      <c r="G413" s="16">
        <v>4785.6099999999997</v>
      </c>
      <c r="H413" s="16">
        <v>71784.149999999994</v>
      </c>
    </row>
    <row r="414" spans="1:8" ht="15" thickBot="1">
      <c r="A414" s="31" t="s">
        <v>2598</v>
      </c>
      <c r="B414" s="18" t="s">
        <v>2643</v>
      </c>
      <c r="C414" s="30" t="s">
        <v>2647</v>
      </c>
      <c r="D414" s="30" t="s">
        <v>2660</v>
      </c>
      <c r="E414" s="18" t="s">
        <v>2373</v>
      </c>
      <c r="F414" s="16">
        <v>19</v>
      </c>
      <c r="G414" s="16">
        <v>3694.62</v>
      </c>
      <c r="H414" s="16">
        <v>70197.78</v>
      </c>
    </row>
    <row r="415" spans="1:8" ht="15" thickBot="1">
      <c r="A415" s="64">
        <v>45140</v>
      </c>
      <c r="B415" s="18" t="s">
        <v>2641</v>
      </c>
      <c r="C415" s="30" t="s">
        <v>2648</v>
      </c>
      <c r="D415" s="30" t="s">
        <v>2657</v>
      </c>
      <c r="E415" s="18" t="s">
        <v>2373</v>
      </c>
      <c r="F415" s="16">
        <v>15</v>
      </c>
      <c r="G415" s="16">
        <v>4678.57</v>
      </c>
      <c r="H415" s="16">
        <v>70178.55</v>
      </c>
    </row>
    <row r="416" spans="1:8" ht="15" thickBot="1">
      <c r="A416" s="31" t="s">
        <v>2566</v>
      </c>
      <c r="B416" s="18" t="s">
        <v>2643</v>
      </c>
      <c r="C416" s="30" t="s">
        <v>2647</v>
      </c>
      <c r="D416" s="30" t="s">
        <v>2652</v>
      </c>
      <c r="E416" s="18" t="s">
        <v>2373</v>
      </c>
      <c r="F416" s="16">
        <v>16</v>
      </c>
      <c r="G416" s="16">
        <v>4364.8999999999996</v>
      </c>
      <c r="H416" s="16">
        <v>69838.399999999994</v>
      </c>
    </row>
    <row r="417" spans="1:8" ht="15" thickBot="1">
      <c r="A417" s="64">
        <v>45055</v>
      </c>
      <c r="B417" s="18" t="s">
        <v>2641</v>
      </c>
      <c r="C417" s="30" t="s">
        <v>2644</v>
      </c>
      <c r="D417" s="30" t="s">
        <v>2653</v>
      </c>
      <c r="E417" s="18" t="s">
        <v>2373</v>
      </c>
      <c r="F417" s="16">
        <v>20</v>
      </c>
      <c r="G417" s="16">
        <v>3474.05</v>
      </c>
      <c r="H417" s="16">
        <v>69481</v>
      </c>
    </row>
    <row r="418" spans="1:8" ht="15" thickBot="1">
      <c r="A418" s="31" t="s">
        <v>2453</v>
      </c>
      <c r="B418" s="18" t="s">
        <v>2641</v>
      </c>
      <c r="C418" s="30" t="s">
        <v>2648</v>
      </c>
      <c r="D418" s="30" t="s">
        <v>2396</v>
      </c>
      <c r="E418" s="18" t="s">
        <v>2373</v>
      </c>
      <c r="F418" s="16">
        <v>20</v>
      </c>
      <c r="G418" s="16">
        <v>3470.23</v>
      </c>
      <c r="H418" s="16">
        <v>69404.600000000006</v>
      </c>
    </row>
    <row r="419" spans="1:8" ht="15" thickBot="1">
      <c r="A419" s="64">
        <v>45147</v>
      </c>
      <c r="B419" s="18" t="s">
        <v>2643</v>
      </c>
      <c r="C419" s="30" t="s">
        <v>2647</v>
      </c>
      <c r="D419" s="30" t="s">
        <v>2652</v>
      </c>
      <c r="E419" s="18" t="s">
        <v>2373</v>
      </c>
      <c r="F419" s="16">
        <v>17</v>
      </c>
      <c r="G419" s="16">
        <v>4033.84</v>
      </c>
      <c r="H419" s="16">
        <v>68575.28</v>
      </c>
    </row>
    <row r="420" spans="1:8" ht="15" thickBot="1">
      <c r="A420" s="64">
        <v>45089</v>
      </c>
      <c r="B420" s="18" t="s">
        <v>2641</v>
      </c>
      <c r="C420" s="30" t="s">
        <v>2648</v>
      </c>
      <c r="D420" s="30" t="s">
        <v>2657</v>
      </c>
      <c r="E420" s="18" t="s">
        <v>2373</v>
      </c>
      <c r="F420" s="16">
        <v>14</v>
      </c>
      <c r="G420" s="16">
        <v>4839.1099999999997</v>
      </c>
      <c r="H420" s="16">
        <v>67747.539999999994</v>
      </c>
    </row>
    <row r="421" spans="1:8" ht="15" thickBot="1">
      <c r="A421" s="64">
        <v>44967</v>
      </c>
      <c r="B421" s="18" t="s">
        <v>2641</v>
      </c>
      <c r="C421" s="30" t="s">
        <v>2648</v>
      </c>
      <c r="D421" s="30" t="s">
        <v>2656</v>
      </c>
      <c r="E421" s="18" t="s">
        <v>2373</v>
      </c>
      <c r="F421" s="16">
        <v>17</v>
      </c>
      <c r="G421" s="16">
        <v>3971.7</v>
      </c>
      <c r="H421" s="16">
        <v>67518.899999999994</v>
      </c>
    </row>
    <row r="422" spans="1:8" ht="15" thickBot="1">
      <c r="A422" s="64">
        <v>44966</v>
      </c>
      <c r="B422" s="18" t="s">
        <v>2642</v>
      </c>
      <c r="C422" s="30" t="s">
        <v>2646</v>
      </c>
      <c r="D422" s="30" t="s">
        <v>2651</v>
      </c>
      <c r="E422" s="18" t="s">
        <v>2373</v>
      </c>
      <c r="F422" s="16">
        <v>15</v>
      </c>
      <c r="G422" s="16">
        <v>4426.4399999999996</v>
      </c>
      <c r="H422" s="16">
        <v>66396.600000000006</v>
      </c>
    </row>
    <row r="423" spans="1:8" ht="15" thickBot="1">
      <c r="A423" s="31" t="s">
        <v>2448</v>
      </c>
      <c r="B423" s="18" t="s">
        <v>2642</v>
      </c>
      <c r="C423" s="30" t="s">
        <v>2645</v>
      </c>
      <c r="D423" s="30" t="s">
        <v>2655</v>
      </c>
      <c r="E423" s="18" t="s">
        <v>2373</v>
      </c>
      <c r="F423" s="16">
        <v>15</v>
      </c>
      <c r="G423" s="16">
        <v>4402.43</v>
      </c>
      <c r="H423" s="16">
        <v>66036.45</v>
      </c>
    </row>
    <row r="424" spans="1:8" ht="15" thickBot="1">
      <c r="A424" s="31" t="s">
        <v>2447</v>
      </c>
      <c r="B424" s="18" t="s">
        <v>2641</v>
      </c>
      <c r="C424" s="30" t="s">
        <v>2644</v>
      </c>
      <c r="D424" s="30" t="s">
        <v>2392</v>
      </c>
      <c r="E424" s="18" t="s">
        <v>2373</v>
      </c>
      <c r="F424" s="16">
        <v>14</v>
      </c>
      <c r="G424" s="16">
        <v>4649.53</v>
      </c>
      <c r="H424" s="16">
        <v>65093.42</v>
      </c>
    </row>
    <row r="425" spans="1:8" ht="15" thickBot="1">
      <c r="A425" s="31" t="s">
        <v>2499</v>
      </c>
      <c r="B425" s="18" t="s">
        <v>2641</v>
      </c>
      <c r="C425" s="30" t="s">
        <v>2648</v>
      </c>
      <c r="D425" s="30" t="s">
        <v>2656</v>
      </c>
      <c r="E425" s="18" t="s">
        <v>2373</v>
      </c>
      <c r="F425" s="16">
        <v>18</v>
      </c>
      <c r="G425" s="16">
        <v>3602.65</v>
      </c>
      <c r="H425" s="16">
        <v>64847.7</v>
      </c>
    </row>
    <row r="426" spans="1:8" ht="15" thickBot="1">
      <c r="A426" s="64">
        <v>45269</v>
      </c>
      <c r="B426" s="18" t="s">
        <v>2641</v>
      </c>
      <c r="C426" s="30" t="s">
        <v>2648</v>
      </c>
      <c r="D426" s="30" t="s">
        <v>2656</v>
      </c>
      <c r="E426" s="18" t="s">
        <v>2373</v>
      </c>
      <c r="F426" s="16">
        <v>17</v>
      </c>
      <c r="G426" s="16">
        <v>3791.82</v>
      </c>
      <c r="H426" s="16">
        <v>64460.94</v>
      </c>
    </row>
    <row r="427" spans="1:8" ht="15" thickBot="1">
      <c r="A427" s="31" t="s">
        <v>2569</v>
      </c>
      <c r="B427" s="18" t="s">
        <v>2642</v>
      </c>
      <c r="C427" s="30" t="s">
        <v>2646</v>
      </c>
      <c r="D427" s="30" t="s">
        <v>2651</v>
      </c>
      <c r="E427" s="18" t="s">
        <v>2373</v>
      </c>
      <c r="F427" s="16">
        <v>13</v>
      </c>
      <c r="G427" s="16">
        <v>4911.57</v>
      </c>
      <c r="H427" s="16">
        <v>63850.41</v>
      </c>
    </row>
    <row r="428" spans="1:8" ht="15" thickBot="1">
      <c r="A428" s="64">
        <v>44936</v>
      </c>
      <c r="B428" s="18" t="s">
        <v>2641</v>
      </c>
      <c r="C428" s="30" t="s">
        <v>2644</v>
      </c>
      <c r="D428" s="30" t="s">
        <v>2653</v>
      </c>
      <c r="E428" s="18" t="s">
        <v>2373</v>
      </c>
      <c r="F428" s="16">
        <v>16</v>
      </c>
      <c r="G428" s="16">
        <v>3988.32</v>
      </c>
      <c r="H428" s="16">
        <v>63813.120000000003</v>
      </c>
    </row>
    <row r="429" spans="1:8" ht="15" thickBot="1">
      <c r="A429" s="31" t="s">
        <v>2530</v>
      </c>
      <c r="B429" s="18" t="s">
        <v>2641</v>
      </c>
      <c r="C429" s="30" t="s">
        <v>2648</v>
      </c>
      <c r="D429" s="30" t="s">
        <v>2657</v>
      </c>
      <c r="E429" s="18" t="s">
        <v>2373</v>
      </c>
      <c r="F429" s="16">
        <v>18</v>
      </c>
      <c r="G429" s="16">
        <v>3524.11</v>
      </c>
      <c r="H429" s="16">
        <v>63433.98</v>
      </c>
    </row>
    <row r="430" spans="1:8" ht="15" thickBot="1">
      <c r="A430" s="31" t="s">
        <v>2503</v>
      </c>
      <c r="B430" s="18" t="s">
        <v>2642</v>
      </c>
      <c r="C430" s="30" t="s">
        <v>2645</v>
      </c>
      <c r="D430" s="30" t="s">
        <v>2658</v>
      </c>
      <c r="E430" s="18" t="s">
        <v>2373</v>
      </c>
      <c r="F430" s="16">
        <v>13</v>
      </c>
      <c r="G430" s="16">
        <v>4650.74</v>
      </c>
      <c r="H430" s="16">
        <v>60459.62</v>
      </c>
    </row>
    <row r="431" spans="1:8" ht="15" thickBot="1">
      <c r="A431" s="64">
        <v>44967</v>
      </c>
      <c r="B431" s="18" t="s">
        <v>2642</v>
      </c>
      <c r="C431" s="30" t="s">
        <v>2645</v>
      </c>
      <c r="D431" s="30" t="s">
        <v>2655</v>
      </c>
      <c r="E431" s="18" t="s">
        <v>2373</v>
      </c>
      <c r="F431" s="16">
        <v>12</v>
      </c>
      <c r="G431" s="16">
        <v>4945.7700000000004</v>
      </c>
      <c r="H431" s="16">
        <v>59349.24</v>
      </c>
    </row>
    <row r="432" spans="1:8" ht="15" thickBot="1">
      <c r="A432" s="31" t="s">
        <v>2462</v>
      </c>
      <c r="B432" s="18" t="s">
        <v>2642</v>
      </c>
      <c r="C432" s="30" t="s">
        <v>2646</v>
      </c>
      <c r="D432" s="30" t="s">
        <v>2654</v>
      </c>
      <c r="E432" s="18" t="s">
        <v>2373</v>
      </c>
      <c r="F432" s="16">
        <v>19</v>
      </c>
      <c r="G432" s="16">
        <v>3074.32</v>
      </c>
      <c r="H432" s="16">
        <v>58412.08</v>
      </c>
    </row>
    <row r="433" spans="1:8" ht="15" thickBot="1">
      <c r="A433" s="64">
        <v>45175</v>
      </c>
      <c r="B433" s="18" t="s">
        <v>2642</v>
      </c>
      <c r="C433" s="30" t="s">
        <v>2645</v>
      </c>
      <c r="D433" s="30" t="s">
        <v>2649</v>
      </c>
      <c r="E433" s="18" t="s">
        <v>2373</v>
      </c>
      <c r="F433" s="16">
        <v>19</v>
      </c>
      <c r="G433" s="16">
        <v>3044.32</v>
      </c>
      <c r="H433" s="16">
        <v>57842.080000000002</v>
      </c>
    </row>
    <row r="434" spans="1:8" ht="15" thickBot="1">
      <c r="A434" s="64">
        <v>45048</v>
      </c>
      <c r="B434" s="18" t="s">
        <v>2642</v>
      </c>
      <c r="C434" s="30" t="s">
        <v>2646</v>
      </c>
      <c r="D434" s="30" t="s">
        <v>2651</v>
      </c>
      <c r="E434" s="18" t="s">
        <v>2373</v>
      </c>
      <c r="F434" s="16">
        <v>20</v>
      </c>
      <c r="G434" s="16">
        <v>2860.11</v>
      </c>
      <c r="H434" s="16">
        <v>57202.2</v>
      </c>
    </row>
    <row r="435" spans="1:8" ht="15" thickBot="1">
      <c r="A435" s="31" t="s">
        <v>2460</v>
      </c>
      <c r="B435" s="18" t="s">
        <v>2642</v>
      </c>
      <c r="C435" s="30" t="s">
        <v>2645</v>
      </c>
      <c r="D435" s="30" t="s">
        <v>2658</v>
      </c>
      <c r="E435" s="18" t="s">
        <v>2373</v>
      </c>
      <c r="F435" s="16">
        <v>19</v>
      </c>
      <c r="G435" s="16">
        <v>2848.96</v>
      </c>
      <c r="H435" s="16">
        <v>54130.239999999998</v>
      </c>
    </row>
    <row r="436" spans="1:8" ht="15" thickBot="1">
      <c r="A436" s="31" t="s">
        <v>2589</v>
      </c>
      <c r="B436" s="18" t="s">
        <v>2641</v>
      </c>
      <c r="C436" s="30" t="s">
        <v>2648</v>
      </c>
      <c r="D436" s="30" t="s">
        <v>2656</v>
      </c>
      <c r="E436" s="18" t="s">
        <v>2373</v>
      </c>
      <c r="F436" s="16">
        <v>11</v>
      </c>
      <c r="G436" s="16">
        <v>4530.5600000000004</v>
      </c>
      <c r="H436" s="16">
        <v>49836.160000000003</v>
      </c>
    </row>
    <row r="437" spans="1:8" ht="15" thickBot="1">
      <c r="A437" s="31" t="s">
        <v>2511</v>
      </c>
      <c r="B437" s="18" t="s">
        <v>2643</v>
      </c>
      <c r="C437" s="30" t="s">
        <v>2647</v>
      </c>
      <c r="D437" s="30" t="s">
        <v>2660</v>
      </c>
      <c r="E437" s="18" t="s">
        <v>2373</v>
      </c>
      <c r="F437" s="16">
        <v>15</v>
      </c>
      <c r="G437" s="16">
        <v>3256.2</v>
      </c>
      <c r="H437" s="16">
        <v>48843</v>
      </c>
    </row>
    <row r="438" spans="1:8" ht="15" thickBot="1">
      <c r="A438" s="31" t="s">
        <v>2494</v>
      </c>
      <c r="B438" s="18" t="s">
        <v>2643</v>
      </c>
      <c r="C438" s="30" t="s">
        <v>2647</v>
      </c>
      <c r="D438" s="30" t="s">
        <v>2652</v>
      </c>
      <c r="E438" s="18" t="s">
        <v>2373</v>
      </c>
      <c r="F438" s="16">
        <v>15</v>
      </c>
      <c r="G438" s="16">
        <v>3218.59</v>
      </c>
      <c r="H438" s="16">
        <v>48278.85</v>
      </c>
    </row>
    <row r="439" spans="1:8" ht="15" thickBot="1">
      <c r="A439" s="31" t="s">
        <v>2582</v>
      </c>
      <c r="B439" s="18" t="s">
        <v>2643</v>
      </c>
      <c r="C439" s="30" t="s">
        <v>2647</v>
      </c>
      <c r="D439" s="30" t="s">
        <v>2659</v>
      </c>
      <c r="E439" s="18" t="s">
        <v>2373</v>
      </c>
      <c r="F439" s="16">
        <v>12</v>
      </c>
      <c r="G439" s="16">
        <v>4011.85</v>
      </c>
      <c r="H439" s="16">
        <v>48142.2</v>
      </c>
    </row>
    <row r="440" spans="1:8" ht="15" thickBot="1">
      <c r="A440" s="31" t="s">
        <v>2529</v>
      </c>
      <c r="B440" s="18" t="s">
        <v>2643</v>
      </c>
      <c r="C440" s="30" t="s">
        <v>2647</v>
      </c>
      <c r="D440" s="30" t="s">
        <v>2659</v>
      </c>
      <c r="E440" s="18" t="s">
        <v>2373</v>
      </c>
      <c r="F440" s="16">
        <v>19</v>
      </c>
      <c r="G440" s="16">
        <v>2532.7800000000002</v>
      </c>
      <c r="H440" s="16">
        <v>48122.82</v>
      </c>
    </row>
    <row r="441" spans="1:8" ht="15" thickBot="1">
      <c r="A441" s="31" t="s">
        <v>2473</v>
      </c>
      <c r="B441" s="18" t="s">
        <v>2641</v>
      </c>
      <c r="C441" s="30" t="s">
        <v>2648</v>
      </c>
      <c r="D441" s="30" t="s">
        <v>2656</v>
      </c>
      <c r="E441" s="18" t="s">
        <v>2373</v>
      </c>
      <c r="F441" s="16">
        <v>14</v>
      </c>
      <c r="G441" s="16">
        <v>3433.55</v>
      </c>
      <c r="H441" s="16">
        <v>48069.7</v>
      </c>
    </row>
    <row r="442" spans="1:8" ht="15" thickBot="1">
      <c r="A442" s="64">
        <v>45261</v>
      </c>
      <c r="B442" s="18" t="s">
        <v>2642</v>
      </c>
      <c r="C442" s="30" t="s">
        <v>2645</v>
      </c>
      <c r="D442" s="30" t="s">
        <v>2655</v>
      </c>
      <c r="E442" s="18" t="s">
        <v>2373</v>
      </c>
      <c r="F442" s="16">
        <v>16</v>
      </c>
      <c r="G442" s="16">
        <v>2976.17</v>
      </c>
      <c r="H442" s="16">
        <v>47618.720000000001</v>
      </c>
    </row>
    <row r="443" spans="1:8" ht="15" thickBot="1">
      <c r="A443" s="64">
        <v>44986</v>
      </c>
      <c r="B443" s="18" t="s">
        <v>2641</v>
      </c>
      <c r="C443" s="30" t="s">
        <v>2648</v>
      </c>
      <c r="D443" s="30" t="s">
        <v>2656</v>
      </c>
      <c r="E443" s="18" t="s">
        <v>2373</v>
      </c>
      <c r="F443" s="16">
        <v>11</v>
      </c>
      <c r="G443" s="16">
        <v>4205.55</v>
      </c>
      <c r="H443" s="16">
        <v>46261.05</v>
      </c>
    </row>
    <row r="444" spans="1:8" ht="15" thickBot="1">
      <c r="A444" s="31" t="s">
        <v>2572</v>
      </c>
      <c r="B444" s="18" t="s">
        <v>2641</v>
      </c>
      <c r="C444" s="30" t="s">
        <v>2644</v>
      </c>
      <c r="D444" s="30" t="s">
        <v>2393</v>
      </c>
      <c r="E444" s="18" t="s">
        <v>2373</v>
      </c>
      <c r="F444" s="16">
        <v>16</v>
      </c>
      <c r="G444" s="16">
        <v>2882.65</v>
      </c>
      <c r="H444" s="16">
        <v>46122.400000000001</v>
      </c>
    </row>
    <row r="445" spans="1:8" ht="15" thickBot="1">
      <c r="A445" s="31" t="s">
        <v>2491</v>
      </c>
      <c r="B445" s="18" t="s">
        <v>2641</v>
      </c>
      <c r="C445" s="30" t="s">
        <v>2648</v>
      </c>
      <c r="D445" s="30" t="s">
        <v>2396</v>
      </c>
      <c r="E445" s="18" t="s">
        <v>2373</v>
      </c>
      <c r="F445" s="16">
        <v>11</v>
      </c>
      <c r="G445" s="16">
        <v>4188.37</v>
      </c>
      <c r="H445" s="16">
        <v>46072.07</v>
      </c>
    </row>
    <row r="446" spans="1:8" ht="15" thickBot="1">
      <c r="A446" s="64">
        <v>45110</v>
      </c>
      <c r="B446" s="18" t="s">
        <v>2641</v>
      </c>
      <c r="C446" s="30" t="s">
        <v>2644</v>
      </c>
      <c r="D446" s="30" t="s">
        <v>2392</v>
      </c>
      <c r="E446" s="18" t="s">
        <v>2373</v>
      </c>
      <c r="F446" s="16">
        <v>14</v>
      </c>
      <c r="G446" s="16">
        <v>3259.64</v>
      </c>
      <c r="H446" s="16">
        <v>45634.96</v>
      </c>
    </row>
    <row r="447" spans="1:8" ht="15" thickBot="1">
      <c r="A447" s="31" t="s">
        <v>2474</v>
      </c>
      <c r="B447" s="18" t="s">
        <v>2642</v>
      </c>
      <c r="C447" s="30" t="s">
        <v>2646</v>
      </c>
      <c r="D447" s="30" t="s">
        <v>2654</v>
      </c>
      <c r="E447" s="18" t="s">
        <v>2373</v>
      </c>
      <c r="F447" s="16">
        <v>10</v>
      </c>
      <c r="G447" s="16">
        <v>4496.3900000000003</v>
      </c>
      <c r="H447" s="16">
        <v>44963.9</v>
      </c>
    </row>
    <row r="448" spans="1:8" ht="15" thickBot="1">
      <c r="A448" s="31" t="s">
        <v>2523</v>
      </c>
      <c r="B448" s="18" t="s">
        <v>2642</v>
      </c>
      <c r="C448" s="30" t="s">
        <v>2646</v>
      </c>
      <c r="D448" s="30" t="s">
        <v>2654</v>
      </c>
      <c r="E448" s="18" t="s">
        <v>2373</v>
      </c>
      <c r="F448" s="16">
        <v>16</v>
      </c>
      <c r="G448" s="16">
        <v>2793.48</v>
      </c>
      <c r="H448" s="16">
        <v>44695.68</v>
      </c>
    </row>
    <row r="449" spans="1:8" ht="15" thickBot="1">
      <c r="A449" s="31" t="s">
        <v>2590</v>
      </c>
      <c r="B449" s="18" t="s">
        <v>2641</v>
      </c>
      <c r="C449" s="30" t="s">
        <v>2644</v>
      </c>
      <c r="D449" s="30" t="s">
        <v>2393</v>
      </c>
      <c r="E449" s="18" t="s">
        <v>2373</v>
      </c>
      <c r="F449" s="16">
        <v>12</v>
      </c>
      <c r="G449" s="16">
        <v>3686.27</v>
      </c>
      <c r="H449" s="16">
        <v>44235.24</v>
      </c>
    </row>
    <row r="450" spans="1:8" ht="15" thickBot="1">
      <c r="A450" s="64">
        <v>44933</v>
      </c>
      <c r="B450" s="18" t="s">
        <v>2641</v>
      </c>
      <c r="C450" s="30" t="s">
        <v>2644</v>
      </c>
      <c r="D450" s="30" t="s">
        <v>2392</v>
      </c>
      <c r="E450" s="18" t="s">
        <v>2373</v>
      </c>
      <c r="F450" s="16">
        <v>11</v>
      </c>
      <c r="G450" s="16">
        <v>3969.39</v>
      </c>
      <c r="H450" s="16">
        <v>43663.29</v>
      </c>
    </row>
    <row r="451" spans="1:8" ht="15" thickBot="1">
      <c r="A451" s="31" t="s">
        <v>2506</v>
      </c>
      <c r="B451" s="18" t="s">
        <v>2642</v>
      </c>
      <c r="C451" s="30" t="s">
        <v>2645</v>
      </c>
      <c r="D451" s="30" t="s">
        <v>2658</v>
      </c>
      <c r="E451" s="18" t="s">
        <v>2373</v>
      </c>
      <c r="F451" s="16">
        <v>16</v>
      </c>
      <c r="G451" s="16">
        <v>2573.33</v>
      </c>
      <c r="H451" s="16">
        <v>41173.279999999999</v>
      </c>
    </row>
    <row r="452" spans="1:8" ht="15" thickBot="1">
      <c r="A452" s="64">
        <v>44993</v>
      </c>
      <c r="B452" s="18" t="s">
        <v>2641</v>
      </c>
      <c r="C452" s="30" t="s">
        <v>2644</v>
      </c>
      <c r="D452" s="30" t="s">
        <v>2392</v>
      </c>
      <c r="E452" s="18" t="s">
        <v>2373</v>
      </c>
      <c r="F452" s="16">
        <v>14</v>
      </c>
      <c r="G452" s="16">
        <v>2918.42</v>
      </c>
      <c r="H452" s="16">
        <v>40857.879999999997</v>
      </c>
    </row>
    <row r="453" spans="1:8" ht="15" thickBot="1">
      <c r="A453" s="31" t="s">
        <v>2495</v>
      </c>
      <c r="B453" s="18" t="s">
        <v>2641</v>
      </c>
      <c r="C453" s="30" t="s">
        <v>2644</v>
      </c>
      <c r="D453" s="30" t="s">
        <v>2653</v>
      </c>
      <c r="E453" s="18" t="s">
        <v>2373</v>
      </c>
      <c r="F453" s="16">
        <v>11</v>
      </c>
      <c r="G453" s="16">
        <v>3646.35</v>
      </c>
      <c r="H453" s="16">
        <v>40109.85</v>
      </c>
    </row>
    <row r="454" spans="1:8" ht="15" thickBot="1">
      <c r="A454" s="31" t="s">
        <v>2482</v>
      </c>
      <c r="B454" s="18" t="s">
        <v>2643</v>
      </c>
      <c r="C454" s="30" t="s">
        <v>2647</v>
      </c>
      <c r="D454" s="30" t="s">
        <v>2660</v>
      </c>
      <c r="E454" s="18" t="s">
        <v>2373</v>
      </c>
      <c r="F454" s="16">
        <v>16</v>
      </c>
      <c r="G454" s="16">
        <v>2502.5700000000002</v>
      </c>
      <c r="H454" s="16">
        <v>40041.120000000003</v>
      </c>
    </row>
    <row r="455" spans="1:8" ht="15" thickBot="1">
      <c r="A455" s="31" t="s">
        <v>2509</v>
      </c>
      <c r="B455" s="18" t="s">
        <v>2643</v>
      </c>
      <c r="C455" s="30" t="s">
        <v>2647</v>
      </c>
      <c r="D455" s="30" t="s">
        <v>2652</v>
      </c>
      <c r="E455" s="18" t="s">
        <v>2373</v>
      </c>
      <c r="F455" s="16">
        <v>13</v>
      </c>
      <c r="G455" s="16">
        <v>3069.28</v>
      </c>
      <c r="H455" s="16">
        <v>39900.639999999999</v>
      </c>
    </row>
    <row r="456" spans="1:8" ht="15" thickBot="1">
      <c r="A456" s="31" t="s">
        <v>2620</v>
      </c>
      <c r="B456" s="18" t="s">
        <v>2641</v>
      </c>
      <c r="C456" s="30" t="s">
        <v>2644</v>
      </c>
      <c r="D456" s="30" t="s">
        <v>2653</v>
      </c>
      <c r="E456" s="18" t="s">
        <v>2373</v>
      </c>
      <c r="F456" s="16">
        <v>10</v>
      </c>
      <c r="G456" s="16">
        <v>3882.87</v>
      </c>
      <c r="H456" s="16">
        <v>38828.699999999997</v>
      </c>
    </row>
    <row r="457" spans="1:8" ht="15" thickBot="1">
      <c r="A457" s="31" t="s">
        <v>2441</v>
      </c>
      <c r="B457" s="18" t="s">
        <v>2641</v>
      </c>
      <c r="C457" s="30" t="s">
        <v>2648</v>
      </c>
      <c r="D457" s="30" t="s">
        <v>2656</v>
      </c>
      <c r="E457" s="18" t="s">
        <v>2373</v>
      </c>
      <c r="F457" s="16">
        <v>14</v>
      </c>
      <c r="G457" s="16">
        <v>2715.54</v>
      </c>
      <c r="H457" s="16">
        <v>38017.56</v>
      </c>
    </row>
    <row r="458" spans="1:8" ht="15" thickBot="1">
      <c r="A458" s="31" t="s">
        <v>2452</v>
      </c>
      <c r="B458" s="18" t="s">
        <v>2641</v>
      </c>
      <c r="C458" s="30" t="s">
        <v>2644</v>
      </c>
      <c r="D458" s="30" t="s">
        <v>2392</v>
      </c>
      <c r="E458" s="18" t="s">
        <v>2373</v>
      </c>
      <c r="F458" s="16">
        <v>8</v>
      </c>
      <c r="G458" s="16">
        <v>4621.75</v>
      </c>
      <c r="H458" s="16">
        <v>36974</v>
      </c>
    </row>
    <row r="459" spans="1:8" ht="15" thickBot="1">
      <c r="A459" s="31" t="s">
        <v>2529</v>
      </c>
      <c r="B459" s="18" t="s">
        <v>2641</v>
      </c>
      <c r="C459" s="30" t="s">
        <v>2644</v>
      </c>
      <c r="D459" s="30" t="s">
        <v>2392</v>
      </c>
      <c r="E459" s="18" t="s">
        <v>2373</v>
      </c>
      <c r="F459" s="16">
        <v>12</v>
      </c>
      <c r="G459" s="16">
        <v>3074.45</v>
      </c>
      <c r="H459" s="16">
        <v>36893.4</v>
      </c>
    </row>
    <row r="460" spans="1:8" ht="15" thickBot="1">
      <c r="A460" s="31" t="s">
        <v>2442</v>
      </c>
      <c r="B460" s="18" t="s">
        <v>2643</v>
      </c>
      <c r="C460" s="30" t="s">
        <v>2647</v>
      </c>
      <c r="D460" s="30" t="s">
        <v>2652</v>
      </c>
      <c r="E460" s="18" t="s">
        <v>2373</v>
      </c>
      <c r="F460" s="16">
        <v>16</v>
      </c>
      <c r="G460" s="16">
        <v>2178.7800000000002</v>
      </c>
      <c r="H460" s="16">
        <v>34860.480000000003</v>
      </c>
    </row>
    <row r="461" spans="1:8" ht="15" thickBot="1">
      <c r="A461" s="64">
        <v>44933</v>
      </c>
      <c r="B461" s="18" t="s">
        <v>2643</v>
      </c>
      <c r="C461" s="30" t="s">
        <v>2647</v>
      </c>
      <c r="D461" s="30" t="s">
        <v>2660</v>
      </c>
      <c r="E461" s="18" t="s">
        <v>2373</v>
      </c>
      <c r="F461" s="16">
        <v>14</v>
      </c>
      <c r="G461" s="16">
        <v>2429.23</v>
      </c>
      <c r="H461" s="16">
        <v>34009.22</v>
      </c>
    </row>
    <row r="462" spans="1:8" ht="15" thickBot="1">
      <c r="A462" s="31" t="s">
        <v>2444</v>
      </c>
      <c r="B462" s="18" t="s">
        <v>2643</v>
      </c>
      <c r="C462" s="30" t="s">
        <v>2647</v>
      </c>
      <c r="D462" s="30" t="s">
        <v>2659</v>
      </c>
      <c r="E462" s="18" t="s">
        <v>2373</v>
      </c>
      <c r="F462" s="16">
        <v>7</v>
      </c>
      <c r="G462" s="16">
        <v>4803.62</v>
      </c>
      <c r="H462" s="16">
        <v>33625.339999999997</v>
      </c>
    </row>
    <row r="463" spans="1:8" ht="15" thickBot="1">
      <c r="A463" s="31" t="s">
        <v>2547</v>
      </c>
      <c r="B463" s="18" t="s">
        <v>2641</v>
      </c>
      <c r="C463" s="30" t="s">
        <v>2648</v>
      </c>
      <c r="D463" s="30" t="s">
        <v>2396</v>
      </c>
      <c r="E463" s="18" t="s">
        <v>2373</v>
      </c>
      <c r="F463" s="16">
        <v>8</v>
      </c>
      <c r="G463" s="16">
        <v>4169.8999999999996</v>
      </c>
      <c r="H463" s="16">
        <v>33359.199999999997</v>
      </c>
    </row>
    <row r="464" spans="1:8" ht="15" thickBot="1">
      <c r="A464" s="31" t="s">
        <v>2553</v>
      </c>
      <c r="B464" s="18" t="s">
        <v>2641</v>
      </c>
      <c r="C464" s="30" t="s">
        <v>2644</v>
      </c>
      <c r="D464" s="30" t="s">
        <v>2653</v>
      </c>
      <c r="E464" s="18" t="s">
        <v>2373</v>
      </c>
      <c r="F464" s="16">
        <v>9</v>
      </c>
      <c r="G464" s="16">
        <v>3678.86</v>
      </c>
      <c r="H464" s="16">
        <v>33109.74</v>
      </c>
    </row>
    <row r="465" spans="1:8" ht="15" thickBot="1">
      <c r="A465" s="64">
        <v>45028</v>
      </c>
      <c r="B465" s="18" t="s">
        <v>2642</v>
      </c>
      <c r="C465" s="30" t="s">
        <v>2646</v>
      </c>
      <c r="D465" s="30" t="s">
        <v>2651</v>
      </c>
      <c r="E465" s="18" t="s">
        <v>2373</v>
      </c>
      <c r="F465" s="16">
        <v>7</v>
      </c>
      <c r="G465" s="16">
        <v>4720.63</v>
      </c>
      <c r="H465" s="16">
        <v>33044.410000000003</v>
      </c>
    </row>
    <row r="466" spans="1:8" ht="15" thickBot="1">
      <c r="A466" s="31" t="s">
        <v>2545</v>
      </c>
      <c r="B466" s="18" t="s">
        <v>2641</v>
      </c>
      <c r="C466" s="30" t="s">
        <v>2648</v>
      </c>
      <c r="D466" s="30" t="s">
        <v>2657</v>
      </c>
      <c r="E466" s="18" t="s">
        <v>2373</v>
      </c>
      <c r="F466" s="16">
        <v>15</v>
      </c>
      <c r="G466" s="16">
        <v>2167.91</v>
      </c>
      <c r="H466" s="16">
        <v>32518.65</v>
      </c>
    </row>
    <row r="467" spans="1:8" ht="15" thickBot="1">
      <c r="A467" s="31" t="s">
        <v>2473</v>
      </c>
      <c r="B467" s="18" t="s">
        <v>2643</v>
      </c>
      <c r="C467" s="30" t="s">
        <v>2647</v>
      </c>
      <c r="D467" s="30" t="s">
        <v>2659</v>
      </c>
      <c r="E467" s="18" t="s">
        <v>2373</v>
      </c>
      <c r="F467" s="16">
        <v>20</v>
      </c>
      <c r="G467" s="16">
        <v>1592.52</v>
      </c>
      <c r="H467" s="16">
        <v>31850.400000000001</v>
      </c>
    </row>
    <row r="468" spans="1:8" ht="15" thickBot="1">
      <c r="A468" s="64">
        <v>45267</v>
      </c>
      <c r="B468" s="18" t="s">
        <v>2641</v>
      </c>
      <c r="C468" s="30" t="s">
        <v>2644</v>
      </c>
      <c r="D468" s="30" t="s">
        <v>2393</v>
      </c>
      <c r="E468" s="18" t="s">
        <v>2373</v>
      </c>
      <c r="F468" s="16">
        <v>16</v>
      </c>
      <c r="G468" s="16">
        <v>1933.33</v>
      </c>
      <c r="H468" s="16">
        <v>30933.279999999999</v>
      </c>
    </row>
    <row r="469" spans="1:8" ht="15" thickBot="1">
      <c r="A469" s="64">
        <v>45050</v>
      </c>
      <c r="B469" s="18" t="s">
        <v>2641</v>
      </c>
      <c r="C469" s="30" t="s">
        <v>2648</v>
      </c>
      <c r="D469" s="30" t="s">
        <v>2657</v>
      </c>
      <c r="E469" s="18" t="s">
        <v>2373</v>
      </c>
      <c r="F469" s="16">
        <v>13</v>
      </c>
      <c r="G469" s="16">
        <v>2351.59</v>
      </c>
      <c r="H469" s="16">
        <v>30570.67</v>
      </c>
    </row>
    <row r="470" spans="1:8" ht="15" thickBot="1">
      <c r="A470" s="31" t="s">
        <v>2572</v>
      </c>
      <c r="B470" s="18" t="s">
        <v>2641</v>
      </c>
      <c r="C470" s="30" t="s">
        <v>2648</v>
      </c>
      <c r="D470" s="30" t="s">
        <v>2396</v>
      </c>
      <c r="E470" s="18" t="s">
        <v>2373</v>
      </c>
      <c r="F470" s="16">
        <v>15</v>
      </c>
      <c r="G470" s="16">
        <v>2006.04</v>
      </c>
      <c r="H470" s="16">
        <v>30090.6</v>
      </c>
    </row>
    <row r="471" spans="1:8" ht="15" thickBot="1">
      <c r="A471" s="31" t="s">
        <v>2564</v>
      </c>
      <c r="B471" s="18" t="s">
        <v>2641</v>
      </c>
      <c r="C471" s="30" t="s">
        <v>2644</v>
      </c>
      <c r="D471" s="30" t="s">
        <v>2653</v>
      </c>
      <c r="E471" s="18" t="s">
        <v>2373</v>
      </c>
      <c r="F471" s="16">
        <v>7</v>
      </c>
      <c r="G471" s="16">
        <v>4238.07</v>
      </c>
      <c r="H471" s="16">
        <v>29666.49</v>
      </c>
    </row>
    <row r="472" spans="1:8" ht="15" thickBot="1">
      <c r="A472" s="64">
        <v>45240</v>
      </c>
      <c r="B472" s="18" t="s">
        <v>2642</v>
      </c>
      <c r="C472" s="30" t="s">
        <v>2645</v>
      </c>
      <c r="D472" s="30" t="s">
        <v>2658</v>
      </c>
      <c r="E472" s="18" t="s">
        <v>2373</v>
      </c>
      <c r="F472" s="16">
        <v>9</v>
      </c>
      <c r="G472" s="16">
        <v>3193.9</v>
      </c>
      <c r="H472" s="16">
        <v>28745.1</v>
      </c>
    </row>
    <row r="473" spans="1:8" ht="15" thickBot="1">
      <c r="A473" s="31" t="s">
        <v>2633</v>
      </c>
      <c r="B473" s="18" t="s">
        <v>2642</v>
      </c>
      <c r="C473" s="30" t="s">
        <v>2646</v>
      </c>
      <c r="D473" s="30" t="s">
        <v>2651</v>
      </c>
      <c r="E473" s="18" t="s">
        <v>2373</v>
      </c>
      <c r="F473" s="16">
        <v>10</v>
      </c>
      <c r="G473" s="16">
        <v>2861.62</v>
      </c>
      <c r="H473" s="16">
        <v>28616.2</v>
      </c>
    </row>
    <row r="474" spans="1:8" ht="15" thickBot="1">
      <c r="A474" s="31" t="s">
        <v>2489</v>
      </c>
      <c r="B474" s="18" t="s">
        <v>2643</v>
      </c>
      <c r="C474" s="30" t="s">
        <v>2647</v>
      </c>
      <c r="D474" s="30" t="s">
        <v>2659</v>
      </c>
      <c r="E474" s="18" t="s">
        <v>2373</v>
      </c>
      <c r="F474" s="16">
        <v>9</v>
      </c>
      <c r="G474" s="16">
        <v>3095.35</v>
      </c>
      <c r="H474" s="16">
        <v>27858.15</v>
      </c>
    </row>
    <row r="475" spans="1:8" ht="15" thickBot="1">
      <c r="A475" s="31" t="s">
        <v>2495</v>
      </c>
      <c r="B475" s="18" t="s">
        <v>2641</v>
      </c>
      <c r="C475" s="30" t="s">
        <v>2648</v>
      </c>
      <c r="D475" s="30" t="s">
        <v>2396</v>
      </c>
      <c r="E475" s="18" t="s">
        <v>2373</v>
      </c>
      <c r="F475" s="16">
        <v>11</v>
      </c>
      <c r="G475" s="16">
        <v>2522.63</v>
      </c>
      <c r="H475" s="16">
        <v>27748.93</v>
      </c>
    </row>
    <row r="476" spans="1:8" ht="15" thickBot="1">
      <c r="A476" s="31" t="s">
        <v>2481</v>
      </c>
      <c r="B476" s="18" t="s">
        <v>2641</v>
      </c>
      <c r="C476" s="30" t="s">
        <v>2648</v>
      </c>
      <c r="D476" s="30" t="s">
        <v>2396</v>
      </c>
      <c r="E476" s="18" t="s">
        <v>2373</v>
      </c>
      <c r="F476" s="16">
        <v>20</v>
      </c>
      <c r="G476" s="16">
        <v>1353.54</v>
      </c>
      <c r="H476" s="16">
        <v>27070.799999999999</v>
      </c>
    </row>
    <row r="477" spans="1:8" ht="15" thickBot="1">
      <c r="A477" s="31" t="s">
        <v>2507</v>
      </c>
      <c r="B477" s="18" t="s">
        <v>2642</v>
      </c>
      <c r="C477" s="30" t="s">
        <v>2645</v>
      </c>
      <c r="D477" s="30" t="s">
        <v>2649</v>
      </c>
      <c r="E477" s="18" t="s">
        <v>2373</v>
      </c>
      <c r="F477" s="16">
        <v>19</v>
      </c>
      <c r="G477" s="16">
        <v>1398.49</v>
      </c>
      <c r="H477" s="16">
        <v>26571.31</v>
      </c>
    </row>
    <row r="478" spans="1:8" ht="15" thickBot="1">
      <c r="A478" s="31" t="s">
        <v>2459</v>
      </c>
      <c r="B478" s="18" t="s">
        <v>2642</v>
      </c>
      <c r="C478" s="30" t="s">
        <v>2645</v>
      </c>
      <c r="D478" s="30" t="s">
        <v>2655</v>
      </c>
      <c r="E478" s="18" t="s">
        <v>2373</v>
      </c>
      <c r="F478" s="16">
        <v>20</v>
      </c>
      <c r="G478" s="16">
        <v>1310.3699999999999</v>
      </c>
      <c r="H478" s="16">
        <v>26207.4</v>
      </c>
    </row>
    <row r="479" spans="1:8" ht="15" thickBot="1">
      <c r="A479" s="31" t="s">
        <v>2471</v>
      </c>
      <c r="B479" s="18" t="s">
        <v>2643</v>
      </c>
      <c r="C479" s="30" t="s">
        <v>2647</v>
      </c>
      <c r="D479" s="30" t="s">
        <v>2660</v>
      </c>
      <c r="E479" s="18" t="s">
        <v>2373</v>
      </c>
      <c r="F479" s="16">
        <v>17</v>
      </c>
      <c r="G479" s="16">
        <v>1538.4</v>
      </c>
      <c r="H479" s="16">
        <v>26152.799999999999</v>
      </c>
    </row>
    <row r="480" spans="1:8" ht="15" thickBot="1">
      <c r="A480" s="64">
        <v>45147</v>
      </c>
      <c r="B480" s="18" t="s">
        <v>2641</v>
      </c>
      <c r="C480" s="30" t="s">
        <v>2648</v>
      </c>
      <c r="D480" s="30" t="s">
        <v>2656</v>
      </c>
      <c r="E480" s="18" t="s">
        <v>2373</v>
      </c>
      <c r="F480" s="16">
        <v>18</v>
      </c>
      <c r="G480" s="16">
        <v>1376.52</v>
      </c>
      <c r="H480" s="16">
        <v>24777.360000000001</v>
      </c>
    </row>
    <row r="481" spans="1:8" ht="15" thickBot="1">
      <c r="A481" s="31" t="s">
        <v>2435</v>
      </c>
      <c r="B481" s="18" t="s">
        <v>2642</v>
      </c>
      <c r="C481" s="30" t="s">
        <v>2645</v>
      </c>
      <c r="D481" s="30" t="s">
        <v>2655</v>
      </c>
      <c r="E481" s="18" t="s">
        <v>2373</v>
      </c>
      <c r="F481" s="16">
        <v>7</v>
      </c>
      <c r="G481" s="16">
        <v>3402.48</v>
      </c>
      <c r="H481" s="16">
        <v>23817.360000000001</v>
      </c>
    </row>
    <row r="482" spans="1:8" ht="15" thickBot="1">
      <c r="A482" s="31" t="s">
        <v>2567</v>
      </c>
      <c r="B482" s="18" t="s">
        <v>2642</v>
      </c>
      <c r="C482" s="30" t="s">
        <v>2646</v>
      </c>
      <c r="D482" s="30" t="s">
        <v>2650</v>
      </c>
      <c r="E482" s="18" t="s">
        <v>2373</v>
      </c>
      <c r="F482" s="16">
        <v>10</v>
      </c>
      <c r="G482" s="16">
        <v>2349.2399999999998</v>
      </c>
      <c r="H482" s="16">
        <v>23492.400000000001</v>
      </c>
    </row>
    <row r="483" spans="1:8" ht="15" thickBot="1">
      <c r="A483" s="64">
        <v>44989</v>
      </c>
      <c r="B483" s="18" t="s">
        <v>2642</v>
      </c>
      <c r="C483" s="30" t="s">
        <v>2645</v>
      </c>
      <c r="D483" s="30" t="s">
        <v>2655</v>
      </c>
      <c r="E483" s="18" t="s">
        <v>2373</v>
      </c>
      <c r="F483" s="16">
        <v>14</v>
      </c>
      <c r="G483" s="16">
        <v>1658.39</v>
      </c>
      <c r="H483" s="16">
        <v>23217.46</v>
      </c>
    </row>
    <row r="484" spans="1:8" ht="15" thickBot="1">
      <c r="A484" s="64">
        <v>44928</v>
      </c>
      <c r="B484" s="18" t="s">
        <v>2641</v>
      </c>
      <c r="C484" s="30" t="s">
        <v>2648</v>
      </c>
      <c r="D484" s="30" t="s">
        <v>2656</v>
      </c>
      <c r="E484" s="18" t="s">
        <v>2373</v>
      </c>
      <c r="F484" s="16">
        <v>17</v>
      </c>
      <c r="G484" s="16">
        <v>1356.25</v>
      </c>
      <c r="H484" s="16">
        <v>23056.25</v>
      </c>
    </row>
    <row r="485" spans="1:8" ht="15" thickBot="1">
      <c r="A485" s="31" t="s">
        <v>2455</v>
      </c>
      <c r="B485" s="18" t="s">
        <v>2641</v>
      </c>
      <c r="C485" s="30" t="s">
        <v>2644</v>
      </c>
      <c r="D485" s="30" t="s">
        <v>2393</v>
      </c>
      <c r="E485" s="18" t="s">
        <v>2373</v>
      </c>
      <c r="F485" s="16">
        <v>17</v>
      </c>
      <c r="G485" s="16">
        <v>1333.71</v>
      </c>
      <c r="H485" s="16">
        <v>22673.07</v>
      </c>
    </row>
    <row r="486" spans="1:8" ht="15" thickBot="1">
      <c r="A486" s="31" t="s">
        <v>2456</v>
      </c>
      <c r="B486" s="18" t="s">
        <v>2643</v>
      </c>
      <c r="C486" s="30" t="s">
        <v>2647</v>
      </c>
      <c r="D486" s="30" t="s">
        <v>2652</v>
      </c>
      <c r="E486" s="18" t="s">
        <v>2373</v>
      </c>
      <c r="F486" s="16">
        <v>14</v>
      </c>
      <c r="G486" s="16">
        <v>1598.93</v>
      </c>
      <c r="H486" s="16">
        <v>22385.02</v>
      </c>
    </row>
    <row r="487" spans="1:8" ht="15" thickBot="1">
      <c r="A487" s="31" t="s">
        <v>2501</v>
      </c>
      <c r="B487" s="18" t="s">
        <v>2643</v>
      </c>
      <c r="C487" s="30" t="s">
        <v>2647</v>
      </c>
      <c r="D487" s="30" t="s">
        <v>2652</v>
      </c>
      <c r="E487" s="18" t="s">
        <v>2373</v>
      </c>
      <c r="F487" s="16">
        <v>6</v>
      </c>
      <c r="G487" s="16">
        <v>3671.84</v>
      </c>
      <c r="H487" s="16">
        <v>22031.040000000001</v>
      </c>
    </row>
    <row r="488" spans="1:8" ht="15" thickBot="1">
      <c r="A488" s="31" t="s">
        <v>2528</v>
      </c>
      <c r="B488" s="18" t="s">
        <v>2641</v>
      </c>
      <c r="C488" s="30" t="s">
        <v>2644</v>
      </c>
      <c r="D488" s="30" t="s">
        <v>2653</v>
      </c>
      <c r="E488" s="18" t="s">
        <v>2373</v>
      </c>
      <c r="F488" s="16">
        <v>5</v>
      </c>
      <c r="G488" s="16">
        <v>4386.2</v>
      </c>
      <c r="H488" s="16">
        <v>21931</v>
      </c>
    </row>
    <row r="489" spans="1:8" ht="15" thickBot="1">
      <c r="A489" s="31" t="s">
        <v>2579</v>
      </c>
      <c r="B489" s="18" t="s">
        <v>2642</v>
      </c>
      <c r="C489" s="30" t="s">
        <v>2645</v>
      </c>
      <c r="D489" s="30" t="s">
        <v>2655</v>
      </c>
      <c r="E489" s="18" t="s">
        <v>2373</v>
      </c>
      <c r="F489" s="16">
        <v>7</v>
      </c>
      <c r="G489" s="16">
        <v>3052.99</v>
      </c>
      <c r="H489" s="16">
        <v>21370.93</v>
      </c>
    </row>
    <row r="490" spans="1:8" ht="15" thickBot="1">
      <c r="A490" s="31" t="s">
        <v>2480</v>
      </c>
      <c r="B490" s="18" t="s">
        <v>2642</v>
      </c>
      <c r="C490" s="30" t="s">
        <v>2646</v>
      </c>
      <c r="D490" s="30" t="s">
        <v>2654</v>
      </c>
      <c r="E490" s="18" t="s">
        <v>2373</v>
      </c>
      <c r="F490" s="16">
        <v>14</v>
      </c>
      <c r="G490" s="16">
        <v>1507.19</v>
      </c>
      <c r="H490" s="16">
        <v>21100.66</v>
      </c>
    </row>
    <row r="491" spans="1:8" ht="15" thickBot="1">
      <c r="A491" s="64">
        <v>45268</v>
      </c>
      <c r="B491" s="18" t="s">
        <v>2641</v>
      </c>
      <c r="C491" s="30" t="s">
        <v>2644</v>
      </c>
      <c r="D491" s="30" t="s">
        <v>2393</v>
      </c>
      <c r="E491" s="18" t="s">
        <v>2373</v>
      </c>
      <c r="F491" s="16">
        <v>5</v>
      </c>
      <c r="G491" s="16">
        <v>4198.97</v>
      </c>
      <c r="H491" s="16">
        <v>20994.85</v>
      </c>
    </row>
    <row r="492" spans="1:8" ht="15" thickBot="1">
      <c r="A492" s="64">
        <v>45028</v>
      </c>
      <c r="B492" s="18" t="s">
        <v>2642</v>
      </c>
      <c r="C492" s="30" t="s">
        <v>2645</v>
      </c>
      <c r="D492" s="30" t="s">
        <v>2649</v>
      </c>
      <c r="E492" s="18" t="s">
        <v>2373</v>
      </c>
      <c r="F492" s="16">
        <v>11</v>
      </c>
      <c r="G492" s="16">
        <v>1905.7</v>
      </c>
      <c r="H492" s="16">
        <v>20962.7</v>
      </c>
    </row>
    <row r="493" spans="1:8" ht="15" thickBot="1">
      <c r="A493" s="31" t="s">
        <v>2472</v>
      </c>
      <c r="B493" s="18" t="s">
        <v>2641</v>
      </c>
      <c r="C493" s="30" t="s">
        <v>2648</v>
      </c>
      <c r="D493" s="30" t="s">
        <v>2656</v>
      </c>
      <c r="E493" s="18" t="s">
        <v>2373</v>
      </c>
      <c r="F493" s="16">
        <v>18</v>
      </c>
      <c r="G493" s="16">
        <v>1137.05</v>
      </c>
      <c r="H493" s="16">
        <v>20466.900000000001</v>
      </c>
    </row>
    <row r="494" spans="1:8" ht="15" thickBot="1">
      <c r="A494" s="31" t="s">
        <v>2442</v>
      </c>
      <c r="B494" s="18" t="s">
        <v>2642</v>
      </c>
      <c r="C494" s="30" t="s">
        <v>2645</v>
      </c>
      <c r="D494" s="30" t="s">
        <v>2658</v>
      </c>
      <c r="E494" s="18" t="s">
        <v>2373</v>
      </c>
      <c r="F494" s="16">
        <v>18</v>
      </c>
      <c r="G494" s="16">
        <v>1132.04</v>
      </c>
      <c r="H494" s="16">
        <v>20376.72</v>
      </c>
    </row>
    <row r="495" spans="1:8" ht="15" thickBot="1">
      <c r="A495" s="31" t="s">
        <v>2557</v>
      </c>
      <c r="B495" s="18" t="s">
        <v>2643</v>
      </c>
      <c r="C495" s="30" t="s">
        <v>2647</v>
      </c>
      <c r="D495" s="30" t="s">
        <v>2660</v>
      </c>
      <c r="E495" s="18" t="s">
        <v>2373</v>
      </c>
      <c r="F495" s="16">
        <v>5</v>
      </c>
      <c r="G495" s="16">
        <v>3900.9</v>
      </c>
      <c r="H495" s="16">
        <v>19504.5</v>
      </c>
    </row>
    <row r="496" spans="1:8" ht="15" thickBot="1">
      <c r="A496" s="31" t="s">
        <v>2540</v>
      </c>
      <c r="B496" s="18" t="s">
        <v>2642</v>
      </c>
      <c r="C496" s="30" t="s">
        <v>2646</v>
      </c>
      <c r="D496" s="30" t="s">
        <v>2651</v>
      </c>
      <c r="E496" s="18" t="s">
        <v>2373</v>
      </c>
      <c r="F496" s="16">
        <v>13</v>
      </c>
      <c r="G496" s="16">
        <v>1466.66</v>
      </c>
      <c r="H496" s="16">
        <v>19066.580000000002</v>
      </c>
    </row>
    <row r="497" spans="1:8" ht="15" thickBot="1">
      <c r="A497" s="31" t="s">
        <v>2473</v>
      </c>
      <c r="B497" s="18" t="s">
        <v>2642</v>
      </c>
      <c r="C497" s="30" t="s">
        <v>2646</v>
      </c>
      <c r="D497" s="30" t="s">
        <v>2651</v>
      </c>
      <c r="E497" s="18" t="s">
        <v>2373</v>
      </c>
      <c r="F497" s="16">
        <v>7</v>
      </c>
      <c r="G497" s="16">
        <v>2706.33</v>
      </c>
      <c r="H497" s="16">
        <v>18944.310000000001</v>
      </c>
    </row>
    <row r="498" spans="1:8" ht="15" thickBot="1">
      <c r="A498" s="64">
        <v>45083</v>
      </c>
      <c r="B498" s="18" t="s">
        <v>2641</v>
      </c>
      <c r="C498" s="30" t="s">
        <v>2648</v>
      </c>
      <c r="D498" s="30" t="s">
        <v>2657</v>
      </c>
      <c r="E498" s="18" t="s">
        <v>2373</v>
      </c>
      <c r="F498" s="16">
        <v>6</v>
      </c>
      <c r="G498" s="16">
        <v>3051.1</v>
      </c>
      <c r="H498" s="16">
        <v>18306.599999999999</v>
      </c>
    </row>
    <row r="499" spans="1:8" ht="15" thickBot="1">
      <c r="A499" s="31" t="s">
        <v>2515</v>
      </c>
      <c r="B499" s="18" t="s">
        <v>2642</v>
      </c>
      <c r="C499" s="30" t="s">
        <v>2646</v>
      </c>
      <c r="D499" s="30" t="s">
        <v>2654</v>
      </c>
      <c r="E499" s="18" t="s">
        <v>2373</v>
      </c>
      <c r="F499" s="16">
        <v>7</v>
      </c>
      <c r="G499" s="16">
        <v>2557.77</v>
      </c>
      <c r="H499" s="16">
        <v>17904.39</v>
      </c>
    </row>
    <row r="500" spans="1:8" ht="15" thickBot="1">
      <c r="A500" s="31" t="s">
        <v>2575</v>
      </c>
      <c r="B500" s="18" t="s">
        <v>2641</v>
      </c>
      <c r="C500" s="30" t="s">
        <v>2644</v>
      </c>
      <c r="D500" s="30" t="s">
        <v>2393</v>
      </c>
      <c r="E500" s="18" t="s">
        <v>2373</v>
      </c>
      <c r="F500" s="16">
        <v>4</v>
      </c>
      <c r="G500" s="16">
        <v>4368.46</v>
      </c>
      <c r="H500" s="16">
        <v>17473.84</v>
      </c>
    </row>
    <row r="501" spans="1:8" ht="15" thickBot="1">
      <c r="A501" s="31" t="s">
        <v>2610</v>
      </c>
      <c r="B501" s="18" t="s">
        <v>2643</v>
      </c>
      <c r="C501" s="30" t="s">
        <v>2647</v>
      </c>
      <c r="D501" s="30" t="s">
        <v>2652</v>
      </c>
      <c r="E501" s="18" t="s">
        <v>2373</v>
      </c>
      <c r="F501" s="16">
        <v>5</v>
      </c>
      <c r="G501" s="16">
        <v>3404.87</v>
      </c>
      <c r="H501" s="16">
        <v>17024.349999999999</v>
      </c>
    </row>
    <row r="502" spans="1:8" ht="15" thickBot="1">
      <c r="A502" s="31" t="s">
        <v>2610</v>
      </c>
      <c r="B502" s="18" t="s">
        <v>2641</v>
      </c>
      <c r="C502" s="30" t="s">
        <v>2644</v>
      </c>
      <c r="D502" s="30" t="s">
        <v>2653</v>
      </c>
      <c r="E502" s="18" t="s">
        <v>2373</v>
      </c>
      <c r="F502" s="16">
        <v>4</v>
      </c>
      <c r="G502" s="16">
        <v>4245.67</v>
      </c>
      <c r="H502" s="16">
        <v>16982.68</v>
      </c>
    </row>
    <row r="503" spans="1:8" ht="15" thickBot="1">
      <c r="A503" s="64">
        <v>45266</v>
      </c>
      <c r="B503" s="18" t="s">
        <v>2643</v>
      </c>
      <c r="C503" s="30" t="s">
        <v>2647</v>
      </c>
      <c r="D503" s="30" t="s">
        <v>2652</v>
      </c>
      <c r="E503" s="18" t="s">
        <v>2373</v>
      </c>
      <c r="F503" s="16">
        <v>12</v>
      </c>
      <c r="G503" s="16">
        <v>1377.41</v>
      </c>
      <c r="H503" s="16">
        <v>16528.919999999998</v>
      </c>
    </row>
    <row r="504" spans="1:8" ht="15" thickBot="1">
      <c r="A504" s="64">
        <v>45241</v>
      </c>
      <c r="B504" s="18" t="s">
        <v>2641</v>
      </c>
      <c r="C504" s="30" t="s">
        <v>2648</v>
      </c>
      <c r="D504" s="30" t="s">
        <v>2396</v>
      </c>
      <c r="E504" s="18" t="s">
        <v>2373</v>
      </c>
      <c r="F504" s="16">
        <v>16</v>
      </c>
      <c r="G504" s="16">
        <v>1023.78</v>
      </c>
      <c r="H504" s="16">
        <v>16380.48</v>
      </c>
    </row>
    <row r="505" spans="1:8" ht="15" thickBot="1">
      <c r="A505" s="31" t="s">
        <v>2562</v>
      </c>
      <c r="B505" s="18" t="s">
        <v>2642</v>
      </c>
      <c r="C505" s="30" t="s">
        <v>2646</v>
      </c>
      <c r="D505" s="30" t="s">
        <v>2650</v>
      </c>
      <c r="E505" s="18" t="s">
        <v>2373</v>
      </c>
      <c r="F505" s="16">
        <v>9</v>
      </c>
      <c r="G505" s="16">
        <v>1805.32</v>
      </c>
      <c r="H505" s="16">
        <v>16247.88</v>
      </c>
    </row>
    <row r="506" spans="1:8" ht="15" thickBot="1">
      <c r="A506" s="64">
        <v>45149</v>
      </c>
      <c r="B506" s="18" t="s">
        <v>2642</v>
      </c>
      <c r="C506" s="30" t="s">
        <v>2646</v>
      </c>
      <c r="D506" s="30" t="s">
        <v>2650</v>
      </c>
      <c r="E506" s="18" t="s">
        <v>2373</v>
      </c>
      <c r="F506" s="16">
        <v>4</v>
      </c>
      <c r="G506" s="16">
        <v>4058.48</v>
      </c>
      <c r="H506" s="16">
        <v>16233.92</v>
      </c>
    </row>
    <row r="507" spans="1:8" ht="15" thickBot="1">
      <c r="A507" s="31" t="s">
        <v>2492</v>
      </c>
      <c r="B507" s="18" t="s">
        <v>2642</v>
      </c>
      <c r="C507" s="30" t="s">
        <v>2646</v>
      </c>
      <c r="D507" s="30" t="s">
        <v>2651</v>
      </c>
      <c r="E507" s="18" t="s">
        <v>2373</v>
      </c>
      <c r="F507" s="16">
        <v>17</v>
      </c>
      <c r="G507" s="16">
        <v>947.7</v>
      </c>
      <c r="H507" s="16">
        <v>16110.9</v>
      </c>
    </row>
    <row r="508" spans="1:8" ht="15" thickBot="1">
      <c r="A508" s="31" t="s">
        <v>2496</v>
      </c>
      <c r="B508" s="18" t="s">
        <v>2642</v>
      </c>
      <c r="C508" s="30" t="s">
        <v>2645</v>
      </c>
      <c r="D508" s="30" t="s">
        <v>2655</v>
      </c>
      <c r="E508" s="18" t="s">
        <v>2373</v>
      </c>
      <c r="F508" s="16">
        <v>18</v>
      </c>
      <c r="G508" s="16">
        <v>883.32</v>
      </c>
      <c r="H508" s="16">
        <v>15899.76</v>
      </c>
    </row>
    <row r="509" spans="1:8" ht="15" thickBot="1">
      <c r="A509" s="31" t="s">
        <v>2498</v>
      </c>
      <c r="B509" s="18" t="s">
        <v>2642</v>
      </c>
      <c r="C509" s="30" t="s">
        <v>2645</v>
      </c>
      <c r="D509" s="30" t="s">
        <v>2658</v>
      </c>
      <c r="E509" s="18" t="s">
        <v>2373</v>
      </c>
      <c r="F509" s="16">
        <v>16</v>
      </c>
      <c r="G509" s="16">
        <v>971.39</v>
      </c>
      <c r="H509" s="16">
        <v>15542.24</v>
      </c>
    </row>
    <row r="510" spans="1:8" ht="15" thickBot="1">
      <c r="A510" s="31" t="s">
        <v>2461</v>
      </c>
      <c r="B510" s="18" t="s">
        <v>2642</v>
      </c>
      <c r="C510" s="30" t="s">
        <v>2645</v>
      </c>
      <c r="D510" s="30" t="s">
        <v>2655</v>
      </c>
      <c r="E510" s="18" t="s">
        <v>2373</v>
      </c>
      <c r="F510" s="16">
        <v>5</v>
      </c>
      <c r="G510" s="16">
        <v>3103.12</v>
      </c>
      <c r="H510" s="16">
        <v>15515.6</v>
      </c>
    </row>
    <row r="511" spans="1:8" ht="15" thickBot="1">
      <c r="A511" s="31" t="s">
        <v>2571</v>
      </c>
      <c r="B511" s="18" t="s">
        <v>2643</v>
      </c>
      <c r="C511" s="30" t="s">
        <v>2647</v>
      </c>
      <c r="D511" s="30" t="s">
        <v>2659</v>
      </c>
      <c r="E511" s="18" t="s">
        <v>2373</v>
      </c>
      <c r="F511" s="16">
        <v>14</v>
      </c>
      <c r="G511" s="16">
        <v>1094.1400000000001</v>
      </c>
      <c r="H511" s="16">
        <v>15317.96</v>
      </c>
    </row>
    <row r="512" spans="1:8" ht="15" thickBot="1">
      <c r="A512" s="31" t="s">
        <v>2491</v>
      </c>
      <c r="B512" s="18" t="s">
        <v>2643</v>
      </c>
      <c r="C512" s="30" t="s">
        <v>2647</v>
      </c>
      <c r="D512" s="30" t="s">
        <v>2652</v>
      </c>
      <c r="E512" s="18" t="s">
        <v>2373</v>
      </c>
      <c r="F512" s="16">
        <v>5</v>
      </c>
      <c r="G512" s="16">
        <v>2957.2</v>
      </c>
      <c r="H512" s="16">
        <v>14786</v>
      </c>
    </row>
    <row r="513" spans="1:8" ht="15" thickBot="1">
      <c r="A513" s="64">
        <v>45080</v>
      </c>
      <c r="B513" s="18" t="s">
        <v>2641</v>
      </c>
      <c r="C513" s="30" t="s">
        <v>2648</v>
      </c>
      <c r="D513" s="30" t="s">
        <v>2656</v>
      </c>
      <c r="E513" s="18" t="s">
        <v>2373</v>
      </c>
      <c r="F513" s="16">
        <v>18</v>
      </c>
      <c r="G513" s="16">
        <v>814.69</v>
      </c>
      <c r="H513" s="16">
        <v>14664.42</v>
      </c>
    </row>
    <row r="514" spans="1:8" ht="15" thickBot="1">
      <c r="A514" s="64">
        <v>45024</v>
      </c>
      <c r="B514" s="18" t="s">
        <v>2642</v>
      </c>
      <c r="C514" s="30" t="s">
        <v>2645</v>
      </c>
      <c r="D514" s="30" t="s">
        <v>2658</v>
      </c>
      <c r="E514" s="18" t="s">
        <v>2373</v>
      </c>
      <c r="F514" s="16">
        <v>3</v>
      </c>
      <c r="G514" s="16">
        <v>4876.51</v>
      </c>
      <c r="H514" s="16">
        <v>14629.53</v>
      </c>
    </row>
    <row r="515" spans="1:8" ht="15" thickBot="1">
      <c r="A515" s="64">
        <v>44964</v>
      </c>
      <c r="B515" s="18" t="s">
        <v>2642</v>
      </c>
      <c r="C515" s="30" t="s">
        <v>2645</v>
      </c>
      <c r="D515" s="30" t="s">
        <v>2655</v>
      </c>
      <c r="E515" s="18" t="s">
        <v>2373</v>
      </c>
      <c r="F515" s="16">
        <v>20</v>
      </c>
      <c r="G515" s="16">
        <v>722.13</v>
      </c>
      <c r="H515" s="16">
        <v>14442.6</v>
      </c>
    </row>
    <row r="516" spans="1:8" ht="15" thickBot="1">
      <c r="A516" s="64">
        <v>45172</v>
      </c>
      <c r="B516" s="18" t="s">
        <v>2641</v>
      </c>
      <c r="C516" s="30" t="s">
        <v>2648</v>
      </c>
      <c r="D516" s="30" t="s">
        <v>2396</v>
      </c>
      <c r="E516" s="18" t="s">
        <v>2373</v>
      </c>
      <c r="F516" s="16">
        <v>15</v>
      </c>
      <c r="G516" s="16">
        <v>961.23</v>
      </c>
      <c r="H516" s="16">
        <v>14418.45</v>
      </c>
    </row>
    <row r="517" spans="1:8" ht="15" thickBot="1">
      <c r="A517" s="64">
        <v>45264</v>
      </c>
      <c r="B517" s="18" t="s">
        <v>2641</v>
      </c>
      <c r="C517" s="30" t="s">
        <v>2648</v>
      </c>
      <c r="D517" s="30" t="s">
        <v>2396</v>
      </c>
      <c r="E517" s="18" t="s">
        <v>2373</v>
      </c>
      <c r="F517" s="16">
        <v>19</v>
      </c>
      <c r="G517" s="16">
        <v>713.8</v>
      </c>
      <c r="H517" s="16">
        <v>13562.2</v>
      </c>
    </row>
    <row r="518" spans="1:8" ht="15" thickBot="1">
      <c r="A518" s="31" t="s">
        <v>2573</v>
      </c>
      <c r="B518" s="18" t="s">
        <v>2641</v>
      </c>
      <c r="C518" s="30" t="s">
        <v>2644</v>
      </c>
      <c r="D518" s="30" t="s">
        <v>2653</v>
      </c>
      <c r="E518" s="18" t="s">
        <v>2373</v>
      </c>
      <c r="F518" s="16">
        <v>7</v>
      </c>
      <c r="G518" s="16">
        <v>1905.14</v>
      </c>
      <c r="H518" s="16">
        <v>13335.98</v>
      </c>
    </row>
    <row r="519" spans="1:8" ht="15" thickBot="1">
      <c r="A519" s="31" t="s">
        <v>2611</v>
      </c>
      <c r="B519" s="18" t="s">
        <v>2641</v>
      </c>
      <c r="C519" s="30" t="s">
        <v>2648</v>
      </c>
      <c r="D519" s="30" t="s">
        <v>2657</v>
      </c>
      <c r="E519" s="18" t="s">
        <v>2373</v>
      </c>
      <c r="F519" s="16">
        <v>14</v>
      </c>
      <c r="G519" s="16">
        <v>948.05</v>
      </c>
      <c r="H519" s="16">
        <v>13272.7</v>
      </c>
    </row>
    <row r="520" spans="1:8" ht="15" thickBot="1">
      <c r="A520" s="31" t="s">
        <v>2596</v>
      </c>
      <c r="B520" s="18" t="s">
        <v>2642</v>
      </c>
      <c r="C520" s="30" t="s">
        <v>2646</v>
      </c>
      <c r="D520" s="30" t="s">
        <v>2651</v>
      </c>
      <c r="E520" s="18" t="s">
        <v>2373</v>
      </c>
      <c r="F520" s="16">
        <v>3</v>
      </c>
      <c r="G520" s="16">
        <v>4363.3</v>
      </c>
      <c r="H520" s="16">
        <v>13089.9</v>
      </c>
    </row>
    <row r="521" spans="1:8" ht="15" thickBot="1">
      <c r="A521" s="31" t="s">
        <v>2583</v>
      </c>
      <c r="B521" s="18" t="s">
        <v>2643</v>
      </c>
      <c r="C521" s="30" t="s">
        <v>2647</v>
      </c>
      <c r="D521" s="30" t="s">
        <v>2652</v>
      </c>
      <c r="E521" s="18" t="s">
        <v>2373</v>
      </c>
      <c r="F521" s="16">
        <v>17</v>
      </c>
      <c r="G521" s="16">
        <v>758.19</v>
      </c>
      <c r="H521" s="16">
        <v>12889.23</v>
      </c>
    </row>
    <row r="522" spans="1:8" ht="15" thickBot="1">
      <c r="A522" s="31" t="s">
        <v>2547</v>
      </c>
      <c r="B522" s="18" t="s">
        <v>2642</v>
      </c>
      <c r="C522" s="30" t="s">
        <v>2646</v>
      </c>
      <c r="D522" s="30" t="s">
        <v>2654</v>
      </c>
      <c r="E522" s="18" t="s">
        <v>2373</v>
      </c>
      <c r="F522" s="16">
        <v>5</v>
      </c>
      <c r="G522" s="16">
        <v>2481.2199999999998</v>
      </c>
      <c r="H522" s="16">
        <v>12406.1</v>
      </c>
    </row>
    <row r="523" spans="1:8" ht="15" thickBot="1">
      <c r="A523" s="31" t="s">
        <v>2487</v>
      </c>
      <c r="B523" s="18" t="s">
        <v>2643</v>
      </c>
      <c r="C523" s="30" t="s">
        <v>2647</v>
      </c>
      <c r="D523" s="30" t="s">
        <v>2652</v>
      </c>
      <c r="E523" s="18" t="s">
        <v>2373</v>
      </c>
      <c r="F523" s="16">
        <v>5</v>
      </c>
      <c r="G523" s="16">
        <v>2423.83</v>
      </c>
      <c r="H523" s="16">
        <v>12119.15</v>
      </c>
    </row>
    <row r="524" spans="1:8" ht="15" thickBot="1">
      <c r="A524" s="31" t="s">
        <v>2471</v>
      </c>
      <c r="B524" s="18" t="s">
        <v>2642</v>
      </c>
      <c r="C524" s="30" t="s">
        <v>2645</v>
      </c>
      <c r="D524" s="30" t="s">
        <v>2658</v>
      </c>
      <c r="E524" s="18" t="s">
        <v>2373</v>
      </c>
      <c r="F524" s="16">
        <v>20</v>
      </c>
      <c r="G524" s="16">
        <v>603.49</v>
      </c>
      <c r="H524" s="16">
        <v>12069.8</v>
      </c>
    </row>
    <row r="525" spans="1:8" ht="15" thickBot="1">
      <c r="A525" s="64">
        <v>45047</v>
      </c>
      <c r="B525" s="18" t="s">
        <v>2642</v>
      </c>
      <c r="C525" s="30" t="s">
        <v>2645</v>
      </c>
      <c r="D525" s="30" t="s">
        <v>2658</v>
      </c>
      <c r="E525" s="18" t="s">
        <v>2373</v>
      </c>
      <c r="F525" s="16">
        <v>13</v>
      </c>
      <c r="G525" s="16">
        <v>914.82</v>
      </c>
      <c r="H525" s="16">
        <v>11892.66</v>
      </c>
    </row>
    <row r="526" spans="1:8" ht="15" thickBot="1">
      <c r="A526" s="64">
        <v>45268</v>
      </c>
      <c r="B526" s="18" t="s">
        <v>2641</v>
      </c>
      <c r="C526" s="30" t="s">
        <v>2644</v>
      </c>
      <c r="D526" s="30" t="s">
        <v>2392</v>
      </c>
      <c r="E526" s="18" t="s">
        <v>2373</v>
      </c>
      <c r="F526" s="16">
        <v>3</v>
      </c>
      <c r="G526" s="16">
        <v>3957.38</v>
      </c>
      <c r="H526" s="16">
        <v>11872.14</v>
      </c>
    </row>
    <row r="527" spans="1:8" ht="15" thickBot="1">
      <c r="A527" s="31" t="s">
        <v>2534</v>
      </c>
      <c r="B527" s="18" t="s">
        <v>2642</v>
      </c>
      <c r="C527" s="30" t="s">
        <v>2646</v>
      </c>
      <c r="D527" s="30" t="s">
        <v>2654</v>
      </c>
      <c r="E527" s="18" t="s">
        <v>2373</v>
      </c>
      <c r="F527" s="16">
        <v>9</v>
      </c>
      <c r="G527" s="16">
        <v>1302.45</v>
      </c>
      <c r="H527" s="16">
        <v>11722.05</v>
      </c>
    </row>
    <row r="528" spans="1:8" ht="15" thickBot="1">
      <c r="A528" s="31" t="s">
        <v>2434</v>
      </c>
      <c r="B528" s="18" t="s">
        <v>2641</v>
      </c>
      <c r="C528" s="30" t="s">
        <v>2644</v>
      </c>
      <c r="D528" s="30" t="s">
        <v>2392</v>
      </c>
      <c r="E528" s="18" t="s">
        <v>2373</v>
      </c>
      <c r="F528" s="16">
        <v>8</v>
      </c>
      <c r="G528" s="16">
        <v>1412.48</v>
      </c>
      <c r="H528" s="16">
        <v>11299.84</v>
      </c>
    </row>
    <row r="529" spans="1:8" ht="15" thickBot="1">
      <c r="A529" s="64">
        <v>45025</v>
      </c>
      <c r="B529" s="18" t="s">
        <v>2642</v>
      </c>
      <c r="C529" s="30" t="s">
        <v>2646</v>
      </c>
      <c r="D529" s="30" t="s">
        <v>2654</v>
      </c>
      <c r="E529" s="18" t="s">
        <v>2373</v>
      </c>
      <c r="F529" s="16">
        <v>8</v>
      </c>
      <c r="G529" s="16">
        <v>1410.46</v>
      </c>
      <c r="H529" s="16">
        <v>11283.68</v>
      </c>
    </row>
    <row r="530" spans="1:8" ht="15" thickBot="1">
      <c r="A530" s="31" t="s">
        <v>2626</v>
      </c>
      <c r="B530" s="18" t="s">
        <v>2642</v>
      </c>
      <c r="C530" s="30" t="s">
        <v>2645</v>
      </c>
      <c r="D530" s="30" t="s">
        <v>2658</v>
      </c>
      <c r="E530" s="18" t="s">
        <v>2373</v>
      </c>
      <c r="F530" s="16">
        <v>6</v>
      </c>
      <c r="G530" s="16">
        <v>1872.18</v>
      </c>
      <c r="H530" s="16">
        <v>11233.08</v>
      </c>
    </row>
    <row r="531" spans="1:8" ht="15" thickBot="1">
      <c r="A531" s="31" t="s">
        <v>2441</v>
      </c>
      <c r="B531" s="18" t="s">
        <v>2641</v>
      </c>
      <c r="C531" s="30" t="s">
        <v>2644</v>
      </c>
      <c r="D531" s="30" t="s">
        <v>2653</v>
      </c>
      <c r="E531" s="18" t="s">
        <v>2373</v>
      </c>
      <c r="F531" s="16">
        <v>4</v>
      </c>
      <c r="G531" s="16">
        <v>2792.23</v>
      </c>
      <c r="H531" s="16">
        <v>11168.92</v>
      </c>
    </row>
    <row r="532" spans="1:8" ht="15" thickBot="1">
      <c r="A532" s="31" t="s">
        <v>2447</v>
      </c>
      <c r="B532" s="18" t="s">
        <v>2642</v>
      </c>
      <c r="C532" s="30" t="s">
        <v>2645</v>
      </c>
      <c r="D532" s="30" t="s">
        <v>2655</v>
      </c>
      <c r="E532" s="18" t="s">
        <v>2373</v>
      </c>
      <c r="F532" s="16">
        <v>8</v>
      </c>
      <c r="G532" s="16">
        <v>1366.18</v>
      </c>
      <c r="H532" s="16">
        <v>10929.44</v>
      </c>
    </row>
    <row r="533" spans="1:8" ht="15" thickBot="1">
      <c r="A533" s="31" t="s">
        <v>2561</v>
      </c>
      <c r="B533" s="18" t="s">
        <v>2642</v>
      </c>
      <c r="C533" s="30" t="s">
        <v>2646</v>
      </c>
      <c r="D533" s="30" t="s">
        <v>2651</v>
      </c>
      <c r="E533" s="18" t="s">
        <v>2373</v>
      </c>
      <c r="F533" s="16">
        <v>4</v>
      </c>
      <c r="G533" s="16">
        <v>2701.93</v>
      </c>
      <c r="H533" s="16">
        <v>10807.72</v>
      </c>
    </row>
    <row r="534" spans="1:8" ht="15" thickBot="1">
      <c r="A534" s="31" t="s">
        <v>2465</v>
      </c>
      <c r="B534" s="18" t="s">
        <v>2642</v>
      </c>
      <c r="C534" s="30" t="s">
        <v>2645</v>
      </c>
      <c r="D534" s="30" t="s">
        <v>2649</v>
      </c>
      <c r="E534" s="18" t="s">
        <v>2373</v>
      </c>
      <c r="F534" s="16">
        <v>4</v>
      </c>
      <c r="G534" s="16">
        <v>2689.7</v>
      </c>
      <c r="H534" s="16">
        <v>10758.8</v>
      </c>
    </row>
    <row r="535" spans="1:8" ht="15" thickBot="1">
      <c r="A535" s="64">
        <v>44934</v>
      </c>
      <c r="B535" s="18" t="s">
        <v>2642</v>
      </c>
      <c r="C535" s="30" t="s">
        <v>2646</v>
      </c>
      <c r="D535" s="30" t="s">
        <v>2651</v>
      </c>
      <c r="E535" s="18" t="s">
        <v>2373</v>
      </c>
      <c r="F535" s="16">
        <v>11</v>
      </c>
      <c r="G535" s="16">
        <v>968.17</v>
      </c>
      <c r="H535" s="16">
        <v>10649.87</v>
      </c>
    </row>
    <row r="536" spans="1:8" ht="15" thickBot="1">
      <c r="A536" s="64">
        <v>45179</v>
      </c>
      <c r="B536" s="18" t="s">
        <v>2642</v>
      </c>
      <c r="C536" s="30" t="s">
        <v>2646</v>
      </c>
      <c r="D536" s="30" t="s">
        <v>2650</v>
      </c>
      <c r="E536" s="18" t="s">
        <v>2373</v>
      </c>
      <c r="F536" s="16">
        <v>3</v>
      </c>
      <c r="G536" s="16">
        <v>3533.3</v>
      </c>
      <c r="H536" s="16">
        <v>10599.9</v>
      </c>
    </row>
    <row r="537" spans="1:8" ht="15" thickBot="1">
      <c r="A537" s="31" t="s">
        <v>2489</v>
      </c>
      <c r="B537" s="18" t="s">
        <v>2643</v>
      </c>
      <c r="C537" s="30" t="s">
        <v>2647</v>
      </c>
      <c r="D537" s="30" t="s">
        <v>2659</v>
      </c>
      <c r="E537" s="18" t="s">
        <v>2373</v>
      </c>
      <c r="F537" s="16">
        <v>8</v>
      </c>
      <c r="G537" s="16">
        <v>1314.71</v>
      </c>
      <c r="H537" s="16">
        <v>10517.68</v>
      </c>
    </row>
    <row r="538" spans="1:8" ht="15" thickBot="1">
      <c r="A538" s="31" t="s">
        <v>2519</v>
      </c>
      <c r="B538" s="18" t="s">
        <v>2643</v>
      </c>
      <c r="C538" s="30" t="s">
        <v>2647</v>
      </c>
      <c r="D538" s="30" t="s">
        <v>2659</v>
      </c>
      <c r="E538" s="18" t="s">
        <v>2373</v>
      </c>
      <c r="F538" s="16">
        <v>13</v>
      </c>
      <c r="G538" s="16">
        <v>802.18</v>
      </c>
      <c r="H538" s="16">
        <v>10428.34</v>
      </c>
    </row>
    <row r="539" spans="1:8" ht="15" thickBot="1">
      <c r="A539" s="64">
        <v>44987</v>
      </c>
      <c r="B539" s="18" t="s">
        <v>2641</v>
      </c>
      <c r="C539" s="30" t="s">
        <v>2648</v>
      </c>
      <c r="D539" s="30" t="s">
        <v>2656</v>
      </c>
      <c r="E539" s="18" t="s">
        <v>2373</v>
      </c>
      <c r="F539" s="16">
        <v>4</v>
      </c>
      <c r="G539" s="16">
        <v>2514.88</v>
      </c>
      <c r="H539" s="16">
        <v>10059.52</v>
      </c>
    </row>
    <row r="540" spans="1:8" ht="15" thickBot="1">
      <c r="A540" s="64">
        <v>44933</v>
      </c>
      <c r="B540" s="18" t="s">
        <v>2642</v>
      </c>
      <c r="C540" s="30" t="s">
        <v>2646</v>
      </c>
      <c r="D540" s="30" t="s">
        <v>2654</v>
      </c>
      <c r="E540" s="18" t="s">
        <v>2373</v>
      </c>
      <c r="F540" s="16">
        <v>2</v>
      </c>
      <c r="G540" s="16">
        <v>4997.2299999999996</v>
      </c>
      <c r="H540" s="16">
        <v>9994.4599999999991</v>
      </c>
    </row>
    <row r="541" spans="1:8" ht="15" thickBot="1">
      <c r="A541" s="31" t="s">
        <v>2488</v>
      </c>
      <c r="B541" s="18" t="s">
        <v>2643</v>
      </c>
      <c r="C541" s="30" t="s">
        <v>2647</v>
      </c>
      <c r="D541" s="30" t="s">
        <v>2659</v>
      </c>
      <c r="E541" s="18" t="s">
        <v>2373</v>
      </c>
      <c r="F541" s="16">
        <v>6</v>
      </c>
      <c r="G541" s="16">
        <v>1508.35</v>
      </c>
      <c r="H541" s="16">
        <v>9050.1</v>
      </c>
    </row>
    <row r="542" spans="1:8" ht="15" thickBot="1">
      <c r="A542" s="64">
        <v>45018</v>
      </c>
      <c r="B542" s="18" t="s">
        <v>2642</v>
      </c>
      <c r="C542" s="30" t="s">
        <v>2646</v>
      </c>
      <c r="D542" s="30" t="s">
        <v>2654</v>
      </c>
      <c r="E542" s="18" t="s">
        <v>2373</v>
      </c>
      <c r="F542" s="16">
        <v>3</v>
      </c>
      <c r="G542" s="16">
        <v>3007.45</v>
      </c>
      <c r="H542" s="16">
        <v>9022.35</v>
      </c>
    </row>
    <row r="543" spans="1:8" ht="15" thickBot="1">
      <c r="A543" s="31" t="s">
        <v>2612</v>
      </c>
      <c r="B543" s="18" t="s">
        <v>2641</v>
      </c>
      <c r="C543" s="30" t="s">
        <v>2644</v>
      </c>
      <c r="D543" s="30" t="s">
        <v>2393</v>
      </c>
      <c r="E543" s="18" t="s">
        <v>2373</v>
      </c>
      <c r="F543" s="16">
        <v>2</v>
      </c>
      <c r="G543" s="16">
        <v>4439.5</v>
      </c>
      <c r="H543" s="16">
        <v>8879</v>
      </c>
    </row>
    <row r="544" spans="1:8" ht="15" thickBot="1">
      <c r="A544" s="31" t="s">
        <v>2595</v>
      </c>
      <c r="B544" s="18" t="s">
        <v>2642</v>
      </c>
      <c r="C544" s="30" t="s">
        <v>2646</v>
      </c>
      <c r="D544" s="30" t="s">
        <v>2650</v>
      </c>
      <c r="E544" s="18" t="s">
        <v>2373</v>
      </c>
      <c r="F544" s="16">
        <v>3</v>
      </c>
      <c r="G544" s="16">
        <v>2756.83</v>
      </c>
      <c r="H544" s="16">
        <v>8270.49</v>
      </c>
    </row>
    <row r="545" spans="1:8" ht="15" thickBot="1">
      <c r="A545" s="31" t="s">
        <v>2603</v>
      </c>
      <c r="B545" s="18" t="s">
        <v>2642</v>
      </c>
      <c r="C545" s="30" t="s">
        <v>2645</v>
      </c>
      <c r="D545" s="30" t="s">
        <v>2655</v>
      </c>
      <c r="E545" s="18" t="s">
        <v>2373</v>
      </c>
      <c r="F545" s="16">
        <v>2</v>
      </c>
      <c r="G545" s="16">
        <v>4019.4</v>
      </c>
      <c r="H545" s="16">
        <v>8038.8</v>
      </c>
    </row>
    <row r="546" spans="1:8" ht="15" thickBot="1">
      <c r="A546" s="31" t="s">
        <v>2632</v>
      </c>
      <c r="B546" s="18" t="s">
        <v>2642</v>
      </c>
      <c r="C546" s="30" t="s">
        <v>2645</v>
      </c>
      <c r="D546" s="30" t="s">
        <v>2658</v>
      </c>
      <c r="E546" s="18" t="s">
        <v>2373</v>
      </c>
      <c r="F546" s="16">
        <v>4</v>
      </c>
      <c r="G546" s="16">
        <v>1993.97</v>
      </c>
      <c r="H546" s="16">
        <v>7975.88</v>
      </c>
    </row>
    <row r="547" spans="1:8" ht="15" thickBot="1">
      <c r="A547" s="31" t="s">
        <v>2453</v>
      </c>
      <c r="B547" s="18" t="s">
        <v>2642</v>
      </c>
      <c r="C547" s="30" t="s">
        <v>2646</v>
      </c>
      <c r="D547" s="30" t="s">
        <v>2654</v>
      </c>
      <c r="E547" s="18" t="s">
        <v>2373</v>
      </c>
      <c r="F547" s="16">
        <v>3</v>
      </c>
      <c r="G547" s="16">
        <v>2444.6</v>
      </c>
      <c r="H547" s="16">
        <v>7333.8</v>
      </c>
    </row>
    <row r="548" spans="1:8" ht="15" thickBot="1">
      <c r="A548" s="31" t="s">
        <v>2467</v>
      </c>
      <c r="B548" s="18" t="s">
        <v>2641</v>
      </c>
      <c r="C548" s="30" t="s">
        <v>2644</v>
      </c>
      <c r="D548" s="30" t="s">
        <v>2392</v>
      </c>
      <c r="E548" s="18" t="s">
        <v>2373</v>
      </c>
      <c r="F548" s="16">
        <v>4</v>
      </c>
      <c r="G548" s="16">
        <v>1831.79</v>
      </c>
      <c r="H548" s="16">
        <v>7327.16</v>
      </c>
    </row>
    <row r="549" spans="1:8" ht="15" thickBot="1">
      <c r="A549" s="64">
        <v>45083</v>
      </c>
      <c r="B549" s="18" t="s">
        <v>2641</v>
      </c>
      <c r="C549" s="30" t="s">
        <v>2644</v>
      </c>
      <c r="D549" s="30" t="s">
        <v>2392</v>
      </c>
      <c r="E549" s="18" t="s">
        <v>2373</v>
      </c>
      <c r="F549" s="16">
        <v>6</v>
      </c>
      <c r="G549" s="16">
        <v>1205.3599999999999</v>
      </c>
      <c r="H549" s="16">
        <v>7232.16</v>
      </c>
    </row>
    <row r="550" spans="1:8" ht="15" thickBot="1">
      <c r="A550" s="64">
        <v>45055</v>
      </c>
      <c r="B550" s="18" t="s">
        <v>2641</v>
      </c>
      <c r="C550" s="30" t="s">
        <v>2648</v>
      </c>
      <c r="D550" s="30" t="s">
        <v>2657</v>
      </c>
      <c r="E550" s="18" t="s">
        <v>2373</v>
      </c>
      <c r="F550" s="16">
        <v>7</v>
      </c>
      <c r="G550" s="16">
        <v>978.46</v>
      </c>
      <c r="H550" s="16">
        <v>6849.22</v>
      </c>
    </row>
    <row r="551" spans="1:8" ht="15" thickBot="1">
      <c r="A551" s="31" t="s">
        <v>2535</v>
      </c>
      <c r="B551" s="18" t="s">
        <v>2642</v>
      </c>
      <c r="C551" s="30" t="s">
        <v>2646</v>
      </c>
      <c r="D551" s="30" t="s">
        <v>2654</v>
      </c>
      <c r="E551" s="18" t="s">
        <v>2373</v>
      </c>
      <c r="F551" s="16">
        <v>5</v>
      </c>
      <c r="G551" s="16">
        <v>1319.46</v>
      </c>
      <c r="H551" s="16">
        <v>6597.3</v>
      </c>
    </row>
    <row r="552" spans="1:8" ht="15" thickBot="1">
      <c r="A552" s="31" t="s">
        <v>2546</v>
      </c>
      <c r="B552" s="18" t="s">
        <v>2641</v>
      </c>
      <c r="C552" s="30" t="s">
        <v>2644</v>
      </c>
      <c r="D552" s="30" t="s">
        <v>2653</v>
      </c>
      <c r="E552" s="18" t="s">
        <v>2373</v>
      </c>
      <c r="F552" s="16">
        <v>2</v>
      </c>
      <c r="G552" s="16">
        <v>3297.48</v>
      </c>
      <c r="H552" s="16">
        <v>6594.96</v>
      </c>
    </row>
    <row r="553" spans="1:8" ht="15" thickBot="1">
      <c r="A553" s="64">
        <v>45050</v>
      </c>
      <c r="B553" s="18" t="s">
        <v>2642</v>
      </c>
      <c r="C553" s="30" t="s">
        <v>2646</v>
      </c>
      <c r="D553" s="30" t="s">
        <v>2654</v>
      </c>
      <c r="E553" s="18" t="s">
        <v>2373</v>
      </c>
      <c r="F553" s="16">
        <v>9</v>
      </c>
      <c r="G553" s="16">
        <v>704.39</v>
      </c>
      <c r="H553" s="16">
        <v>6339.51</v>
      </c>
    </row>
    <row r="554" spans="1:8" ht="15" thickBot="1">
      <c r="A554" s="31" t="s">
        <v>2441</v>
      </c>
      <c r="B554" s="18" t="s">
        <v>2641</v>
      </c>
      <c r="C554" s="30" t="s">
        <v>2644</v>
      </c>
      <c r="D554" s="30" t="s">
        <v>2653</v>
      </c>
      <c r="E554" s="18" t="s">
        <v>2373</v>
      </c>
      <c r="F554" s="16">
        <v>3</v>
      </c>
      <c r="G554" s="16">
        <v>2082</v>
      </c>
      <c r="H554" s="16">
        <v>6246</v>
      </c>
    </row>
    <row r="555" spans="1:8" ht="15" thickBot="1">
      <c r="A555" s="31" t="s">
        <v>2486</v>
      </c>
      <c r="B555" s="18" t="s">
        <v>2642</v>
      </c>
      <c r="C555" s="30" t="s">
        <v>2645</v>
      </c>
      <c r="D555" s="30" t="s">
        <v>2655</v>
      </c>
      <c r="E555" s="18" t="s">
        <v>2373</v>
      </c>
      <c r="F555" s="16">
        <v>15</v>
      </c>
      <c r="G555" s="16">
        <v>413.63</v>
      </c>
      <c r="H555" s="16">
        <v>6204.45</v>
      </c>
    </row>
    <row r="556" spans="1:8" ht="15" thickBot="1">
      <c r="A556" s="31" t="s">
        <v>2582</v>
      </c>
      <c r="B556" s="18" t="s">
        <v>2642</v>
      </c>
      <c r="C556" s="30" t="s">
        <v>2646</v>
      </c>
      <c r="D556" s="30" t="s">
        <v>2651</v>
      </c>
      <c r="E556" s="18" t="s">
        <v>2373</v>
      </c>
      <c r="F556" s="16">
        <v>2</v>
      </c>
      <c r="G556" s="16">
        <v>3072.48</v>
      </c>
      <c r="H556" s="16">
        <v>6144.96</v>
      </c>
    </row>
    <row r="557" spans="1:8" ht="15" thickBot="1">
      <c r="A557" s="64">
        <v>45145</v>
      </c>
      <c r="B557" s="18" t="s">
        <v>2642</v>
      </c>
      <c r="C557" s="30" t="s">
        <v>2645</v>
      </c>
      <c r="D557" s="30" t="s">
        <v>2655</v>
      </c>
      <c r="E557" s="18" t="s">
        <v>2373</v>
      </c>
      <c r="F557" s="16">
        <v>5</v>
      </c>
      <c r="G557" s="16">
        <v>1185.45</v>
      </c>
      <c r="H557" s="16">
        <v>5927.25</v>
      </c>
    </row>
    <row r="558" spans="1:8" ht="15" thickBot="1">
      <c r="A558" s="64">
        <v>44933</v>
      </c>
      <c r="B558" s="18" t="s">
        <v>2643</v>
      </c>
      <c r="C558" s="30" t="s">
        <v>2647</v>
      </c>
      <c r="D558" s="30" t="s">
        <v>2659</v>
      </c>
      <c r="E558" s="18" t="s">
        <v>2373</v>
      </c>
      <c r="F558" s="16">
        <v>16</v>
      </c>
      <c r="G558" s="16">
        <v>338.38</v>
      </c>
      <c r="H558" s="16">
        <v>5414.08</v>
      </c>
    </row>
    <row r="559" spans="1:8" ht="15" thickBot="1">
      <c r="A559" s="31" t="s">
        <v>2575</v>
      </c>
      <c r="B559" s="18" t="s">
        <v>2642</v>
      </c>
      <c r="C559" s="30" t="s">
        <v>2645</v>
      </c>
      <c r="D559" s="30" t="s">
        <v>2649</v>
      </c>
      <c r="E559" s="18" t="s">
        <v>2373</v>
      </c>
      <c r="F559" s="16">
        <v>8</v>
      </c>
      <c r="G559" s="16">
        <v>659.36</v>
      </c>
      <c r="H559" s="16">
        <v>5274.88</v>
      </c>
    </row>
    <row r="560" spans="1:8" ht="15" thickBot="1">
      <c r="A560" s="31" t="s">
        <v>2625</v>
      </c>
      <c r="B560" s="18" t="s">
        <v>2643</v>
      </c>
      <c r="C560" s="30" t="s">
        <v>2647</v>
      </c>
      <c r="D560" s="30" t="s">
        <v>2652</v>
      </c>
      <c r="E560" s="18" t="s">
        <v>2373</v>
      </c>
      <c r="F560" s="16">
        <v>6</v>
      </c>
      <c r="G560" s="16">
        <v>863.69</v>
      </c>
      <c r="H560" s="16">
        <v>5182.1400000000003</v>
      </c>
    </row>
    <row r="561" spans="1:8" ht="15" thickBot="1">
      <c r="A561" s="64">
        <v>45083</v>
      </c>
      <c r="B561" s="18" t="s">
        <v>2642</v>
      </c>
      <c r="C561" s="30" t="s">
        <v>2645</v>
      </c>
      <c r="D561" s="30" t="s">
        <v>2649</v>
      </c>
      <c r="E561" s="18" t="s">
        <v>2373</v>
      </c>
      <c r="F561" s="16">
        <v>5</v>
      </c>
      <c r="G561" s="16">
        <v>975.39</v>
      </c>
      <c r="H561" s="16">
        <v>4876.95</v>
      </c>
    </row>
    <row r="562" spans="1:8" ht="15" thickBot="1">
      <c r="A562" s="31" t="s">
        <v>2492</v>
      </c>
      <c r="B562" s="18" t="s">
        <v>2643</v>
      </c>
      <c r="C562" s="30" t="s">
        <v>2647</v>
      </c>
      <c r="D562" s="30" t="s">
        <v>2659</v>
      </c>
      <c r="E562" s="18" t="s">
        <v>2373</v>
      </c>
      <c r="F562" s="16">
        <v>1</v>
      </c>
      <c r="G562" s="16">
        <v>4859.6499999999996</v>
      </c>
      <c r="H562" s="16">
        <v>4859.6499999999996</v>
      </c>
    </row>
    <row r="563" spans="1:8" ht="15" thickBot="1">
      <c r="A563" s="31" t="s">
        <v>2438</v>
      </c>
      <c r="B563" s="18" t="s">
        <v>2641</v>
      </c>
      <c r="C563" s="30" t="s">
        <v>2648</v>
      </c>
      <c r="D563" s="30" t="s">
        <v>2656</v>
      </c>
      <c r="E563" s="18" t="s">
        <v>2373</v>
      </c>
      <c r="F563" s="16">
        <v>2</v>
      </c>
      <c r="G563" s="16">
        <v>2400.5500000000002</v>
      </c>
      <c r="H563" s="16">
        <v>4801.1000000000004</v>
      </c>
    </row>
    <row r="564" spans="1:8" ht="15" thickBot="1">
      <c r="A564" s="31" t="s">
        <v>2540</v>
      </c>
      <c r="B564" s="18" t="s">
        <v>2642</v>
      </c>
      <c r="C564" s="30" t="s">
        <v>2646</v>
      </c>
      <c r="D564" s="30" t="s">
        <v>2654</v>
      </c>
      <c r="E564" s="18" t="s">
        <v>2373</v>
      </c>
      <c r="F564" s="16">
        <v>8</v>
      </c>
      <c r="G564" s="16">
        <v>592.82000000000005</v>
      </c>
      <c r="H564" s="16">
        <v>4742.5600000000004</v>
      </c>
    </row>
    <row r="565" spans="1:8" ht="15" thickBot="1">
      <c r="A565" s="64">
        <v>45109</v>
      </c>
      <c r="B565" s="18" t="s">
        <v>2642</v>
      </c>
      <c r="C565" s="30" t="s">
        <v>2646</v>
      </c>
      <c r="D565" s="30" t="s">
        <v>2650</v>
      </c>
      <c r="E565" s="18" t="s">
        <v>2373</v>
      </c>
      <c r="F565" s="16">
        <v>8</v>
      </c>
      <c r="G565" s="16">
        <v>562.98</v>
      </c>
      <c r="H565" s="16">
        <v>4503.84</v>
      </c>
    </row>
    <row r="566" spans="1:8" ht="15" thickBot="1">
      <c r="A566" s="64">
        <v>45146</v>
      </c>
      <c r="B566" s="18" t="s">
        <v>2641</v>
      </c>
      <c r="C566" s="30" t="s">
        <v>2644</v>
      </c>
      <c r="D566" s="30" t="s">
        <v>2392</v>
      </c>
      <c r="E566" s="18" t="s">
        <v>2373</v>
      </c>
      <c r="F566" s="16">
        <v>9</v>
      </c>
      <c r="G566" s="16">
        <v>489.27</v>
      </c>
      <c r="H566" s="16">
        <v>4403.43</v>
      </c>
    </row>
    <row r="567" spans="1:8" ht="15" thickBot="1">
      <c r="A567" s="31" t="s">
        <v>2433</v>
      </c>
      <c r="B567" s="18" t="s">
        <v>2641</v>
      </c>
      <c r="C567" s="30" t="s">
        <v>2648</v>
      </c>
      <c r="D567" s="30" t="s">
        <v>2396</v>
      </c>
      <c r="E567" s="18" t="s">
        <v>2373</v>
      </c>
      <c r="F567" s="16">
        <v>1</v>
      </c>
      <c r="G567" s="16">
        <v>4117.97</v>
      </c>
      <c r="H567" s="16">
        <v>4117.97</v>
      </c>
    </row>
    <row r="568" spans="1:8" ht="15" thickBot="1">
      <c r="A568" s="31" t="s">
        <v>2437</v>
      </c>
      <c r="B568" s="18" t="s">
        <v>2643</v>
      </c>
      <c r="C568" s="30" t="s">
        <v>2647</v>
      </c>
      <c r="D568" s="30" t="s">
        <v>2652</v>
      </c>
      <c r="E568" s="18" t="s">
        <v>2373</v>
      </c>
      <c r="F568" s="16">
        <v>4</v>
      </c>
      <c r="G568" s="16">
        <v>961.38</v>
      </c>
      <c r="H568" s="16">
        <v>3845.52</v>
      </c>
    </row>
    <row r="569" spans="1:8" ht="15" thickBot="1">
      <c r="A569" s="31" t="s">
        <v>2569</v>
      </c>
      <c r="B569" s="18" t="s">
        <v>2643</v>
      </c>
      <c r="C569" s="30" t="s">
        <v>2647</v>
      </c>
      <c r="D569" s="30" t="s">
        <v>2660</v>
      </c>
      <c r="E569" s="18" t="s">
        <v>2373</v>
      </c>
      <c r="F569" s="16">
        <v>10</v>
      </c>
      <c r="G569" s="16">
        <v>373.54</v>
      </c>
      <c r="H569" s="16">
        <v>3735.4</v>
      </c>
    </row>
    <row r="570" spans="1:8" ht="15" thickBot="1">
      <c r="A570" s="31" t="s">
        <v>2503</v>
      </c>
      <c r="B570" s="18" t="s">
        <v>2642</v>
      </c>
      <c r="C570" s="30" t="s">
        <v>2646</v>
      </c>
      <c r="D570" s="30" t="s">
        <v>2654</v>
      </c>
      <c r="E570" s="18" t="s">
        <v>2373</v>
      </c>
      <c r="F570" s="16">
        <v>1</v>
      </c>
      <c r="G570" s="16">
        <v>3734.74</v>
      </c>
      <c r="H570" s="16">
        <v>3734.74</v>
      </c>
    </row>
    <row r="571" spans="1:8" ht="15" thickBot="1">
      <c r="A571" s="31" t="s">
        <v>2433</v>
      </c>
      <c r="B571" s="18" t="s">
        <v>2642</v>
      </c>
      <c r="C571" s="30" t="s">
        <v>2646</v>
      </c>
      <c r="D571" s="30" t="s">
        <v>2654</v>
      </c>
      <c r="E571" s="18" t="s">
        <v>2373</v>
      </c>
      <c r="F571" s="16">
        <v>14</v>
      </c>
      <c r="G571" s="16">
        <v>264.60000000000002</v>
      </c>
      <c r="H571" s="16">
        <v>3704.4</v>
      </c>
    </row>
    <row r="572" spans="1:8" ht="15" thickBot="1">
      <c r="A572" s="31" t="s">
        <v>2475</v>
      </c>
      <c r="B572" s="18" t="s">
        <v>2642</v>
      </c>
      <c r="C572" s="30" t="s">
        <v>2645</v>
      </c>
      <c r="D572" s="30" t="s">
        <v>2649</v>
      </c>
      <c r="E572" s="18" t="s">
        <v>2373</v>
      </c>
      <c r="F572" s="16">
        <v>3</v>
      </c>
      <c r="G572" s="16">
        <v>1139.5899999999999</v>
      </c>
      <c r="H572" s="16">
        <v>3418.77</v>
      </c>
    </row>
    <row r="573" spans="1:8" ht="15" thickBot="1">
      <c r="A573" s="64">
        <v>44966</v>
      </c>
      <c r="B573" s="18" t="s">
        <v>2641</v>
      </c>
      <c r="C573" s="30" t="s">
        <v>2644</v>
      </c>
      <c r="D573" s="30" t="s">
        <v>2653</v>
      </c>
      <c r="E573" s="18" t="s">
        <v>2373</v>
      </c>
      <c r="F573" s="16">
        <v>2</v>
      </c>
      <c r="G573" s="16">
        <v>1695.6</v>
      </c>
      <c r="H573" s="16">
        <v>3391.2</v>
      </c>
    </row>
    <row r="574" spans="1:8" ht="15" thickBot="1">
      <c r="A574" s="64">
        <v>45207</v>
      </c>
      <c r="B574" s="18" t="s">
        <v>2642</v>
      </c>
      <c r="C574" s="30" t="s">
        <v>2645</v>
      </c>
      <c r="D574" s="30" t="s">
        <v>2649</v>
      </c>
      <c r="E574" s="18" t="s">
        <v>2373</v>
      </c>
      <c r="F574" s="16">
        <v>1</v>
      </c>
      <c r="G574" s="16">
        <v>3374.31</v>
      </c>
      <c r="H574" s="16">
        <v>3374.31</v>
      </c>
    </row>
    <row r="575" spans="1:8" ht="15" thickBot="1">
      <c r="A575" s="31" t="s">
        <v>2499</v>
      </c>
      <c r="B575" s="18" t="s">
        <v>2642</v>
      </c>
      <c r="C575" s="30" t="s">
        <v>2646</v>
      </c>
      <c r="D575" s="30" t="s">
        <v>2654</v>
      </c>
      <c r="E575" s="18" t="s">
        <v>2373</v>
      </c>
      <c r="F575" s="16">
        <v>3</v>
      </c>
      <c r="G575" s="16">
        <v>1046.06</v>
      </c>
      <c r="H575" s="16">
        <v>3138.18</v>
      </c>
    </row>
    <row r="576" spans="1:8" ht="15" thickBot="1">
      <c r="A576" s="64">
        <v>45049</v>
      </c>
      <c r="B576" s="18" t="s">
        <v>2641</v>
      </c>
      <c r="C576" s="30" t="s">
        <v>2644</v>
      </c>
      <c r="D576" s="30" t="s">
        <v>2392</v>
      </c>
      <c r="E576" s="18" t="s">
        <v>2373</v>
      </c>
      <c r="F576" s="16">
        <v>1</v>
      </c>
      <c r="G576" s="16">
        <v>3059.01</v>
      </c>
      <c r="H576" s="16">
        <v>3059.01</v>
      </c>
    </row>
    <row r="577" spans="1:8" ht="15" thickBot="1">
      <c r="A577" s="31" t="s">
        <v>2639</v>
      </c>
      <c r="B577" s="18" t="s">
        <v>2642</v>
      </c>
      <c r="C577" s="30" t="s">
        <v>2645</v>
      </c>
      <c r="D577" s="30" t="s">
        <v>2658</v>
      </c>
      <c r="E577" s="18" t="s">
        <v>2373</v>
      </c>
      <c r="F577" s="16">
        <v>4</v>
      </c>
      <c r="G577" s="16">
        <v>722.05</v>
      </c>
      <c r="H577" s="16">
        <v>2888.2</v>
      </c>
    </row>
    <row r="578" spans="1:8" ht="15" thickBot="1">
      <c r="A578" s="31" t="s">
        <v>2482</v>
      </c>
      <c r="B578" s="18" t="s">
        <v>2643</v>
      </c>
      <c r="C578" s="30" t="s">
        <v>2647</v>
      </c>
      <c r="D578" s="30" t="s">
        <v>2660</v>
      </c>
      <c r="E578" s="18" t="s">
        <v>2373</v>
      </c>
      <c r="F578" s="16">
        <v>4</v>
      </c>
      <c r="G578" s="16">
        <v>700.07</v>
      </c>
      <c r="H578" s="16">
        <v>2800.28</v>
      </c>
    </row>
    <row r="579" spans="1:8" ht="15" thickBot="1">
      <c r="A579" s="31" t="s">
        <v>2475</v>
      </c>
      <c r="B579" s="18" t="s">
        <v>2641</v>
      </c>
      <c r="C579" s="30" t="s">
        <v>2644</v>
      </c>
      <c r="D579" s="30" t="s">
        <v>2392</v>
      </c>
      <c r="E579" s="18" t="s">
        <v>2373</v>
      </c>
      <c r="F579" s="16">
        <v>2</v>
      </c>
      <c r="G579" s="16">
        <v>1377.64</v>
      </c>
      <c r="H579" s="16">
        <v>2755.28</v>
      </c>
    </row>
    <row r="580" spans="1:8" ht="15" thickBot="1">
      <c r="A580" s="64">
        <v>45270</v>
      </c>
      <c r="B580" s="18" t="s">
        <v>2643</v>
      </c>
      <c r="C580" s="30" t="s">
        <v>2647</v>
      </c>
      <c r="D580" s="30" t="s">
        <v>2660</v>
      </c>
      <c r="E580" s="18" t="s">
        <v>2373</v>
      </c>
      <c r="F580" s="16">
        <v>14</v>
      </c>
      <c r="G580" s="16">
        <v>188.94</v>
      </c>
      <c r="H580" s="16">
        <v>2645.16</v>
      </c>
    </row>
    <row r="581" spans="1:8" ht="15" thickBot="1">
      <c r="A581" s="31" t="s">
        <v>2583</v>
      </c>
      <c r="B581" s="18" t="s">
        <v>2641</v>
      </c>
      <c r="C581" s="30" t="s">
        <v>2648</v>
      </c>
      <c r="D581" s="30" t="s">
        <v>2657</v>
      </c>
      <c r="E581" s="18" t="s">
        <v>2373</v>
      </c>
      <c r="F581" s="16">
        <v>2</v>
      </c>
      <c r="G581" s="16">
        <v>1316.79</v>
      </c>
      <c r="H581" s="16">
        <v>2633.58</v>
      </c>
    </row>
    <row r="582" spans="1:8" ht="15" thickBot="1">
      <c r="A582" s="64">
        <v>45262</v>
      </c>
      <c r="B582" s="18" t="s">
        <v>2643</v>
      </c>
      <c r="C582" s="30" t="s">
        <v>2647</v>
      </c>
      <c r="D582" s="30" t="s">
        <v>2660</v>
      </c>
      <c r="E582" s="18" t="s">
        <v>2373</v>
      </c>
      <c r="F582" s="16">
        <v>1</v>
      </c>
      <c r="G582" s="16">
        <v>2489.17</v>
      </c>
      <c r="H582" s="16">
        <v>2489.17</v>
      </c>
    </row>
    <row r="583" spans="1:8" ht="15" thickBot="1">
      <c r="A583" s="64">
        <v>45149</v>
      </c>
      <c r="B583" s="18" t="s">
        <v>2641</v>
      </c>
      <c r="C583" s="30" t="s">
        <v>2644</v>
      </c>
      <c r="D583" s="30" t="s">
        <v>2393</v>
      </c>
      <c r="E583" s="18" t="s">
        <v>2373</v>
      </c>
      <c r="F583" s="16">
        <v>11</v>
      </c>
      <c r="G583" s="16">
        <v>212.86</v>
      </c>
      <c r="H583" s="16">
        <v>2341.46</v>
      </c>
    </row>
    <row r="584" spans="1:8" ht="15" thickBot="1">
      <c r="A584" s="31" t="s">
        <v>2458</v>
      </c>
      <c r="B584" s="18" t="s">
        <v>2641</v>
      </c>
      <c r="C584" s="30" t="s">
        <v>2648</v>
      </c>
      <c r="D584" s="30" t="s">
        <v>2396</v>
      </c>
      <c r="E584" s="18" t="s">
        <v>2373</v>
      </c>
      <c r="F584" s="16">
        <v>8</v>
      </c>
      <c r="G584" s="16">
        <v>285.94</v>
      </c>
      <c r="H584" s="16">
        <v>2287.52</v>
      </c>
    </row>
    <row r="585" spans="1:8" ht="15" thickBot="1">
      <c r="A585" s="31" t="s">
        <v>2491</v>
      </c>
      <c r="B585" s="18" t="s">
        <v>2642</v>
      </c>
      <c r="C585" s="30" t="s">
        <v>2645</v>
      </c>
      <c r="D585" s="30" t="s">
        <v>2658</v>
      </c>
      <c r="E585" s="18" t="s">
        <v>2373</v>
      </c>
      <c r="F585" s="16">
        <v>10</v>
      </c>
      <c r="G585" s="16">
        <v>222.55</v>
      </c>
      <c r="H585" s="16">
        <v>2225.5</v>
      </c>
    </row>
    <row r="586" spans="1:8" ht="15" thickBot="1">
      <c r="A586" s="31" t="s">
        <v>2587</v>
      </c>
      <c r="B586" s="18" t="s">
        <v>2641</v>
      </c>
      <c r="C586" s="30" t="s">
        <v>2648</v>
      </c>
      <c r="D586" s="30" t="s">
        <v>2657</v>
      </c>
      <c r="E586" s="18" t="s">
        <v>2373</v>
      </c>
      <c r="F586" s="16">
        <v>7</v>
      </c>
      <c r="G586" s="16">
        <v>281.29000000000002</v>
      </c>
      <c r="H586" s="16">
        <v>1969.03</v>
      </c>
    </row>
    <row r="587" spans="1:8" ht="15" thickBot="1">
      <c r="A587" s="64">
        <v>45262</v>
      </c>
      <c r="B587" s="18" t="s">
        <v>2641</v>
      </c>
      <c r="C587" s="30" t="s">
        <v>2648</v>
      </c>
      <c r="D587" s="30" t="s">
        <v>2656</v>
      </c>
      <c r="E587" s="18" t="s">
        <v>2373</v>
      </c>
      <c r="F587" s="16">
        <v>1</v>
      </c>
      <c r="G587" s="16">
        <v>1898.15</v>
      </c>
      <c r="H587" s="16">
        <v>1898.15</v>
      </c>
    </row>
    <row r="588" spans="1:8" ht="15" thickBot="1">
      <c r="A588" s="31" t="s">
        <v>2511</v>
      </c>
      <c r="B588" s="18" t="s">
        <v>2642</v>
      </c>
      <c r="C588" s="30" t="s">
        <v>2646</v>
      </c>
      <c r="D588" s="30" t="s">
        <v>2650</v>
      </c>
      <c r="E588" s="18" t="s">
        <v>2373</v>
      </c>
      <c r="F588" s="16">
        <v>4</v>
      </c>
      <c r="G588" s="16">
        <v>366.33</v>
      </c>
      <c r="H588" s="16">
        <v>1465.32</v>
      </c>
    </row>
    <row r="589" spans="1:8" ht="15" thickBot="1">
      <c r="A589" s="64">
        <v>45264</v>
      </c>
      <c r="B589" s="18" t="s">
        <v>2643</v>
      </c>
      <c r="C589" s="30" t="s">
        <v>2647</v>
      </c>
      <c r="D589" s="30" t="s">
        <v>2652</v>
      </c>
      <c r="E589" s="18" t="s">
        <v>2373</v>
      </c>
      <c r="F589" s="16">
        <v>1</v>
      </c>
      <c r="G589" s="16">
        <v>1410.8</v>
      </c>
      <c r="H589" s="16">
        <v>1410.8</v>
      </c>
    </row>
    <row r="590" spans="1:8" ht="15" thickBot="1">
      <c r="A590" s="31" t="s">
        <v>2491</v>
      </c>
      <c r="B590" s="18" t="s">
        <v>2642</v>
      </c>
      <c r="C590" s="30" t="s">
        <v>2646</v>
      </c>
      <c r="D590" s="30" t="s">
        <v>2650</v>
      </c>
      <c r="E590" s="18" t="s">
        <v>2373</v>
      </c>
      <c r="F590" s="16">
        <v>5</v>
      </c>
      <c r="G590" s="16">
        <v>278.31</v>
      </c>
      <c r="H590" s="16">
        <v>1391.55</v>
      </c>
    </row>
    <row r="591" spans="1:8" ht="15" thickBot="1">
      <c r="A591" s="64">
        <v>45210</v>
      </c>
      <c r="B591" s="18" t="s">
        <v>2641</v>
      </c>
      <c r="C591" s="30" t="s">
        <v>2648</v>
      </c>
      <c r="D591" s="30" t="s">
        <v>2656</v>
      </c>
      <c r="E591" s="18" t="s">
        <v>2373</v>
      </c>
      <c r="F591" s="16">
        <v>5</v>
      </c>
      <c r="G591" s="16">
        <v>172.99</v>
      </c>
      <c r="H591" s="16">
        <v>864.95</v>
      </c>
    </row>
    <row r="592" spans="1:8" ht="15" thickBot="1">
      <c r="A592" s="31" t="s">
        <v>2493</v>
      </c>
      <c r="B592" s="18" t="s">
        <v>2642</v>
      </c>
      <c r="C592" s="30" t="s">
        <v>2646</v>
      </c>
      <c r="D592" s="30" t="s">
        <v>2654</v>
      </c>
      <c r="E592" s="18" t="s">
        <v>2373</v>
      </c>
      <c r="F592" s="16">
        <v>1</v>
      </c>
      <c r="G592" s="16">
        <v>632.39</v>
      </c>
      <c r="H592" s="16">
        <v>632.39</v>
      </c>
    </row>
    <row r="593" spans="1:8" ht="15" thickBot="1">
      <c r="A593" s="64">
        <v>45085</v>
      </c>
      <c r="B593" s="18" t="s">
        <v>2641</v>
      </c>
      <c r="C593" s="30" t="s">
        <v>2648</v>
      </c>
      <c r="D593" s="30" t="s">
        <v>2657</v>
      </c>
      <c r="E593" s="18" t="s">
        <v>2661</v>
      </c>
      <c r="F593" s="16">
        <v>20</v>
      </c>
      <c r="G593" s="16">
        <v>4944.01</v>
      </c>
      <c r="H593" s="16">
        <v>98880.2</v>
      </c>
    </row>
    <row r="594" spans="1:8" ht="15" thickBot="1">
      <c r="A594" s="31" t="s">
        <v>2610</v>
      </c>
      <c r="B594" s="18" t="s">
        <v>2641</v>
      </c>
      <c r="C594" s="30" t="s">
        <v>2644</v>
      </c>
      <c r="D594" s="30" t="s">
        <v>2392</v>
      </c>
      <c r="E594" s="18" t="s">
        <v>2661</v>
      </c>
      <c r="F594" s="16">
        <v>20</v>
      </c>
      <c r="G594" s="16">
        <v>4638.2</v>
      </c>
      <c r="H594" s="16">
        <v>92764</v>
      </c>
    </row>
    <row r="595" spans="1:8" ht="15" thickBot="1">
      <c r="A595" s="31" t="s">
        <v>2506</v>
      </c>
      <c r="B595" s="18" t="s">
        <v>2641</v>
      </c>
      <c r="C595" s="30" t="s">
        <v>2644</v>
      </c>
      <c r="D595" s="30" t="s">
        <v>2393</v>
      </c>
      <c r="E595" s="18" t="s">
        <v>2661</v>
      </c>
      <c r="F595" s="16">
        <v>20</v>
      </c>
      <c r="G595" s="16">
        <v>4226.93</v>
      </c>
      <c r="H595" s="16">
        <v>84538.6</v>
      </c>
    </row>
    <row r="596" spans="1:8" ht="15" thickBot="1">
      <c r="A596" s="31" t="s">
        <v>2472</v>
      </c>
      <c r="B596" s="18" t="s">
        <v>2642</v>
      </c>
      <c r="C596" s="30" t="s">
        <v>2645</v>
      </c>
      <c r="D596" s="30" t="s">
        <v>2655</v>
      </c>
      <c r="E596" s="18" t="s">
        <v>2661</v>
      </c>
      <c r="F596" s="16">
        <v>17</v>
      </c>
      <c r="G596" s="16">
        <v>4825.24</v>
      </c>
      <c r="H596" s="16">
        <v>82029.08</v>
      </c>
    </row>
    <row r="597" spans="1:8" ht="15" thickBot="1">
      <c r="A597" s="64">
        <v>45114</v>
      </c>
      <c r="B597" s="18" t="s">
        <v>2642</v>
      </c>
      <c r="C597" s="30" t="s">
        <v>2646</v>
      </c>
      <c r="D597" s="30" t="s">
        <v>2654</v>
      </c>
      <c r="E597" s="18" t="s">
        <v>2661</v>
      </c>
      <c r="F597" s="16">
        <v>20</v>
      </c>
      <c r="G597" s="16">
        <v>3891.28</v>
      </c>
      <c r="H597" s="16">
        <v>77825.600000000006</v>
      </c>
    </row>
    <row r="598" spans="1:8" ht="15" thickBot="1">
      <c r="A598" s="64">
        <v>45267</v>
      </c>
      <c r="B598" s="18" t="s">
        <v>2641</v>
      </c>
      <c r="C598" s="30" t="s">
        <v>2648</v>
      </c>
      <c r="D598" s="30" t="s">
        <v>2656</v>
      </c>
      <c r="E598" s="18" t="s">
        <v>2661</v>
      </c>
      <c r="F598" s="16">
        <v>16</v>
      </c>
      <c r="G598" s="16">
        <v>4858.3100000000004</v>
      </c>
      <c r="H598" s="16">
        <v>77732.960000000006</v>
      </c>
    </row>
    <row r="599" spans="1:8" ht="15" thickBot="1">
      <c r="A599" s="31" t="s">
        <v>2494</v>
      </c>
      <c r="B599" s="18" t="s">
        <v>2642</v>
      </c>
      <c r="C599" s="30" t="s">
        <v>2646</v>
      </c>
      <c r="D599" s="30" t="s">
        <v>2651</v>
      </c>
      <c r="E599" s="18" t="s">
        <v>2661</v>
      </c>
      <c r="F599" s="16">
        <v>20</v>
      </c>
      <c r="G599" s="16">
        <v>3684.86</v>
      </c>
      <c r="H599" s="16">
        <v>73697.2</v>
      </c>
    </row>
    <row r="600" spans="1:8" ht="15" thickBot="1">
      <c r="A600" s="64">
        <v>44937</v>
      </c>
      <c r="B600" s="18" t="s">
        <v>2643</v>
      </c>
      <c r="C600" s="30" t="s">
        <v>2647</v>
      </c>
      <c r="D600" s="30" t="s">
        <v>2652</v>
      </c>
      <c r="E600" s="18" t="s">
        <v>2661</v>
      </c>
      <c r="F600" s="16">
        <v>18</v>
      </c>
      <c r="G600" s="16">
        <v>4059.82</v>
      </c>
      <c r="H600" s="16">
        <v>73076.759999999995</v>
      </c>
    </row>
    <row r="601" spans="1:8" ht="15" thickBot="1">
      <c r="A601" s="31" t="s">
        <v>2555</v>
      </c>
      <c r="B601" s="18" t="s">
        <v>2641</v>
      </c>
      <c r="C601" s="30" t="s">
        <v>2648</v>
      </c>
      <c r="D601" s="30" t="s">
        <v>2656</v>
      </c>
      <c r="E601" s="18" t="s">
        <v>2661</v>
      </c>
      <c r="F601" s="16">
        <v>18</v>
      </c>
      <c r="G601" s="16">
        <v>3943.82</v>
      </c>
      <c r="H601" s="16">
        <v>70988.759999999995</v>
      </c>
    </row>
    <row r="602" spans="1:8" ht="15" thickBot="1">
      <c r="A602" s="31" t="s">
        <v>2509</v>
      </c>
      <c r="B602" s="18" t="s">
        <v>2642</v>
      </c>
      <c r="C602" s="30" t="s">
        <v>2645</v>
      </c>
      <c r="D602" s="30" t="s">
        <v>2658</v>
      </c>
      <c r="E602" s="18" t="s">
        <v>2661</v>
      </c>
      <c r="F602" s="16">
        <v>15</v>
      </c>
      <c r="G602" s="16">
        <v>4659.8</v>
      </c>
      <c r="H602" s="16">
        <v>69897</v>
      </c>
    </row>
    <row r="603" spans="1:8" ht="15" thickBot="1">
      <c r="A603" s="64">
        <v>44936</v>
      </c>
      <c r="B603" s="18" t="s">
        <v>2642</v>
      </c>
      <c r="C603" s="30" t="s">
        <v>2645</v>
      </c>
      <c r="D603" s="30" t="s">
        <v>2658</v>
      </c>
      <c r="E603" s="18" t="s">
        <v>2661</v>
      </c>
      <c r="F603" s="16">
        <v>16</v>
      </c>
      <c r="G603" s="16">
        <v>4354.03</v>
      </c>
      <c r="H603" s="16">
        <v>69664.479999999996</v>
      </c>
    </row>
    <row r="604" spans="1:8" ht="15" thickBot="1">
      <c r="A604" s="31" t="s">
        <v>2465</v>
      </c>
      <c r="B604" s="18" t="s">
        <v>2642</v>
      </c>
      <c r="C604" s="30" t="s">
        <v>2645</v>
      </c>
      <c r="D604" s="30" t="s">
        <v>2649</v>
      </c>
      <c r="E604" s="18" t="s">
        <v>2661</v>
      </c>
      <c r="F604" s="16">
        <v>15</v>
      </c>
      <c r="G604" s="16">
        <v>4269.32</v>
      </c>
      <c r="H604" s="16">
        <v>64039.8</v>
      </c>
    </row>
    <row r="605" spans="1:8" ht="15" thickBot="1">
      <c r="A605" s="64">
        <v>45203</v>
      </c>
      <c r="B605" s="18" t="s">
        <v>2642</v>
      </c>
      <c r="C605" s="30" t="s">
        <v>2645</v>
      </c>
      <c r="D605" s="30" t="s">
        <v>2658</v>
      </c>
      <c r="E605" s="18" t="s">
        <v>2661</v>
      </c>
      <c r="F605" s="16">
        <v>15</v>
      </c>
      <c r="G605" s="16">
        <v>4262.53</v>
      </c>
      <c r="H605" s="16">
        <v>63937.95</v>
      </c>
    </row>
    <row r="606" spans="1:8" ht="15" thickBot="1">
      <c r="A606" s="64">
        <v>44935</v>
      </c>
      <c r="B606" s="18" t="s">
        <v>2641</v>
      </c>
      <c r="C606" s="30" t="s">
        <v>2648</v>
      </c>
      <c r="D606" s="30" t="s">
        <v>2657</v>
      </c>
      <c r="E606" s="18" t="s">
        <v>2661</v>
      </c>
      <c r="F606" s="16">
        <v>19</v>
      </c>
      <c r="G606" s="16">
        <v>3326.91</v>
      </c>
      <c r="H606" s="16">
        <v>63211.29</v>
      </c>
    </row>
    <row r="607" spans="1:8" ht="15" thickBot="1">
      <c r="A607" s="31" t="s">
        <v>2514</v>
      </c>
      <c r="B607" s="18" t="s">
        <v>2642</v>
      </c>
      <c r="C607" s="30" t="s">
        <v>2645</v>
      </c>
      <c r="D607" s="30" t="s">
        <v>2658</v>
      </c>
      <c r="E607" s="18" t="s">
        <v>2661</v>
      </c>
      <c r="F607" s="16">
        <v>16</v>
      </c>
      <c r="G607" s="16">
        <v>3931.95</v>
      </c>
      <c r="H607" s="16">
        <v>62911.199999999997</v>
      </c>
    </row>
    <row r="608" spans="1:8" ht="15" thickBot="1">
      <c r="A608" s="31" t="s">
        <v>2438</v>
      </c>
      <c r="B608" s="18" t="s">
        <v>2643</v>
      </c>
      <c r="C608" s="30" t="s">
        <v>2647</v>
      </c>
      <c r="D608" s="30" t="s">
        <v>2652</v>
      </c>
      <c r="E608" s="18" t="s">
        <v>2661</v>
      </c>
      <c r="F608" s="16">
        <v>14</v>
      </c>
      <c r="G608" s="16">
        <v>4457.21</v>
      </c>
      <c r="H608" s="16">
        <v>62400.94</v>
      </c>
    </row>
    <row r="609" spans="1:8" ht="15" thickBot="1">
      <c r="A609" s="64">
        <v>45150</v>
      </c>
      <c r="B609" s="18" t="s">
        <v>2642</v>
      </c>
      <c r="C609" s="30" t="s">
        <v>2645</v>
      </c>
      <c r="D609" s="30" t="s">
        <v>2658</v>
      </c>
      <c r="E609" s="18" t="s">
        <v>2661</v>
      </c>
      <c r="F609" s="16">
        <v>16</v>
      </c>
      <c r="G609" s="16">
        <v>3895.18</v>
      </c>
      <c r="H609" s="16">
        <v>62322.879999999997</v>
      </c>
    </row>
    <row r="610" spans="1:8" ht="15" thickBot="1">
      <c r="A610" s="64">
        <v>44993</v>
      </c>
      <c r="B610" s="18" t="s">
        <v>2643</v>
      </c>
      <c r="C610" s="30" t="s">
        <v>2647</v>
      </c>
      <c r="D610" s="30" t="s">
        <v>2660</v>
      </c>
      <c r="E610" s="18" t="s">
        <v>2661</v>
      </c>
      <c r="F610" s="16">
        <v>16</v>
      </c>
      <c r="G610" s="16">
        <v>3836.1</v>
      </c>
      <c r="H610" s="16">
        <v>61377.599999999999</v>
      </c>
    </row>
    <row r="611" spans="1:8" ht="15" thickBot="1">
      <c r="A611" s="31" t="s">
        <v>2521</v>
      </c>
      <c r="B611" s="18" t="s">
        <v>2643</v>
      </c>
      <c r="C611" s="30" t="s">
        <v>2647</v>
      </c>
      <c r="D611" s="30" t="s">
        <v>2660</v>
      </c>
      <c r="E611" s="18" t="s">
        <v>2661</v>
      </c>
      <c r="F611" s="16">
        <v>16</v>
      </c>
      <c r="G611" s="16">
        <v>3788.36</v>
      </c>
      <c r="H611" s="16">
        <v>60613.760000000002</v>
      </c>
    </row>
    <row r="612" spans="1:8" ht="15" thickBot="1">
      <c r="A612" s="31" t="s">
        <v>2610</v>
      </c>
      <c r="B612" s="18" t="s">
        <v>2642</v>
      </c>
      <c r="C612" s="30" t="s">
        <v>2645</v>
      </c>
      <c r="D612" s="30" t="s">
        <v>2655</v>
      </c>
      <c r="E612" s="18" t="s">
        <v>2661</v>
      </c>
      <c r="F612" s="16">
        <v>12</v>
      </c>
      <c r="G612" s="16">
        <v>4964.87</v>
      </c>
      <c r="H612" s="16">
        <v>59578.44</v>
      </c>
    </row>
    <row r="613" spans="1:8" ht="15" thickBot="1">
      <c r="A613" s="64">
        <v>45146</v>
      </c>
      <c r="B613" s="18" t="s">
        <v>2642</v>
      </c>
      <c r="C613" s="30" t="s">
        <v>2645</v>
      </c>
      <c r="D613" s="30" t="s">
        <v>2655</v>
      </c>
      <c r="E613" s="18" t="s">
        <v>2661</v>
      </c>
      <c r="F613" s="16">
        <v>15</v>
      </c>
      <c r="G613" s="16">
        <v>3943.63</v>
      </c>
      <c r="H613" s="16">
        <v>59154.45</v>
      </c>
    </row>
    <row r="614" spans="1:8" ht="15" thickBot="1">
      <c r="A614" s="64">
        <v>45088</v>
      </c>
      <c r="B614" s="18" t="s">
        <v>2642</v>
      </c>
      <c r="C614" s="30" t="s">
        <v>2645</v>
      </c>
      <c r="D614" s="30" t="s">
        <v>2655</v>
      </c>
      <c r="E614" s="18" t="s">
        <v>2661</v>
      </c>
      <c r="F614" s="16">
        <v>13</v>
      </c>
      <c r="G614" s="16">
        <v>4226.47</v>
      </c>
      <c r="H614" s="16">
        <v>54944.11</v>
      </c>
    </row>
    <row r="615" spans="1:8" ht="15" thickBot="1">
      <c r="A615" s="31" t="s">
        <v>2433</v>
      </c>
      <c r="B615" s="18" t="s">
        <v>2642</v>
      </c>
      <c r="C615" s="30" t="s">
        <v>2645</v>
      </c>
      <c r="D615" s="30" t="s">
        <v>2655</v>
      </c>
      <c r="E615" s="18" t="s">
        <v>2661</v>
      </c>
      <c r="F615" s="16">
        <v>12</v>
      </c>
      <c r="G615" s="16">
        <v>4572.79</v>
      </c>
      <c r="H615" s="16">
        <v>54873.48</v>
      </c>
    </row>
    <row r="616" spans="1:8" ht="15" thickBot="1">
      <c r="A616" s="64">
        <v>45262</v>
      </c>
      <c r="B616" s="18" t="s">
        <v>2641</v>
      </c>
      <c r="C616" s="30" t="s">
        <v>2644</v>
      </c>
      <c r="D616" s="30" t="s">
        <v>2393</v>
      </c>
      <c r="E616" s="18" t="s">
        <v>2661</v>
      </c>
      <c r="F616" s="16">
        <v>18</v>
      </c>
      <c r="G616" s="16">
        <v>3040.28</v>
      </c>
      <c r="H616" s="16">
        <v>54725.04</v>
      </c>
    </row>
    <row r="617" spans="1:8" ht="15" thickBot="1">
      <c r="A617" s="64">
        <v>44959</v>
      </c>
      <c r="B617" s="18" t="s">
        <v>2641</v>
      </c>
      <c r="C617" s="30" t="s">
        <v>2648</v>
      </c>
      <c r="D617" s="30" t="s">
        <v>2396</v>
      </c>
      <c r="E617" s="18" t="s">
        <v>2661</v>
      </c>
      <c r="F617" s="16">
        <v>15</v>
      </c>
      <c r="G617" s="16">
        <v>3555.88</v>
      </c>
      <c r="H617" s="16">
        <v>53338.2</v>
      </c>
    </row>
    <row r="618" spans="1:8" ht="15" thickBot="1">
      <c r="A618" s="64">
        <v>44929</v>
      </c>
      <c r="B618" s="18" t="s">
        <v>2642</v>
      </c>
      <c r="C618" s="30" t="s">
        <v>2646</v>
      </c>
      <c r="D618" s="30" t="s">
        <v>2654</v>
      </c>
      <c r="E618" s="18" t="s">
        <v>2661</v>
      </c>
      <c r="F618" s="16">
        <v>12</v>
      </c>
      <c r="G618" s="16">
        <v>4403.8500000000004</v>
      </c>
      <c r="H618" s="16">
        <v>52846.2</v>
      </c>
    </row>
    <row r="619" spans="1:8" ht="15" thickBot="1">
      <c r="A619" s="31" t="s">
        <v>2513</v>
      </c>
      <c r="B619" s="18" t="s">
        <v>2643</v>
      </c>
      <c r="C619" s="30" t="s">
        <v>2647</v>
      </c>
      <c r="D619" s="30" t="s">
        <v>2660</v>
      </c>
      <c r="E619" s="18" t="s">
        <v>2661</v>
      </c>
      <c r="F619" s="16">
        <v>12</v>
      </c>
      <c r="G619" s="16">
        <v>4378.41</v>
      </c>
      <c r="H619" s="16">
        <v>52540.92</v>
      </c>
    </row>
    <row r="620" spans="1:8" ht="15" thickBot="1">
      <c r="A620" s="64">
        <v>45149</v>
      </c>
      <c r="B620" s="18" t="s">
        <v>2641</v>
      </c>
      <c r="C620" s="30" t="s">
        <v>2648</v>
      </c>
      <c r="D620" s="30" t="s">
        <v>2656</v>
      </c>
      <c r="E620" s="18" t="s">
        <v>2661</v>
      </c>
      <c r="F620" s="16">
        <v>19</v>
      </c>
      <c r="G620" s="16">
        <v>2743.67</v>
      </c>
      <c r="H620" s="16">
        <v>52129.73</v>
      </c>
    </row>
    <row r="621" spans="1:8" ht="15" thickBot="1">
      <c r="A621" s="64">
        <v>45240</v>
      </c>
      <c r="B621" s="18" t="s">
        <v>2642</v>
      </c>
      <c r="C621" s="30" t="s">
        <v>2646</v>
      </c>
      <c r="D621" s="30" t="s">
        <v>2650</v>
      </c>
      <c r="E621" s="18" t="s">
        <v>2661</v>
      </c>
      <c r="F621" s="16">
        <v>16</v>
      </c>
      <c r="G621" s="16">
        <v>3155.43</v>
      </c>
      <c r="H621" s="16">
        <v>50486.879999999997</v>
      </c>
    </row>
    <row r="622" spans="1:8" ht="15" thickBot="1">
      <c r="A622" s="31" t="s">
        <v>2499</v>
      </c>
      <c r="B622" s="18" t="s">
        <v>2642</v>
      </c>
      <c r="C622" s="30" t="s">
        <v>2646</v>
      </c>
      <c r="D622" s="30" t="s">
        <v>2654</v>
      </c>
      <c r="E622" s="18" t="s">
        <v>2661</v>
      </c>
      <c r="F622" s="16">
        <v>20</v>
      </c>
      <c r="G622" s="16">
        <v>2487.65</v>
      </c>
      <c r="H622" s="16">
        <v>49753</v>
      </c>
    </row>
    <row r="623" spans="1:8" ht="15" thickBot="1">
      <c r="A623" s="64">
        <v>45206</v>
      </c>
      <c r="B623" s="18" t="s">
        <v>2641</v>
      </c>
      <c r="C623" s="30" t="s">
        <v>2644</v>
      </c>
      <c r="D623" s="30" t="s">
        <v>2653</v>
      </c>
      <c r="E623" s="18" t="s">
        <v>2661</v>
      </c>
      <c r="F623" s="16">
        <v>20</v>
      </c>
      <c r="G623" s="16">
        <v>2415.86</v>
      </c>
      <c r="H623" s="16">
        <v>48317.2</v>
      </c>
    </row>
    <row r="624" spans="1:8" ht="15" thickBot="1">
      <c r="A624" s="64">
        <v>45176</v>
      </c>
      <c r="B624" s="18" t="s">
        <v>2643</v>
      </c>
      <c r="C624" s="30" t="s">
        <v>2647</v>
      </c>
      <c r="D624" s="30" t="s">
        <v>2659</v>
      </c>
      <c r="E624" s="18" t="s">
        <v>2661</v>
      </c>
      <c r="F624" s="16">
        <v>12</v>
      </c>
      <c r="G624" s="16">
        <v>4003.52</v>
      </c>
      <c r="H624" s="16">
        <v>48042.239999999998</v>
      </c>
    </row>
    <row r="625" spans="1:8" ht="15" thickBot="1">
      <c r="A625" s="64">
        <v>45265</v>
      </c>
      <c r="B625" s="18" t="s">
        <v>2643</v>
      </c>
      <c r="C625" s="30" t="s">
        <v>2647</v>
      </c>
      <c r="D625" s="30" t="s">
        <v>2660</v>
      </c>
      <c r="E625" s="18" t="s">
        <v>2661</v>
      </c>
      <c r="F625" s="16">
        <v>16</v>
      </c>
      <c r="G625" s="16">
        <v>2991.84</v>
      </c>
      <c r="H625" s="16">
        <v>47869.440000000002</v>
      </c>
    </row>
    <row r="626" spans="1:8" ht="15" thickBot="1">
      <c r="A626" s="31" t="s">
        <v>2597</v>
      </c>
      <c r="B626" s="18" t="s">
        <v>2642</v>
      </c>
      <c r="C626" s="30" t="s">
        <v>2645</v>
      </c>
      <c r="D626" s="30" t="s">
        <v>2649</v>
      </c>
      <c r="E626" s="18" t="s">
        <v>2661</v>
      </c>
      <c r="F626" s="16">
        <v>19</v>
      </c>
      <c r="G626" s="16">
        <v>2513.27</v>
      </c>
      <c r="H626" s="16">
        <v>47752.13</v>
      </c>
    </row>
    <row r="627" spans="1:8" ht="15" thickBot="1">
      <c r="A627" s="31" t="s">
        <v>2566</v>
      </c>
      <c r="B627" s="18" t="s">
        <v>2642</v>
      </c>
      <c r="C627" s="30" t="s">
        <v>2645</v>
      </c>
      <c r="D627" s="30" t="s">
        <v>2658</v>
      </c>
      <c r="E627" s="18" t="s">
        <v>2661</v>
      </c>
      <c r="F627" s="16">
        <v>10</v>
      </c>
      <c r="G627" s="16">
        <v>4761.1899999999996</v>
      </c>
      <c r="H627" s="16">
        <v>47611.9</v>
      </c>
    </row>
    <row r="628" spans="1:8" ht="15" thickBot="1">
      <c r="A628" s="31" t="s">
        <v>2538</v>
      </c>
      <c r="B628" s="18" t="s">
        <v>2642</v>
      </c>
      <c r="C628" s="30" t="s">
        <v>2646</v>
      </c>
      <c r="D628" s="30" t="s">
        <v>2654</v>
      </c>
      <c r="E628" s="18" t="s">
        <v>2661</v>
      </c>
      <c r="F628" s="16">
        <v>12</v>
      </c>
      <c r="G628" s="16">
        <v>3932.48</v>
      </c>
      <c r="H628" s="16">
        <v>47189.760000000002</v>
      </c>
    </row>
    <row r="629" spans="1:8" ht="15" thickBot="1">
      <c r="A629" s="31" t="s">
        <v>2564</v>
      </c>
      <c r="B629" s="18" t="s">
        <v>2643</v>
      </c>
      <c r="C629" s="30" t="s">
        <v>2647</v>
      </c>
      <c r="D629" s="30" t="s">
        <v>2659</v>
      </c>
      <c r="E629" s="18" t="s">
        <v>2661</v>
      </c>
      <c r="F629" s="16">
        <v>20</v>
      </c>
      <c r="G629" s="16">
        <v>2344.7600000000002</v>
      </c>
      <c r="H629" s="16">
        <v>46895.199999999997</v>
      </c>
    </row>
    <row r="630" spans="1:8" ht="15" thickBot="1">
      <c r="A630" s="31" t="s">
        <v>2474</v>
      </c>
      <c r="B630" s="18" t="s">
        <v>2641</v>
      </c>
      <c r="C630" s="30" t="s">
        <v>2644</v>
      </c>
      <c r="D630" s="30" t="s">
        <v>2393</v>
      </c>
      <c r="E630" s="18" t="s">
        <v>2661</v>
      </c>
      <c r="F630" s="16">
        <v>12</v>
      </c>
      <c r="G630" s="16">
        <v>3895.88</v>
      </c>
      <c r="H630" s="16">
        <v>46750.559999999998</v>
      </c>
    </row>
    <row r="631" spans="1:8" ht="15" thickBot="1">
      <c r="A631" s="64">
        <v>45141</v>
      </c>
      <c r="B631" s="18" t="s">
        <v>2642</v>
      </c>
      <c r="C631" s="30" t="s">
        <v>2646</v>
      </c>
      <c r="D631" s="30" t="s">
        <v>2650</v>
      </c>
      <c r="E631" s="18" t="s">
        <v>2661</v>
      </c>
      <c r="F631" s="16">
        <v>17</v>
      </c>
      <c r="G631" s="16">
        <v>2603.4899999999998</v>
      </c>
      <c r="H631" s="16">
        <v>44259.33</v>
      </c>
    </row>
    <row r="632" spans="1:8" ht="15" thickBot="1">
      <c r="A632" s="31" t="s">
        <v>2603</v>
      </c>
      <c r="B632" s="18" t="s">
        <v>2642</v>
      </c>
      <c r="C632" s="30" t="s">
        <v>2646</v>
      </c>
      <c r="D632" s="30" t="s">
        <v>2650</v>
      </c>
      <c r="E632" s="18" t="s">
        <v>2661</v>
      </c>
      <c r="F632" s="16">
        <v>10</v>
      </c>
      <c r="G632" s="16">
        <v>4413.5</v>
      </c>
      <c r="H632" s="16">
        <v>44135</v>
      </c>
    </row>
    <row r="633" spans="1:8" ht="15" thickBot="1">
      <c r="A633" s="64">
        <v>45235</v>
      </c>
      <c r="B633" s="18" t="s">
        <v>2642</v>
      </c>
      <c r="C633" s="30" t="s">
        <v>2646</v>
      </c>
      <c r="D633" s="30" t="s">
        <v>2650</v>
      </c>
      <c r="E633" s="18" t="s">
        <v>2661</v>
      </c>
      <c r="F633" s="16">
        <v>15</v>
      </c>
      <c r="G633" s="16">
        <v>2905.47</v>
      </c>
      <c r="H633" s="16">
        <v>43582.05</v>
      </c>
    </row>
    <row r="634" spans="1:8" ht="15" thickBot="1">
      <c r="A634" s="64">
        <v>44968</v>
      </c>
      <c r="B634" s="18" t="s">
        <v>2641</v>
      </c>
      <c r="C634" s="30" t="s">
        <v>2644</v>
      </c>
      <c r="D634" s="30" t="s">
        <v>2653</v>
      </c>
      <c r="E634" s="18" t="s">
        <v>2661</v>
      </c>
      <c r="F634" s="16">
        <v>15</v>
      </c>
      <c r="G634" s="16">
        <v>2869.14</v>
      </c>
      <c r="H634" s="16">
        <v>43037.1</v>
      </c>
    </row>
    <row r="635" spans="1:8" ht="15" thickBot="1">
      <c r="A635" s="31" t="s">
        <v>2481</v>
      </c>
      <c r="B635" s="18" t="s">
        <v>2642</v>
      </c>
      <c r="C635" s="30" t="s">
        <v>2645</v>
      </c>
      <c r="D635" s="30" t="s">
        <v>2655</v>
      </c>
      <c r="E635" s="18" t="s">
        <v>2661</v>
      </c>
      <c r="F635" s="16">
        <v>10</v>
      </c>
      <c r="G635" s="16">
        <v>4196.24</v>
      </c>
      <c r="H635" s="16">
        <v>41962.400000000001</v>
      </c>
    </row>
    <row r="636" spans="1:8" ht="15" thickBot="1">
      <c r="A636" s="64">
        <v>45240</v>
      </c>
      <c r="B636" s="18" t="s">
        <v>2642</v>
      </c>
      <c r="C636" s="30" t="s">
        <v>2645</v>
      </c>
      <c r="D636" s="30" t="s">
        <v>2655</v>
      </c>
      <c r="E636" s="18" t="s">
        <v>2661</v>
      </c>
      <c r="F636" s="16">
        <v>16</v>
      </c>
      <c r="G636" s="16">
        <v>2619.73</v>
      </c>
      <c r="H636" s="16">
        <v>41915.68</v>
      </c>
    </row>
    <row r="637" spans="1:8" ht="15" thickBot="1">
      <c r="A637" s="31" t="s">
        <v>2475</v>
      </c>
      <c r="B637" s="18" t="s">
        <v>2642</v>
      </c>
      <c r="C637" s="30" t="s">
        <v>2646</v>
      </c>
      <c r="D637" s="30" t="s">
        <v>2650</v>
      </c>
      <c r="E637" s="18" t="s">
        <v>2661</v>
      </c>
      <c r="F637" s="16">
        <v>9</v>
      </c>
      <c r="G637" s="16">
        <v>4638.57</v>
      </c>
      <c r="H637" s="16">
        <v>41747.129999999997</v>
      </c>
    </row>
    <row r="638" spans="1:8" ht="15" thickBot="1">
      <c r="A638" s="31" t="s">
        <v>2541</v>
      </c>
      <c r="B638" s="18" t="s">
        <v>2643</v>
      </c>
      <c r="C638" s="30" t="s">
        <v>2647</v>
      </c>
      <c r="D638" s="30" t="s">
        <v>2652</v>
      </c>
      <c r="E638" s="18" t="s">
        <v>2661</v>
      </c>
      <c r="F638" s="16">
        <v>10</v>
      </c>
      <c r="G638" s="16">
        <v>4092.05</v>
      </c>
      <c r="H638" s="16">
        <v>40920.5</v>
      </c>
    </row>
    <row r="639" spans="1:8" ht="15" thickBot="1">
      <c r="A639" s="31" t="s">
        <v>2580</v>
      </c>
      <c r="B639" s="18" t="s">
        <v>2642</v>
      </c>
      <c r="C639" s="30" t="s">
        <v>2645</v>
      </c>
      <c r="D639" s="30" t="s">
        <v>2649</v>
      </c>
      <c r="E639" s="18" t="s">
        <v>2661</v>
      </c>
      <c r="F639" s="16">
        <v>9</v>
      </c>
      <c r="G639" s="16">
        <v>4485.21</v>
      </c>
      <c r="H639" s="16">
        <v>40366.89</v>
      </c>
    </row>
    <row r="640" spans="1:8" ht="15" thickBot="1">
      <c r="A640" s="31" t="s">
        <v>2623</v>
      </c>
      <c r="B640" s="18" t="s">
        <v>2642</v>
      </c>
      <c r="C640" s="30" t="s">
        <v>2645</v>
      </c>
      <c r="D640" s="30" t="s">
        <v>2658</v>
      </c>
      <c r="E640" s="18" t="s">
        <v>2661</v>
      </c>
      <c r="F640" s="16">
        <v>11</v>
      </c>
      <c r="G640" s="16">
        <v>3590.89</v>
      </c>
      <c r="H640" s="16">
        <v>39499.79</v>
      </c>
    </row>
    <row r="641" spans="1:8" ht="15" thickBot="1">
      <c r="A641" s="64">
        <v>45053</v>
      </c>
      <c r="B641" s="18" t="s">
        <v>2642</v>
      </c>
      <c r="C641" s="30" t="s">
        <v>2646</v>
      </c>
      <c r="D641" s="30" t="s">
        <v>2654</v>
      </c>
      <c r="E641" s="18" t="s">
        <v>2661</v>
      </c>
      <c r="F641" s="16">
        <v>14</v>
      </c>
      <c r="G641" s="16">
        <v>2808.58</v>
      </c>
      <c r="H641" s="16">
        <v>39320.120000000003</v>
      </c>
    </row>
    <row r="642" spans="1:8" ht="15" thickBot="1">
      <c r="A642" s="64">
        <v>45141</v>
      </c>
      <c r="B642" s="18" t="s">
        <v>2642</v>
      </c>
      <c r="C642" s="30" t="s">
        <v>2646</v>
      </c>
      <c r="D642" s="30" t="s">
        <v>2654</v>
      </c>
      <c r="E642" s="18" t="s">
        <v>2661</v>
      </c>
      <c r="F642" s="16">
        <v>11</v>
      </c>
      <c r="G642" s="16">
        <v>3561.4</v>
      </c>
      <c r="H642" s="16">
        <v>39175.4</v>
      </c>
    </row>
    <row r="643" spans="1:8" ht="15" thickBot="1">
      <c r="A643" s="64">
        <v>44932</v>
      </c>
      <c r="B643" s="18" t="s">
        <v>2641</v>
      </c>
      <c r="C643" s="30" t="s">
        <v>2648</v>
      </c>
      <c r="D643" s="30" t="s">
        <v>2396</v>
      </c>
      <c r="E643" s="18" t="s">
        <v>2661</v>
      </c>
      <c r="F643" s="16">
        <v>15</v>
      </c>
      <c r="G643" s="16">
        <v>2586.8000000000002</v>
      </c>
      <c r="H643" s="16">
        <v>38802</v>
      </c>
    </row>
    <row r="644" spans="1:8" ht="15" thickBot="1">
      <c r="A644" s="64">
        <v>45110</v>
      </c>
      <c r="B644" s="18" t="s">
        <v>2641</v>
      </c>
      <c r="C644" s="30" t="s">
        <v>2648</v>
      </c>
      <c r="D644" s="30" t="s">
        <v>2656</v>
      </c>
      <c r="E644" s="18" t="s">
        <v>2661</v>
      </c>
      <c r="F644" s="16">
        <v>20</v>
      </c>
      <c r="G644" s="16">
        <v>1916.52</v>
      </c>
      <c r="H644" s="16">
        <v>38330.400000000001</v>
      </c>
    </row>
    <row r="645" spans="1:8" ht="15" thickBot="1">
      <c r="A645" s="31" t="s">
        <v>2613</v>
      </c>
      <c r="B645" s="18" t="s">
        <v>2642</v>
      </c>
      <c r="C645" s="30" t="s">
        <v>2646</v>
      </c>
      <c r="D645" s="30" t="s">
        <v>2651</v>
      </c>
      <c r="E645" s="18" t="s">
        <v>2661</v>
      </c>
      <c r="F645" s="16">
        <v>8</v>
      </c>
      <c r="G645" s="16">
        <v>4651.3</v>
      </c>
      <c r="H645" s="16">
        <v>37210.400000000001</v>
      </c>
    </row>
    <row r="646" spans="1:8" ht="15" thickBot="1">
      <c r="A646" s="64">
        <v>45114</v>
      </c>
      <c r="B646" s="18" t="s">
        <v>2642</v>
      </c>
      <c r="C646" s="30" t="s">
        <v>2645</v>
      </c>
      <c r="D646" s="30" t="s">
        <v>2658</v>
      </c>
      <c r="E646" s="18" t="s">
        <v>2661</v>
      </c>
      <c r="F646" s="16">
        <v>15</v>
      </c>
      <c r="G646" s="16">
        <v>2477.09</v>
      </c>
      <c r="H646" s="16">
        <v>37156.35</v>
      </c>
    </row>
    <row r="647" spans="1:8" ht="15" thickBot="1">
      <c r="A647" s="31" t="s">
        <v>2621</v>
      </c>
      <c r="B647" s="18" t="s">
        <v>2642</v>
      </c>
      <c r="C647" s="30" t="s">
        <v>2645</v>
      </c>
      <c r="D647" s="30" t="s">
        <v>2658</v>
      </c>
      <c r="E647" s="18" t="s">
        <v>2661</v>
      </c>
      <c r="F647" s="16">
        <v>16</v>
      </c>
      <c r="G647" s="16">
        <v>2231.67</v>
      </c>
      <c r="H647" s="16">
        <v>35706.720000000001</v>
      </c>
    </row>
    <row r="648" spans="1:8" ht="15" thickBot="1">
      <c r="A648" s="64">
        <v>45056</v>
      </c>
      <c r="B648" s="18" t="s">
        <v>2642</v>
      </c>
      <c r="C648" s="30" t="s">
        <v>2645</v>
      </c>
      <c r="D648" s="30" t="s">
        <v>2658</v>
      </c>
      <c r="E648" s="18" t="s">
        <v>2661</v>
      </c>
      <c r="F648" s="16">
        <v>10</v>
      </c>
      <c r="G648" s="16">
        <v>3540.6</v>
      </c>
      <c r="H648" s="16">
        <v>35406</v>
      </c>
    </row>
    <row r="649" spans="1:8" ht="15" thickBot="1">
      <c r="A649" s="64">
        <v>45028</v>
      </c>
      <c r="B649" s="18" t="s">
        <v>2642</v>
      </c>
      <c r="C649" s="30" t="s">
        <v>2645</v>
      </c>
      <c r="D649" s="30" t="s">
        <v>2655</v>
      </c>
      <c r="E649" s="18" t="s">
        <v>2661</v>
      </c>
      <c r="F649" s="16">
        <v>15</v>
      </c>
      <c r="G649" s="16">
        <v>2346.4</v>
      </c>
      <c r="H649" s="16">
        <v>35196</v>
      </c>
    </row>
    <row r="650" spans="1:8" ht="15" thickBot="1">
      <c r="A650" s="64">
        <v>45021</v>
      </c>
      <c r="B650" s="18" t="s">
        <v>2641</v>
      </c>
      <c r="C650" s="30" t="s">
        <v>2644</v>
      </c>
      <c r="D650" s="30" t="s">
        <v>2653</v>
      </c>
      <c r="E650" s="18" t="s">
        <v>2661</v>
      </c>
      <c r="F650" s="16">
        <v>17</v>
      </c>
      <c r="G650" s="16">
        <v>2031.75</v>
      </c>
      <c r="H650" s="16">
        <v>34539.75</v>
      </c>
    </row>
    <row r="651" spans="1:8" ht="15" thickBot="1">
      <c r="A651" s="64">
        <v>45200</v>
      </c>
      <c r="B651" s="18" t="s">
        <v>2641</v>
      </c>
      <c r="C651" s="30" t="s">
        <v>2644</v>
      </c>
      <c r="D651" s="30" t="s">
        <v>2393</v>
      </c>
      <c r="E651" s="18" t="s">
        <v>2661</v>
      </c>
      <c r="F651" s="16">
        <v>8</v>
      </c>
      <c r="G651" s="16">
        <v>4146.82</v>
      </c>
      <c r="H651" s="16">
        <v>33174.559999999998</v>
      </c>
    </row>
    <row r="652" spans="1:8" ht="15" thickBot="1">
      <c r="A652" s="64">
        <v>45024</v>
      </c>
      <c r="B652" s="18" t="s">
        <v>2643</v>
      </c>
      <c r="C652" s="30" t="s">
        <v>2647</v>
      </c>
      <c r="D652" s="30" t="s">
        <v>2659</v>
      </c>
      <c r="E652" s="18" t="s">
        <v>2661</v>
      </c>
      <c r="F652" s="16">
        <v>11</v>
      </c>
      <c r="G652" s="16">
        <v>3011.73</v>
      </c>
      <c r="H652" s="16">
        <v>33129.03</v>
      </c>
    </row>
    <row r="653" spans="1:8" ht="15" thickBot="1">
      <c r="A653" s="64">
        <v>45203</v>
      </c>
      <c r="B653" s="18" t="s">
        <v>2643</v>
      </c>
      <c r="C653" s="30" t="s">
        <v>2647</v>
      </c>
      <c r="D653" s="30" t="s">
        <v>2660</v>
      </c>
      <c r="E653" s="18" t="s">
        <v>2661</v>
      </c>
      <c r="F653" s="16">
        <v>7</v>
      </c>
      <c r="G653" s="16">
        <v>4541.83</v>
      </c>
      <c r="H653" s="16">
        <v>31792.81</v>
      </c>
    </row>
    <row r="654" spans="1:8" ht="15" thickBot="1">
      <c r="A654" s="64">
        <v>45237</v>
      </c>
      <c r="B654" s="18" t="s">
        <v>2642</v>
      </c>
      <c r="C654" s="30" t="s">
        <v>2646</v>
      </c>
      <c r="D654" s="30" t="s">
        <v>2654</v>
      </c>
      <c r="E654" s="18" t="s">
        <v>2661</v>
      </c>
      <c r="F654" s="16">
        <v>10</v>
      </c>
      <c r="G654" s="16">
        <v>3122.59</v>
      </c>
      <c r="H654" s="16">
        <v>31225.9</v>
      </c>
    </row>
    <row r="655" spans="1:8" ht="15" thickBot="1">
      <c r="A655" s="31" t="s">
        <v>2486</v>
      </c>
      <c r="B655" s="18" t="s">
        <v>2643</v>
      </c>
      <c r="C655" s="30" t="s">
        <v>2647</v>
      </c>
      <c r="D655" s="30" t="s">
        <v>2652</v>
      </c>
      <c r="E655" s="18" t="s">
        <v>2661</v>
      </c>
      <c r="F655" s="16">
        <v>9</v>
      </c>
      <c r="G655" s="16">
        <v>3458</v>
      </c>
      <c r="H655" s="16">
        <v>31122</v>
      </c>
    </row>
    <row r="656" spans="1:8" ht="15" thickBot="1">
      <c r="A656" s="64">
        <v>45084</v>
      </c>
      <c r="B656" s="18" t="s">
        <v>2642</v>
      </c>
      <c r="C656" s="30" t="s">
        <v>2646</v>
      </c>
      <c r="D656" s="30" t="s">
        <v>2654</v>
      </c>
      <c r="E656" s="18" t="s">
        <v>2661</v>
      </c>
      <c r="F656" s="16">
        <v>9</v>
      </c>
      <c r="G656" s="16">
        <v>3395.02</v>
      </c>
      <c r="H656" s="16">
        <v>30555.18</v>
      </c>
    </row>
    <row r="657" spans="1:8" ht="15" thickBot="1">
      <c r="A657" s="31" t="s">
        <v>2464</v>
      </c>
      <c r="B657" s="18" t="s">
        <v>2641</v>
      </c>
      <c r="C657" s="30" t="s">
        <v>2648</v>
      </c>
      <c r="D657" s="30" t="s">
        <v>2657</v>
      </c>
      <c r="E657" s="18" t="s">
        <v>2661</v>
      </c>
      <c r="F657" s="16">
        <v>16</v>
      </c>
      <c r="G657" s="16">
        <v>1907.95</v>
      </c>
      <c r="H657" s="16">
        <v>30527.200000000001</v>
      </c>
    </row>
    <row r="658" spans="1:8" ht="15" thickBot="1">
      <c r="A658" s="31" t="s">
        <v>2506</v>
      </c>
      <c r="B658" s="18" t="s">
        <v>2642</v>
      </c>
      <c r="C658" s="30" t="s">
        <v>2646</v>
      </c>
      <c r="D658" s="30" t="s">
        <v>2651</v>
      </c>
      <c r="E658" s="18" t="s">
        <v>2661</v>
      </c>
      <c r="F658" s="16">
        <v>13</v>
      </c>
      <c r="G658" s="16">
        <v>2347.66</v>
      </c>
      <c r="H658" s="16">
        <v>30519.58</v>
      </c>
    </row>
    <row r="659" spans="1:8" ht="15" thickBot="1">
      <c r="A659" s="64">
        <v>45142</v>
      </c>
      <c r="B659" s="18" t="s">
        <v>2643</v>
      </c>
      <c r="C659" s="30" t="s">
        <v>2647</v>
      </c>
      <c r="D659" s="30" t="s">
        <v>2660</v>
      </c>
      <c r="E659" s="18" t="s">
        <v>2661</v>
      </c>
      <c r="F659" s="16">
        <v>6</v>
      </c>
      <c r="G659" s="16">
        <v>4939.09</v>
      </c>
      <c r="H659" s="16">
        <v>29634.54</v>
      </c>
    </row>
    <row r="660" spans="1:8" ht="15" thickBot="1">
      <c r="A660" s="31" t="s">
        <v>2536</v>
      </c>
      <c r="B660" s="18" t="s">
        <v>2642</v>
      </c>
      <c r="C660" s="30" t="s">
        <v>2645</v>
      </c>
      <c r="D660" s="30" t="s">
        <v>2649</v>
      </c>
      <c r="E660" s="18" t="s">
        <v>2661</v>
      </c>
      <c r="F660" s="16">
        <v>15</v>
      </c>
      <c r="G660" s="16">
        <v>1972.75</v>
      </c>
      <c r="H660" s="16">
        <v>29591.25</v>
      </c>
    </row>
    <row r="661" spans="1:8" ht="15" thickBot="1">
      <c r="A661" s="64">
        <v>45265</v>
      </c>
      <c r="B661" s="18" t="s">
        <v>2641</v>
      </c>
      <c r="C661" s="30" t="s">
        <v>2648</v>
      </c>
      <c r="D661" s="30" t="s">
        <v>2657</v>
      </c>
      <c r="E661" s="18" t="s">
        <v>2661</v>
      </c>
      <c r="F661" s="16">
        <v>12</v>
      </c>
      <c r="G661" s="16">
        <v>2438.6799999999998</v>
      </c>
      <c r="H661" s="16">
        <v>29264.16</v>
      </c>
    </row>
    <row r="662" spans="1:8" ht="15" thickBot="1">
      <c r="A662" s="31" t="s">
        <v>2531</v>
      </c>
      <c r="B662" s="18" t="s">
        <v>2641</v>
      </c>
      <c r="C662" s="30" t="s">
        <v>2648</v>
      </c>
      <c r="D662" s="30" t="s">
        <v>2657</v>
      </c>
      <c r="E662" s="18" t="s">
        <v>2661</v>
      </c>
      <c r="F662" s="16">
        <v>9</v>
      </c>
      <c r="G662" s="16">
        <v>3209.83</v>
      </c>
      <c r="H662" s="16">
        <v>28888.47</v>
      </c>
    </row>
    <row r="663" spans="1:8" ht="15" thickBot="1">
      <c r="A663" s="31" t="s">
        <v>2606</v>
      </c>
      <c r="B663" s="18" t="s">
        <v>2642</v>
      </c>
      <c r="C663" s="30" t="s">
        <v>2645</v>
      </c>
      <c r="D663" s="30" t="s">
        <v>2649</v>
      </c>
      <c r="E663" s="18" t="s">
        <v>2661</v>
      </c>
      <c r="F663" s="16">
        <v>8</v>
      </c>
      <c r="G663" s="16">
        <v>3547.38</v>
      </c>
      <c r="H663" s="16">
        <v>28379.040000000001</v>
      </c>
    </row>
    <row r="664" spans="1:8" ht="15" thickBot="1">
      <c r="A664" s="31" t="s">
        <v>2582</v>
      </c>
      <c r="B664" s="18" t="s">
        <v>2643</v>
      </c>
      <c r="C664" s="30" t="s">
        <v>2647</v>
      </c>
      <c r="D664" s="30" t="s">
        <v>2659</v>
      </c>
      <c r="E664" s="18" t="s">
        <v>2661</v>
      </c>
      <c r="F664" s="16">
        <v>9</v>
      </c>
      <c r="G664" s="16">
        <v>3137.87</v>
      </c>
      <c r="H664" s="16">
        <v>28240.83</v>
      </c>
    </row>
    <row r="665" spans="1:8" ht="15" thickBot="1">
      <c r="A665" s="31" t="s">
        <v>2556</v>
      </c>
      <c r="B665" s="18" t="s">
        <v>2641</v>
      </c>
      <c r="C665" s="30" t="s">
        <v>2644</v>
      </c>
      <c r="D665" s="30" t="s">
        <v>2653</v>
      </c>
      <c r="E665" s="18" t="s">
        <v>2661</v>
      </c>
      <c r="F665" s="16">
        <v>8</v>
      </c>
      <c r="G665" s="16">
        <v>3372.86</v>
      </c>
      <c r="H665" s="16">
        <v>26982.880000000001</v>
      </c>
    </row>
    <row r="666" spans="1:8" ht="15" thickBot="1">
      <c r="A666" s="31" t="s">
        <v>2523</v>
      </c>
      <c r="B666" s="18" t="s">
        <v>2641</v>
      </c>
      <c r="C666" s="30" t="s">
        <v>2644</v>
      </c>
      <c r="D666" s="30" t="s">
        <v>2392</v>
      </c>
      <c r="E666" s="18" t="s">
        <v>2661</v>
      </c>
      <c r="F666" s="16">
        <v>10</v>
      </c>
      <c r="G666" s="16">
        <v>2691.21</v>
      </c>
      <c r="H666" s="16">
        <v>26912.1</v>
      </c>
    </row>
    <row r="667" spans="1:8" ht="15" thickBot="1">
      <c r="A667" s="31" t="s">
        <v>2548</v>
      </c>
      <c r="B667" s="18" t="s">
        <v>2643</v>
      </c>
      <c r="C667" s="30" t="s">
        <v>2647</v>
      </c>
      <c r="D667" s="30" t="s">
        <v>2659</v>
      </c>
      <c r="E667" s="18" t="s">
        <v>2661</v>
      </c>
      <c r="F667" s="16">
        <v>6</v>
      </c>
      <c r="G667" s="16">
        <v>4364.67</v>
      </c>
      <c r="H667" s="16">
        <v>26188.02</v>
      </c>
    </row>
    <row r="668" spans="1:8" ht="15" thickBot="1">
      <c r="A668" s="31" t="s">
        <v>2560</v>
      </c>
      <c r="B668" s="18" t="s">
        <v>2642</v>
      </c>
      <c r="C668" s="30" t="s">
        <v>2645</v>
      </c>
      <c r="D668" s="30" t="s">
        <v>2649</v>
      </c>
      <c r="E668" s="18" t="s">
        <v>2661</v>
      </c>
      <c r="F668" s="16">
        <v>13</v>
      </c>
      <c r="G668" s="16">
        <v>1976.63</v>
      </c>
      <c r="H668" s="16">
        <v>25696.19</v>
      </c>
    </row>
    <row r="669" spans="1:8" ht="15" thickBot="1">
      <c r="A669" s="64">
        <v>45241</v>
      </c>
      <c r="B669" s="18" t="s">
        <v>2642</v>
      </c>
      <c r="C669" s="30" t="s">
        <v>2645</v>
      </c>
      <c r="D669" s="30" t="s">
        <v>2658</v>
      </c>
      <c r="E669" s="18" t="s">
        <v>2661</v>
      </c>
      <c r="F669" s="16">
        <v>10</v>
      </c>
      <c r="G669" s="16">
        <v>2539.6799999999998</v>
      </c>
      <c r="H669" s="16">
        <v>25396.799999999999</v>
      </c>
    </row>
    <row r="670" spans="1:8" ht="15" thickBot="1">
      <c r="A670" s="31" t="s">
        <v>2467</v>
      </c>
      <c r="B670" s="18" t="s">
        <v>2643</v>
      </c>
      <c r="C670" s="30" t="s">
        <v>2647</v>
      </c>
      <c r="D670" s="30" t="s">
        <v>2652</v>
      </c>
      <c r="E670" s="18" t="s">
        <v>2661</v>
      </c>
      <c r="F670" s="16">
        <v>6</v>
      </c>
      <c r="G670" s="16">
        <v>4219.6099999999997</v>
      </c>
      <c r="H670" s="16">
        <v>25317.66</v>
      </c>
    </row>
    <row r="671" spans="1:8" ht="15" thickBot="1">
      <c r="A671" s="31" t="s">
        <v>2463</v>
      </c>
      <c r="B671" s="18" t="s">
        <v>2641</v>
      </c>
      <c r="C671" s="30" t="s">
        <v>2644</v>
      </c>
      <c r="D671" s="30" t="s">
        <v>2393</v>
      </c>
      <c r="E671" s="18" t="s">
        <v>2661</v>
      </c>
      <c r="F671" s="16">
        <v>16</v>
      </c>
      <c r="G671" s="16">
        <v>1575.89</v>
      </c>
      <c r="H671" s="16">
        <v>25214.240000000002</v>
      </c>
    </row>
    <row r="672" spans="1:8" ht="15" thickBot="1">
      <c r="A672" s="64">
        <v>45234</v>
      </c>
      <c r="B672" s="18" t="s">
        <v>2641</v>
      </c>
      <c r="C672" s="30" t="s">
        <v>2648</v>
      </c>
      <c r="D672" s="30" t="s">
        <v>2657</v>
      </c>
      <c r="E672" s="18" t="s">
        <v>2661</v>
      </c>
      <c r="F672" s="16">
        <v>6</v>
      </c>
      <c r="G672" s="16">
        <v>4042.16</v>
      </c>
      <c r="H672" s="16">
        <v>24252.959999999999</v>
      </c>
    </row>
    <row r="673" spans="1:8" ht="15" thickBot="1">
      <c r="A673" s="31" t="s">
        <v>2526</v>
      </c>
      <c r="B673" s="18" t="s">
        <v>2641</v>
      </c>
      <c r="C673" s="30" t="s">
        <v>2648</v>
      </c>
      <c r="D673" s="30" t="s">
        <v>2656</v>
      </c>
      <c r="E673" s="18" t="s">
        <v>2661</v>
      </c>
      <c r="F673" s="16">
        <v>16</v>
      </c>
      <c r="G673" s="16">
        <v>1514.31</v>
      </c>
      <c r="H673" s="16">
        <v>24228.959999999999</v>
      </c>
    </row>
    <row r="674" spans="1:8" ht="15" thickBot="1">
      <c r="A674" s="64">
        <v>45239</v>
      </c>
      <c r="B674" s="18" t="s">
        <v>2641</v>
      </c>
      <c r="C674" s="30" t="s">
        <v>2644</v>
      </c>
      <c r="D674" s="30" t="s">
        <v>2393</v>
      </c>
      <c r="E674" s="18" t="s">
        <v>2661</v>
      </c>
      <c r="F674" s="16">
        <v>9</v>
      </c>
      <c r="G674" s="16">
        <v>2660.79</v>
      </c>
      <c r="H674" s="16">
        <v>23947.11</v>
      </c>
    </row>
    <row r="675" spans="1:8" ht="15" thickBot="1">
      <c r="A675" s="64">
        <v>45141</v>
      </c>
      <c r="B675" s="18" t="s">
        <v>2641</v>
      </c>
      <c r="C675" s="30" t="s">
        <v>2644</v>
      </c>
      <c r="D675" s="30" t="s">
        <v>2653</v>
      </c>
      <c r="E675" s="18" t="s">
        <v>2661</v>
      </c>
      <c r="F675" s="16">
        <v>14</v>
      </c>
      <c r="G675" s="16">
        <v>1694.59</v>
      </c>
      <c r="H675" s="16">
        <v>23724.26</v>
      </c>
    </row>
    <row r="676" spans="1:8" ht="15" thickBot="1">
      <c r="A676" s="64">
        <v>44960</v>
      </c>
      <c r="B676" s="18" t="s">
        <v>2641</v>
      </c>
      <c r="C676" s="30" t="s">
        <v>2644</v>
      </c>
      <c r="D676" s="30" t="s">
        <v>2653</v>
      </c>
      <c r="E676" s="18" t="s">
        <v>2661</v>
      </c>
      <c r="F676" s="16">
        <v>18</v>
      </c>
      <c r="G676" s="16">
        <v>1306.19</v>
      </c>
      <c r="H676" s="16">
        <v>23511.42</v>
      </c>
    </row>
    <row r="677" spans="1:8" ht="15" thickBot="1">
      <c r="A677" s="31" t="s">
        <v>2473</v>
      </c>
      <c r="B677" s="18" t="s">
        <v>2642</v>
      </c>
      <c r="C677" s="30" t="s">
        <v>2646</v>
      </c>
      <c r="D677" s="30" t="s">
        <v>2651</v>
      </c>
      <c r="E677" s="18" t="s">
        <v>2661</v>
      </c>
      <c r="F677" s="16">
        <v>12</v>
      </c>
      <c r="G677" s="16">
        <v>1947.14</v>
      </c>
      <c r="H677" s="16">
        <v>23365.68</v>
      </c>
    </row>
    <row r="678" spans="1:8" ht="15" thickBot="1">
      <c r="A678" s="31" t="s">
        <v>2633</v>
      </c>
      <c r="B678" s="18" t="s">
        <v>2641</v>
      </c>
      <c r="C678" s="30" t="s">
        <v>2648</v>
      </c>
      <c r="D678" s="30" t="s">
        <v>2657</v>
      </c>
      <c r="E678" s="18" t="s">
        <v>2661</v>
      </c>
      <c r="F678" s="16">
        <v>17</v>
      </c>
      <c r="G678" s="16">
        <v>1340.98</v>
      </c>
      <c r="H678" s="16">
        <v>22796.66</v>
      </c>
    </row>
    <row r="679" spans="1:8" ht="15" thickBot="1">
      <c r="A679" s="64">
        <v>44960</v>
      </c>
      <c r="B679" s="18" t="s">
        <v>2641</v>
      </c>
      <c r="C679" s="30" t="s">
        <v>2648</v>
      </c>
      <c r="D679" s="30" t="s">
        <v>2656</v>
      </c>
      <c r="E679" s="18" t="s">
        <v>2661</v>
      </c>
      <c r="F679" s="16">
        <v>19</v>
      </c>
      <c r="G679" s="16">
        <v>1199.24</v>
      </c>
      <c r="H679" s="16">
        <v>22785.56</v>
      </c>
    </row>
    <row r="680" spans="1:8" ht="15" thickBot="1">
      <c r="A680" s="31" t="s">
        <v>2486</v>
      </c>
      <c r="B680" s="18" t="s">
        <v>2642</v>
      </c>
      <c r="C680" s="30" t="s">
        <v>2646</v>
      </c>
      <c r="D680" s="30" t="s">
        <v>2650</v>
      </c>
      <c r="E680" s="18" t="s">
        <v>2661</v>
      </c>
      <c r="F680" s="16">
        <v>5</v>
      </c>
      <c r="G680" s="16">
        <v>4499.88</v>
      </c>
      <c r="H680" s="16">
        <v>22499.4</v>
      </c>
    </row>
    <row r="681" spans="1:8" ht="15" thickBot="1">
      <c r="A681" s="31" t="s">
        <v>2538</v>
      </c>
      <c r="B681" s="18" t="s">
        <v>2641</v>
      </c>
      <c r="C681" s="30" t="s">
        <v>2644</v>
      </c>
      <c r="D681" s="30" t="s">
        <v>2392</v>
      </c>
      <c r="E681" s="18" t="s">
        <v>2661</v>
      </c>
      <c r="F681" s="16">
        <v>20</v>
      </c>
      <c r="G681" s="16">
        <v>1100.3800000000001</v>
      </c>
      <c r="H681" s="16">
        <v>22007.599999999999</v>
      </c>
    </row>
    <row r="682" spans="1:8" ht="15" thickBot="1">
      <c r="A682" s="31" t="s">
        <v>2557</v>
      </c>
      <c r="B682" s="18" t="s">
        <v>2642</v>
      </c>
      <c r="C682" s="30" t="s">
        <v>2645</v>
      </c>
      <c r="D682" s="30" t="s">
        <v>2655</v>
      </c>
      <c r="E682" s="18" t="s">
        <v>2661</v>
      </c>
      <c r="F682" s="16">
        <v>12</v>
      </c>
      <c r="G682" s="16">
        <v>1748.6</v>
      </c>
      <c r="H682" s="16">
        <v>20983.200000000001</v>
      </c>
    </row>
    <row r="683" spans="1:8" ht="15" thickBot="1">
      <c r="A683" s="64">
        <v>44989</v>
      </c>
      <c r="B683" s="18" t="s">
        <v>2642</v>
      </c>
      <c r="C683" s="30" t="s">
        <v>2645</v>
      </c>
      <c r="D683" s="30" t="s">
        <v>2655</v>
      </c>
      <c r="E683" s="18" t="s">
        <v>2661</v>
      </c>
      <c r="F683" s="16">
        <v>6</v>
      </c>
      <c r="G683" s="16">
        <v>3466.7</v>
      </c>
      <c r="H683" s="16">
        <v>20800.2</v>
      </c>
    </row>
    <row r="684" spans="1:8" ht="15" thickBot="1">
      <c r="A684" s="64">
        <v>45050</v>
      </c>
      <c r="B684" s="18" t="s">
        <v>2642</v>
      </c>
      <c r="C684" s="30" t="s">
        <v>2645</v>
      </c>
      <c r="D684" s="30" t="s">
        <v>2655</v>
      </c>
      <c r="E684" s="18" t="s">
        <v>2661</v>
      </c>
      <c r="F684" s="16">
        <v>6</v>
      </c>
      <c r="G684" s="16">
        <v>3457.43</v>
      </c>
      <c r="H684" s="16">
        <v>20744.580000000002</v>
      </c>
    </row>
    <row r="685" spans="1:8" ht="15" thickBot="1">
      <c r="A685" s="31" t="s">
        <v>2539</v>
      </c>
      <c r="B685" s="18" t="s">
        <v>2641</v>
      </c>
      <c r="C685" s="30" t="s">
        <v>2648</v>
      </c>
      <c r="D685" s="30" t="s">
        <v>2396</v>
      </c>
      <c r="E685" s="18" t="s">
        <v>2661</v>
      </c>
      <c r="F685" s="16">
        <v>17</v>
      </c>
      <c r="G685" s="16">
        <v>1217.48</v>
      </c>
      <c r="H685" s="16">
        <v>20697.16</v>
      </c>
    </row>
    <row r="686" spans="1:8" ht="15" thickBot="1">
      <c r="A686" s="31" t="s">
        <v>2610</v>
      </c>
      <c r="B686" s="18" t="s">
        <v>2641</v>
      </c>
      <c r="C686" s="30" t="s">
        <v>2648</v>
      </c>
      <c r="D686" s="30" t="s">
        <v>2396</v>
      </c>
      <c r="E686" s="18" t="s">
        <v>2661</v>
      </c>
      <c r="F686" s="16">
        <v>19</v>
      </c>
      <c r="G686" s="16">
        <v>1067.6199999999999</v>
      </c>
      <c r="H686" s="16">
        <v>20284.78</v>
      </c>
    </row>
    <row r="687" spans="1:8" ht="15" thickBot="1">
      <c r="A687" s="31" t="s">
        <v>2494</v>
      </c>
      <c r="B687" s="18" t="s">
        <v>2641</v>
      </c>
      <c r="C687" s="30" t="s">
        <v>2648</v>
      </c>
      <c r="D687" s="30" t="s">
        <v>2657</v>
      </c>
      <c r="E687" s="18" t="s">
        <v>2661</v>
      </c>
      <c r="F687" s="16">
        <v>10</v>
      </c>
      <c r="G687" s="16">
        <v>1979.32</v>
      </c>
      <c r="H687" s="16">
        <v>19793.2</v>
      </c>
    </row>
    <row r="688" spans="1:8" ht="15" thickBot="1">
      <c r="A688" s="31" t="s">
        <v>2467</v>
      </c>
      <c r="B688" s="18" t="s">
        <v>2642</v>
      </c>
      <c r="C688" s="30" t="s">
        <v>2646</v>
      </c>
      <c r="D688" s="30" t="s">
        <v>2654</v>
      </c>
      <c r="E688" s="18" t="s">
        <v>2661</v>
      </c>
      <c r="F688" s="16">
        <v>4</v>
      </c>
      <c r="G688" s="16">
        <v>4878.16</v>
      </c>
      <c r="H688" s="16">
        <v>19512.64</v>
      </c>
    </row>
    <row r="689" spans="1:8" ht="15" thickBot="1">
      <c r="A689" s="64">
        <v>44990</v>
      </c>
      <c r="B689" s="18" t="s">
        <v>2642</v>
      </c>
      <c r="C689" s="30" t="s">
        <v>2645</v>
      </c>
      <c r="D689" s="30" t="s">
        <v>2655</v>
      </c>
      <c r="E689" s="18" t="s">
        <v>2661</v>
      </c>
      <c r="F689" s="16">
        <v>5</v>
      </c>
      <c r="G689" s="16">
        <v>3898.88</v>
      </c>
      <c r="H689" s="16">
        <v>19494.400000000001</v>
      </c>
    </row>
    <row r="690" spans="1:8" ht="15" thickBot="1">
      <c r="A690" s="64">
        <v>45078</v>
      </c>
      <c r="B690" s="18" t="s">
        <v>2642</v>
      </c>
      <c r="C690" s="30" t="s">
        <v>2645</v>
      </c>
      <c r="D690" s="30" t="s">
        <v>2649</v>
      </c>
      <c r="E690" s="18" t="s">
        <v>2661</v>
      </c>
      <c r="F690" s="16">
        <v>18</v>
      </c>
      <c r="G690" s="16">
        <v>1073</v>
      </c>
      <c r="H690" s="16">
        <v>19314</v>
      </c>
    </row>
    <row r="691" spans="1:8" ht="15" thickBot="1">
      <c r="A691" s="64">
        <v>45140</v>
      </c>
      <c r="B691" s="18" t="s">
        <v>2642</v>
      </c>
      <c r="C691" s="30" t="s">
        <v>2646</v>
      </c>
      <c r="D691" s="30" t="s">
        <v>2650</v>
      </c>
      <c r="E691" s="18" t="s">
        <v>2661</v>
      </c>
      <c r="F691" s="16">
        <v>12</v>
      </c>
      <c r="G691" s="16">
        <v>1608.11</v>
      </c>
      <c r="H691" s="16">
        <v>19297.32</v>
      </c>
    </row>
    <row r="692" spans="1:8" ht="15" thickBot="1">
      <c r="A692" s="31" t="s">
        <v>2458</v>
      </c>
      <c r="B692" s="18" t="s">
        <v>2642</v>
      </c>
      <c r="C692" s="30" t="s">
        <v>2645</v>
      </c>
      <c r="D692" s="30" t="s">
        <v>2649</v>
      </c>
      <c r="E692" s="18" t="s">
        <v>2661</v>
      </c>
      <c r="F692" s="16">
        <v>15</v>
      </c>
      <c r="G692" s="16">
        <v>1259.1600000000001</v>
      </c>
      <c r="H692" s="16">
        <v>18887.400000000001</v>
      </c>
    </row>
    <row r="693" spans="1:8" ht="15" thickBot="1">
      <c r="A693" s="64">
        <v>44987</v>
      </c>
      <c r="B693" s="18" t="s">
        <v>2641</v>
      </c>
      <c r="C693" s="30" t="s">
        <v>2648</v>
      </c>
      <c r="D693" s="30" t="s">
        <v>2396</v>
      </c>
      <c r="E693" s="18" t="s">
        <v>2661</v>
      </c>
      <c r="F693" s="16">
        <v>5</v>
      </c>
      <c r="G693" s="16">
        <v>3770.46</v>
      </c>
      <c r="H693" s="16">
        <v>18852.3</v>
      </c>
    </row>
    <row r="694" spans="1:8" ht="15" thickBot="1">
      <c r="A694" s="64">
        <v>45023</v>
      </c>
      <c r="B694" s="18" t="s">
        <v>2642</v>
      </c>
      <c r="C694" s="30" t="s">
        <v>2645</v>
      </c>
      <c r="D694" s="30" t="s">
        <v>2658</v>
      </c>
      <c r="E694" s="18" t="s">
        <v>2661</v>
      </c>
      <c r="F694" s="16">
        <v>8</v>
      </c>
      <c r="G694" s="16">
        <v>2342.02</v>
      </c>
      <c r="H694" s="16">
        <v>18736.16</v>
      </c>
    </row>
    <row r="695" spans="1:8" ht="15" thickBot="1">
      <c r="A695" s="64">
        <v>44928</v>
      </c>
      <c r="B695" s="18" t="s">
        <v>2642</v>
      </c>
      <c r="C695" s="30" t="s">
        <v>2645</v>
      </c>
      <c r="D695" s="30" t="s">
        <v>2658</v>
      </c>
      <c r="E695" s="18" t="s">
        <v>2661</v>
      </c>
      <c r="F695" s="16">
        <v>6</v>
      </c>
      <c r="G695" s="16">
        <v>3116.12</v>
      </c>
      <c r="H695" s="16">
        <v>18696.72</v>
      </c>
    </row>
    <row r="696" spans="1:8" ht="15" thickBot="1">
      <c r="A696" s="31" t="s">
        <v>2539</v>
      </c>
      <c r="B696" s="18" t="s">
        <v>2642</v>
      </c>
      <c r="C696" s="30" t="s">
        <v>2645</v>
      </c>
      <c r="D696" s="30" t="s">
        <v>2649</v>
      </c>
      <c r="E696" s="18" t="s">
        <v>2661</v>
      </c>
      <c r="F696" s="16">
        <v>7</v>
      </c>
      <c r="G696" s="16">
        <v>2560.5</v>
      </c>
      <c r="H696" s="16">
        <v>17923.5</v>
      </c>
    </row>
    <row r="697" spans="1:8" ht="15" thickBot="1">
      <c r="A697" s="64">
        <v>45087</v>
      </c>
      <c r="B697" s="18" t="s">
        <v>2641</v>
      </c>
      <c r="C697" s="30" t="s">
        <v>2648</v>
      </c>
      <c r="D697" s="30" t="s">
        <v>2657</v>
      </c>
      <c r="E697" s="18" t="s">
        <v>2661</v>
      </c>
      <c r="F697" s="16">
        <v>4</v>
      </c>
      <c r="G697" s="16">
        <v>4317.2</v>
      </c>
      <c r="H697" s="16">
        <v>17268.8</v>
      </c>
    </row>
    <row r="698" spans="1:8" ht="15" thickBot="1">
      <c r="A698" s="31" t="s">
        <v>2503</v>
      </c>
      <c r="B698" s="18" t="s">
        <v>2641</v>
      </c>
      <c r="C698" s="30" t="s">
        <v>2644</v>
      </c>
      <c r="D698" s="30" t="s">
        <v>2653</v>
      </c>
      <c r="E698" s="18" t="s">
        <v>2661</v>
      </c>
      <c r="F698" s="16">
        <v>5</v>
      </c>
      <c r="G698" s="16">
        <v>3342.48</v>
      </c>
      <c r="H698" s="16">
        <v>16712.400000000001</v>
      </c>
    </row>
    <row r="699" spans="1:8" ht="15" thickBot="1">
      <c r="A699" s="31" t="s">
        <v>2490</v>
      </c>
      <c r="B699" s="18" t="s">
        <v>2641</v>
      </c>
      <c r="C699" s="30" t="s">
        <v>2648</v>
      </c>
      <c r="D699" s="30" t="s">
        <v>2396</v>
      </c>
      <c r="E699" s="18" t="s">
        <v>2661</v>
      </c>
      <c r="F699" s="16">
        <v>11</v>
      </c>
      <c r="G699" s="16">
        <v>1435.18</v>
      </c>
      <c r="H699" s="16">
        <v>15786.98</v>
      </c>
    </row>
    <row r="700" spans="1:8" ht="15" thickBot="1">
      <c r="A700" s="64">
        <v>45026</v>
      </c>
      <c r="B700" s="18" t="s">
        <v>2643</v>
      </c>
      <c r="C700" s="30" t="s">
        <v>2647</v>
      </c>
      <c r="D700" s="30" t="s">
        <v>2660</v>
      </c>
      <c r="E700" s="18" t="s">
        <v>2661</v>
      </c>
      <c r="F700" s="16">
        <v>7</v>
      </c>
      <c r="G700" s="16">
        <v>2227.0700000000002</v>
      </c>
      <c r="H700" s="16">
        <v>15589.49</v>
      </c>
    </row>
    <row r="701" spans="1:8" ht="15" thickBot="1">
      <c r="A701" s="64">
        <v>45146</v>
      </c>
      <c r="B701" s="18" t="s">
        <v>2641</v>
      </c>
      <c r="C701" s="30" t="s">
        <v>2648</v>
      </c>
      <c r="D701" s="30" t="s">
        <v>2657</v>
      </c>
      <c r="E701" s="18" t="s">
        <v>2661</v>
      </c>
      <c r="F701" s="16">
        <v>8</v>
      </c>
      <c r="G701" s="16">
        <v>1927.88</v>
      </c>
      <c r="H701" s="16">
        <v>15423.04</v>
      </c>
    </row>
    <row r="702" spans="1:8" ht="15" thickBot="1">
      <c r="A702" s="31" t="s">
        <v>2533</v>
      </c>
      <c r="B702" s="18" t="s">
        <v>2642</v>
      </c>
      <c r="C702" s="30" t="s">
        <v>2646</v>
      </c>
      <c r="D702" s="30" t="s">
        <v>2651</v>
      </c>
      <c r="E702" s="18" t="s">
        <v>2661</v>
      </c>
      <c r="F702" s="16">
        <v>11</v>
      </c>
      <c r="G702" s="16">
        <v>1389.59</v>
      </c>
      <c r="H702" s="16">
        <v>15285.49</v>
      </c>
    </row>
    <row r="703" spans="1:8" ht="15" thickBot="1">
      <c r="A703" s="31" t="s">
        <v>2560</v>
      </c>
      <c r="B703" s="18" t="s">
        <v>2642</v>
      </c>
      <c r="C703" s="30" t="s">
        <v>2645</v>
      </c>
      <c r="D703" s="30" t="s">
        <v>2658</v>
      </c>
      <c r="E703" s="18" t="s">
        <v>2661</v>
      </c>
      <c r="F703" s="16">
        <v>7</v>
      </c>
      <c r="G703" s="16">
        <v>2048.48</v>
      </c>
      <c r="H703" s="16">
        <v>14339.36</v>
      </c>
    </row>
    <row r="704" spans="1:8" ht="15" thickBot="1">
      <c r="A704" s="31" t="s">
        <v>2451</v>
      </c>
      <c r="B704" s="18" t="s">
        <v>2641</v>
      </c>
      <c r="C704" s="30" t="s">
        <v>2648</v>
      </c>
      <c r="D704" s="30" t="s">
        <v>2656</v>
      </c>
      <c r="E704" s="18" t="s">
        <v>2661</v>
      </c>
      <c r="F704" s="16">
        <v>4</v>
      </c>
      <c r="G704" s="16">
        <v>3377.27</v>
      </c>
      <c r="H704" s="16">
        <v>13509.08</v>
      </c>
    </row>
    <row r="705" spans="1:8" ht="15" thickBot="1">
      <c r="A705" s="64">
        <v>45140</v>
      </c>
      <c r="B705" s="18" t="s">
        <v>2642</v>
      </c>
      <c r="C705" s="30" t="s">
        <v>2645</v>
      </c>
      <c r="D705" s="30" t="s">
        <v>2655</v>
      </c>
      <c r="E705" s="18" t="s">
        <v>2661</v>
      </c>
      <c r="F705" s="16">
        <v>13</v>
      </c>
      <c r="G705" s="16">
        <v>1030.9000000000001</v>
      </c>
      <c r="H705" s="16">
        <v>13401.7</v>
      </c>
    </row>
    <row r="706" spans="1:8" ht="15" thickBot="1">
      <c r="A706" s="64">
        <v>45269</v>
      </c>
      <c r="B706" s="18" t="s">
        <v>2642</v>
      </c>
      <c r="C706" s="30" t="s">
        <v>2645</v>
      </c>
      <c r="D706" s="30" t="s">
        <v>2658</v>
      </c>
      <c r="E706" s="18" t="s">
        <v>2661</v>
      </c>
      <c r="F706" s="16">
        <v>6</v>
      </c>
      <c r="G706" s="16">
        <v>2207.64</v>
      </c>
      <c r="H706" s="16">
        <v>13245.84</v>
      </c>
    </row>
    <row r="707" spans="1:8" ht="15" thickBot="1">
      <c r="A707" s="64">
        <v>45233</v>
      </c>
      <c r="B707" s="18" t="s">
        <v>2641</v>
      </c>
      <c r="C707" s="30" t="s">
        <v>2644</v>
      </c>
      <c r="D707" s="30" t="s">
        <v>2393</v>
      </c>
      <c r="E707" s="18" t="s">
        <v>2661</v>
      </c>
      <c r="F707" s="16">
        <v>5</v>
      </c>
      <c r="G707" s="16">
        <v>2583.81</v>
      </c>
      <c r="H707" s="16">
        <v>12919.05</v>
      </c>
    </row>
    <row r="708" spans="1:8" ht="15" thickBot="1">
      <c r="A708" s="31" t="s">
        <v>2455</v>
      </c>
      <c r="B708" s="18" t="s">
        <v>2642</v>
      </c>
      <c r="C708" s="30" t="s">
        <v>2645</v>
      </c>
      <c r="D708" s="30" t="s">
        <v>2658</v>
      </c>
      <c r="E708" s="18" t="s">
        <v>2661</v>
      </c>
      <c r="F708" s="16">
        <v>16</v>
      </c>
      <c r="G708" s="16">
        <v>795.17</v>
      </c>
      <c r="H708" s="16">
        <v>12722.72</v>
      </c>
    </row>
    <row r="709" spans="1:8" ht="15" thickBot="1">
      <c r="A709" s="64">
        <v>45266</v>
      </c>
      <c r="B709" s="18" t="s">
        <v>2643</v>
      </c>
      <c r="C709" s="30" t="s">
        <v>2647</v>
      </c>
      <c r="D709" s="30" t="s">
        <v>2660</v>
      </c>
      <c r="E709" s="18" t="s">
        <v>2661</v>
      </c>
      <c r="F709" s="16">
        <v>3</v>
      </c>
      <c r="G709" s="16">
        <v>4171.91</v>
      </c>
      <c r="H709" s="16">
        <v>12515.73</v>
      </c>
    </row>
    <row r="710" spans="1:8" ht="15" thickBot="1">
      <c r="A710" s="64">
        <v>44961</v>
      </c>
      <c r="B710" s="18" t="s">
        <v>2643</v>
      </c>
      <c r="C710" s="30" t="s">
        <v>2647</v>
      </c>
      <c r="D710" s="30" t="s">
        <v>2660</v>
      </c>
      <c r="E710" s="18" t="s">
        <v>2661</v>
      </c>
      <c r="F710" s="16">
        <v>20</v>
      </c>
      <c r="G710" s="16">
        <v>605.86</v>
      </c>
      <c r="H710" s="16">
        <v>12117.2</v>
      </c>
    </row>
    <row r="711" spans="1:8" ht="15" thickBot="1">
      <c r="A711" s="31" t="s">
        <v>2476</v>
      </c>
      <c r="B711" s="18" t="s">
        <v>2641</v>
      </c>
      <c r="C711" s="30" t="s">
        <v>2648</v>
      </c>
      <c r="D711" s="30" t="s">
        <v>2657</v>
      </c>
      <c r="E711" s="18" t="s">
        <v>2661</v>
      </c>
      <c r="F711" s="16">
        <v>6</v>
      </c>
      <c r="G711" s="16">
        <v>1985.97</v>
      </c>
      <c r="H711" s="16">
        <v>11915.82</v>
      </c>
    </row>
    <row r="712" spans="1:8" ht="15" thickBot="1">
      <c r="A712" s="31" t="s">
        <v>2580</v>
      </c>
      <c r="B712" s="18" t="s">
        <v>2641</v>
      </c>
      <c r="C712" s="30" t="s">
        <v>2644</v>
      </c>
      <c r="D712" s="30" t="s">
        <v>2653</v>
      </c>
      <c r="E712" s="18" t="s">
        <v>2661</v>
      </c>
      <c r="F712" s="16">
        <v>12</v>
      </c>
      <c r="G712" s="16">
        <v>992.16</v>
      </c>
      <c r="H712" s="16">
        <v>11905.92</v>
      </c>
    </row>
    <row r="713" spans="1:8" ht="15" thickBot="1">
      <c r="A713" s="64">
        <v>45084</v>
      </c>
      <c r="B713" s="18" t="s">
        <v>2641</v>
      </c>
      <c r="C713" s="30" t="s">
        <v>2648</v>
      </c>
      <c r="D713" s="30" t="s">
        <v>2656</v>
      </c>
      <c r="E713" s="18" t="s">
        <v>2661</v>
      </c>
      <c r="F713" s="16">
        <v>8</v>
      </c>
      <c r="G713" s="16">
        <v>1484.56</v>
      </c>
      <c r="H713" s="16">
        <v>11876.48</v>
      </c>
    </row>
    <row r="714" spans="1:8" ht="15" thickBot="1">
      <c r="A714" s="31" t="s">
        <v>2465</v>
      </c>
      <c r="B714" s="18" t="s">
        <v>2641</v>
      </c>
      <c r="C714" s="30" t="s">
        <v>2648</v>
      </c>
      <c r="D714" s="30" t="s">
        <v>2657</v>
      </c>
      <c r="E714" s="18" t="s">
        <v>2661</v>
      </c>
      <c r="F714" s="16">
        <v>16</v>
      </c>
      <c r="G714" s="16">
        <v>704.88</v>
      </c>
      <c r="H714" s="16">
        <v>11278.08</v>
      </c>
    </row>
    <row r="715" spans="1:8" ht="15" thickBot="1">
      <c r="A715" s="31" t="s">
        <v>2525</v>
      </c>
      <c r="B715" s="18" t="s">
        <v>2643</v>
      </c>
      <c r="C715" s="30" t="s">
        <v>2647</v>
      </c>
      <c r="D715" s="30" t="s">
        <v>2659</v>
      </c>
      <c r="E715" s="18" t="s">
        <v>2661</v>
      </c>
      <c r="F715" s="16">
        <v>13</v>
      </c>
      <c r="G715" s="16">
        <v>864.09</v>
      </c>
      <c r="H715" s="16">
        <v>11233.17</v>
      </c>
    </row>
    <row r="716" spans="1:8" ht="15" thickBot="1">
      <c r="A716" s="64">
        <v>45207</v>
      </c>
      <c r="B716" s="18" t="s">
        <v>2642</v>
      </c>
      <c r="C716" s="30" t="s">
        <v>2646</v>
      </c>
      <c r="D716" s="30" t="s">
        <v>2651</v>
      </c>
      <c r="E716" s="18" t="s">
        <v>2661</v>
      </c>
      <c r="F716" s="16">
        <v>4</v>
      </c>
      <c r="G716" s="16">
        <v>2740.14</v>
      </c>
      <c r="H716" s="16">
        <v>10960.56</v>
      </c>
    </row>
    <row r="717" spans="1:8" ht="15" thickBot="1">
      <c r="A717" s="64">
        <v>45172</v>
      </c>
      <c r="B717" s="18" t="s">
        <v>2641</v>
      </c>
      <c r="C717" s="30" t="s">
        <v>2648</v>
      </c>
      <c r="D717" s="30" t="s">
        <v>2656</v>
      </c>
      <c r="E717" s="18" t="s">
        <v>2661</v>
      </c>
      <c r="F717" s="16">
        <v>7</v>
      </c>
      <c r="G717" s="16">
        <v>1500.87</v>
      </c>
      <c r="H717" s="16">
        <v>10506.09</v>
      </c>
    </row>
    <row r="718" spans="1:8" ht="15" thickBot="1">
      <c r="A718" s="64">
        <v>45082</v>
      </c>
      <c r="B718" s="18" t="s">
        <v>2642</v>
      </c>
      <c r="C718" s="30" t="s">
        <v>2646</v>
      </c>
      <c r="D718" s="30" t="s">
        <v>2654</v>
      </c>
      <c r="E718" s="18" t="s">
        <v>2661</v>
      </c>
      <c r="F718" s="16">
        <v>19</v>
      </c>
      <c r="G718" s="16">
        <v>548.70000000000005</v>
      </c>
      <c r="H718" s="16">
        <v>10425.299999999999</v>
      </c>
    </row>
    <row r="719" spans="1:8" ht="15" thickBot="1">
      <c r="A719" s="31" t="s">
        <v>2596</v>
      </c>
      <c r="B719" s="18" t="s">
        <v>2642</v>
      </c>
      <c r="C719" s="30" t="s">
        <v>2646</v>
      </c>
      <c r="D719" s="30" t="s">
        <v>2654</v>
      </c>
      <c r="E719" s="18" t="s">
        <v>2661</v>
      </c>
      <c r="F719" s="16">
        <v>11</v>
      </c>
      <c r="G719" s="16">
        <v>920.95</v>
      </c>
      <c r="H719" s="16">
        <v>10130.450000000001</v>
      </c>
    </row>
    <row r="720" spans="1:8" ht="15" thickBot="1">
      <c r="A720" s="64">
        <v>45110</v>
      </c>
      <c r="B720" s="18" t="s">
        <v>2642</v>
      </c>
      <c r="C720" s="30" t="s">
        <v>2645</v>
      </c>
      <c r="D720" s="30" t="s">
        <v>2649</v>
      </c>
      <c r="E720" s="18" t="s">
        <v>2661</v>
      </c>
      <c r="F720" s="16">
        <v>5</v>
      </c>
      <c r="G720" s="16">
        <v>1991.64</v>
      </c>
      <c r="H720" s="16">
        <v>9958.2000000000007</v>
      </c>
    </row>
    <row r="721" spans="1:8" ht="15" thickBot="1">
      <c r="A721" s="31" t="s">
        <v>2500</v>
      </c>
      <c r="B721" s="18" t="s">
        <v>2642</v>
      </c>
      <c r="C721" s="30" t="s">
        <v>2646</v>
      </c>
      <c r="D721" s="30" t="s">
        <v>2654</v>
      </c>
      <c r="E721" s="18" t="s">
        <v>2661</v>
      </c>
      <c r="F721" s="16">
        <v>17</v>
      </c>
      <c r="G721" s="16">
        <v>578.88</v>
      </c>
      <c r="H721" s="16">
        <v>9840.9599999999991</v>
      </c>
    </row>
    <row r="722" spans="1:8" ht="15" thickBot="1">
      <c r="A722" s="64">
        <v>45050</v>
      </c>
      <c r="B722" s="18" t="s">
        <v>2641</v>
      </c>
      <c r="C722" s="30" t="s">
        <v>2648</v>
      </c>
      <c r="D722" s="30" t="s">
        <v>2657</v>
      </c>
      <c r="E722" s="18" t="s">
        <v>2661</v>
      </c>
      <c r="F722" s="16">
        <v>8</v>
      </c>
      <c r="G722" s="16">
        <v>1185.17</v>
      </c>
      <c r="H722" s="16">
        <v>9481.36</v>
      </c>
    </row>
    <row r="723" spans="1:8" ht="15" thickBot="1">
      <c r="A723" s="31" t="s">
        <v>2517</v>
      </c>
      <c r="B723" s="18" t="s">
        <v>2642</v>
      </c>
      <c r="C723" s="30" t="s">
        <v>2645</v>
      </c>
      <c r="D723" s="30" t="s">
        <v>2658</v>
      </c>
      <c r="E723" s="18" t="s">
        <v>2661</v>
      </c>
      <c r="F723" s="16">
        <v>11</v>
      </c>
      <c r="G723" s="16">
        <v>841.99</v>
      </c>
      <c r="H723" s="16">
        <v>9261.89</v>
      </c>
    </row>
    <row r="724" spans="1:8" ht="15" thickBot="1">
      <c r="A724" s="31" t="s">
        <v>2518</v>
      </c>
      <c r="B724" s="18" t="s">
        <v>2641</v>
      </c>
      <c r="C724" s="30" t="s">
        <v>2644</v>
      </c>
      <c r="D724" s="30" t="s">
        <v>2653</v>
      </c>
      <c r="E724" s="18" t="s">
        <v>2661</v>
      </c>
      <c r="F724" s="16">
        <v>4</v>
      </c>
      <c r="G724" s="16">
        <v>2298.98</v>
      </c>
      <c r="H724" s="16">
        <v>9195.92</v>
      </c>
    </row>
    <row r="725" spans="1:8" ht="15" thickBot="1">
      <c r="A725" s="64">
        <v>45171</v>
      </c>
      <c r="B725" s="18" t="s">
        <v>2643</v>
      </c>
      <c r="C725" s="30" t="s">
        <v>2647</v>
      </c>
      <c r="D725" s="30" t="s">
        <v>2660</v>
      </c>
      <c r="E725" s="18" t="s">
        <v>2661</v>
      </c>
      <c r="F725" s="16">
        <v>18</v>
      </c>
      <c r="G725" s="16">
        <v>497.68</v>
      </c>
      <c r="H725" s="16">
        <v>8958.24</v>
      </c>
    </row>
    <row r="726" spans="1:8" ht="15" thickBot="1">
      <c r="A726" s="64">
        <v>44992</v>
      </c>
      <c r="B726" s="18" t="s">
        <v>2642</v>
      </c>
      <c r="C726" s="30" t="s">
        <v>2646</v>
      </c>
      <c r="D726" s="30" t="s">
        <v>2651</v>
      </c>
      <c r="E726" s="18" t="s">
        <v>2661</v>
      </c>
      <c r="F726" s="16">
        <v>3</v>
      </c>
      <c r="G726" s="16">
        <v>2966.4</v>
      </c>
      <c r="H726" s="16">
        <v>8899.2000000000007</v>
      </c>
    </row>
    <row r="727" spans="1:8" ht="15" thickBot="1">
      <c r="A727" s="31" t="s">
        <v>2604</v>
      </c>
      <c r="B727" s="18" t="s">
        <v>2641</v>
      </c>
      <c r="C727" s="30" t="s">
        <v>2648</v>
      </c>
      <c r="D727" s="30" t="s">
        <v>2396</v>
      </c>
      <c r="E727" s="18" t="s">
        <v>2661</v>
      </c>
      <c r="F727" s="16">
        <v>2</v>
      </c>
      <c r="G727" s="16">
        <v>4176.99</v>
      </c>
      <c r="H727" s="16">
        <v>8353.98</v>
      </c>
    </row>
    <row r="728" spans="1:8" ht="15" thickBot="1">
      <c r="A728" s="31" t="s">
        <v>2532</v>
      </c>
      <c r="B728" s="18" t="s">
        <v>2643</v>
      </c>
      <c r="C728" s="30" t="s">
        <v>2647</v>
      </c>
      <c r="D728" s="30" t="s">
        <v>2660</v>
      </c>
      <c r="E728" s="18" t="s">
        <v>2661</v>
      </c>
      <c r="F728" s="16">
        <v>6</v>
      </c>
      <c r="G728" s="16">
        <v>1366.98</v>
      </c>
      <c r="H728" s="16">
        <v>8201.8799999999992</v>
      </c>
    </row>
    <row r="729" spans="1:8" ht="15" thickBot="1">
      <c r="A729" s="64">
        <v>45021</v>
      </c>
      <c r="B729" s="18" t="s">
        <v>2641</v>
      </c>
      <c r="C729" s="30" t="s">
        <v>2644</v>
      </c>
      <c r="D729" s="30" t="s">
        <v>2653</v>
      </c>
      <c r="E729" s="18" t="s">
        <v>2661</v>
      </c>
      <c r="F729" s="16">
        <v>19</v>
      </c>
      <c r="G729" s="16">
        <v>430.16</v>
      </c>
      <c r="H729" s="16">
        <v>8173.04</v>
      </c>
    </row>
    <row r="730" spans="1:8" ht="15" thickBot="1">
      <c r="A730" s="31" t="s">
        <v>2439</v>
      </c>
      <c r="B730" s="18" t="s">
        <v>2643</v>
      </c>
      <c r="C730" s="30" t="s">
        <v>2647</v>
      </c>
      <c r="D730" s="30" t="s">
        <v>2652</v>
      </c>
      <c r="E730" s="18" t="s">
        <v>2661</v>
      </c>
      <c r="F730" s="16">
        <v>2</v>
      </c>
      <c r="G730" s="16">
        <v>4059.61</v>
      </c>
      <c r="H730" s="16">
        <v>8119.22</v>
      </c>
    </row>
    <row r="731" spans="1:8" ht="15" thickBot="1">
      <c r="A731" s="31" t="s">
        <v>2596</v>
      </c>
      <c r="B731" s="18" t="s">
        <v>2643</v>
      </c>
      <c r="C731" s="30" t="s">
        <v>2647</v>
      </c>
      <c r="D731" s="30" t="s">
        <v>2652</v>
      </c>
      <c r="E731" s="18" t="s">
        <v>2661</v>
      </c>
      <c r="F731" s="16">
        <v>18</v>
      </c>
      <c r="G731" s="16">
        <v>448.42</v>
      </c>
      <c r="H731" s="16">
        <v>8071.56</v>
      </c>
    </row>
    <row r="732" spans="1:8" ht="15" thickBot="1">
      <c r="A732" s="31" t="s">
        <v>2446</v>
      </c>
      <c r="B732" s="18" t="s">
        <v>2642</v>
      </c>
      <c r="C732" s="30" t="s">
        <v>2645</v>
      </c>
      <c r="D732" s="30" t="s">
        <v>2658</v>
      </c>
      <c r="E732" s="18" t="s">
        <v>2661</v>
      </c>
      <c r="F732" s="16">
        <v>2</v>
      </c>
      <c r="G732" s="16">
        <v>4032.05</v>
      </c>
      <c r="H732" s="16">
        <v>8064.1</v>
      </c>
    </row>
    <row r="733" spans="1:8" ht="15" thickBot="1">
      <c r="A733" s="31" t="s">
        <v>2512</v>
      </c>
      <c r="B733" s="18" t="s">
        <v>2642</v>
      </c>
      <c r="C733" s="30" t="s">
        <v>2645</v>
      </c>
      <c r="D733" s="30" t="s">
        <v>2649</v>
      </c>
      <c r="E733" s="18" t="s">
        <v>2661</v>
      </c>
      <c r="F733" s="16">
        <v>15</v>
      </c>
      <c r="G733" s="16">
        <v>534.41999999999996</v>
      </c>
      <c r="H733" s="16">
        <v>8016.3</v>
      </c>
    </row>
    <row r="734" spans="1:8" ht="15" thickBot="1">
      <c r="A734" s="31" t="s">
        <v>2543</v>
      </c>
      <c r="B734" s="18" t="s">
        <v>2641</v>
      </c>
      <c r="C734" s="30" t="s">
        <v>2648</v>
      </c>
      <c r="D734" s="30" t="s">
        <v>2657</v>
      </c>
      <c r="E734" s="18" t="s">
        <v>2661</v>
      </c>
      <c r="F734" s="16">
        <v>9</v>
      </c>
      <c r="G734" s="16">
        <v>888.33</v>
      </c>
      <c r="H734" s="16">
        <v>7994.97</v>
      </c>
    </row>
    <row r="735" spans="1:8" ht="15" thickBot="1">
      <c r="A735" s="31" t="s">
        <v>2557</v>
      </c>
      <c r="B735" s="18" t="s">
        <v>2641</v>
      </c>
      <c r="C735" s="30" t="s">
        <v>2648</v>
      </c>
      <c r="D735" s="30" t="s">
        <v>2657</v>
      </c>
      <c r="E735" s="18" t="s">
        <v>2661</v>
      </c>
      <c r="F735" s="16">
        <v>9</v>
      </c>
      <c r="G735" s="16">
        <v>851.87</v>
      </c>
      <c r="H735" s="16">
        <v>7666.83</v>
      </c>
    </row>
    <row r="736" spans="1:8" ht="15" thickBot="1">
      <c r="A736" s="31" t="s">
        <v>2438</v>
      </c>
      <c r="B736" s="18" t="s">
        <v>2642</v>
      </c>
      <c r="C736" s="30" t="s">
        <v>2646</v>
      </c>
      <c r="D736" s="30" t="s">
        <v>2650</v>
      </c>
      <c r="E736" s="18" t="s">
        <v>2661</v>
      </c>
      <c r="F736" s="16">
        <v>5</v>
      </c>
      <c r="G736" s="16">
        <v>1445.72</v>
      </c>
      <c r="H736" s="16">
        <v>7228.6</v>
      </c>
    </row>
    <row r="737" spans="1:8" ht="15" thickBot="1">
      <c r="A737" s="31" t="s">
        <v>2570</v>
      </c>
      <c r="B737" s="18" t="s">
        <v>2643</v>
      </c>
      <c r="C737" s="30" t="s">
        <v>2647</v>
      </c>
      <c r="D737" s="30" t="s">
        <v>2659</v>
      </c>
      <c r="E737" s="18" t="s">
        <v>2661</v>
      </c>
      <c r="F737" s="16">
        <v>5</v>
      </c>
      <c r="G737" s="16">
        <v>1412.08</v>
      </c>
      <c r="H737" s="16">
        <v>7060.4</v>
      </c>
    </row>
    <row r="738" spans="1:8" ht="15" thickBot="1">
      <c r="A738" s="31" t="s">
        <v>2619</v>
      </c>
      <c r="B738" s="18" t="s">
        <v>2642</v>
      </c>
      <c r="C738" s="30" t="s">
        <v>2645</v>
      </c>
      <c r="D738" s="30" t="s">
        <v>2649</v>
      </c>
      <c r="E738" s="18" t="s">
        <v>2661</v>
      </c>
      <c r="F738" s="16">
        <v>13</v>
      </c>
      <c r="G738" s="16">
        <v>512.69000000000005</v>
      </c>
      <c r="H738" s="16">
        <v>6664.97</v>
      </c>
    </row>
    <row r="739" spans="1:8" ht="15" thickBot="1">
      <c r="A739" s="31" t="s">
        <v>2529</v>
      </c>
      <c r="B739" s="18" t="s">
        <v>2641</v>
      </c>
      <c r="C739" s="30" t="s">
        <v>2644</v>
      </c>
      <c r="D739" s="30" t="s">
        <v>2393</v>
      </c>
      <c r="E739" s="18" t="s">
        <v>2661</v>
      </c>
      <c r="F739" s="16">
        <v>3</v>
      </c>
      <c r="G739" s="16">
        <v>2214.86</v>
      </c>
      <c r="H739" s="16">
        <v>6644.58</v>
      </c>
    </row>
    <row r="740" spans="1:8" ht="15" thickBot="1">
      <c r="A740" s="31" t="s">
        <v>2563</v>
      </c>
      <c r="B740" s="18" t="s">
        <v>2642</v>
      </c>
      <c r="C740" s="30" t="s">
        <v>2645</v>
      </c>
      <c r="D740" s="30" t="s">
        <v>2658</v>
      </c>
      <c r="E740" s="18" t="s">
        <v>2661</v>
      </c>
      <c r="F740" s="16">
        <v>12</v>
      </c>
      <c r="G740" s="16">
        <v>549.84</v>
      </c>
      <c r="H740" s="16">
        <v>6598.08</v>
      </c>
    </row>
    <row r="741" spans="1:8" ht="15" thickBot="1">
      <c r="A741" s="64">
        <v>45056</v>
      </c>
      <c r="B741" s="18" t="s">
        <v>2641</v>
      </c>
      <c r="C741" s="30" t="s">
        <v>2648</v>
      </c>
      <c r="D741" s="30" t="s">
        <v>2656</v>
      </c>
      <c r="E741" s="18" t="s">
        <v>2661</v>
      </c>
      <c r="F741" s="16">
        <v>9</v>
      </c>
      <c r="G741" s="16">
        <v>722.4</v>
      </c>
      <c r="H741" s="16">
        <v>6501.6</v>
      </c>
    </row>
    <row r="742" spans="1:8" ht="15" thickBot="1">
      <c r="A742" s="64">
        <v>45211</v>
      </c>
      <c r="B742" s="18" t="s">
        <v>2642</v>
      </c>
      <c r="C742" s="30" t="s">
        <v>2645</v>
      </c>
      <c r="D742" s="30" t="s">
        <v>2655</v>
      </c>
      <c r="E742" s="18" t="s">
        <v>2661</v>
      </c>
      <c r="F742" s="16">
        <v>10</v>
      </c>
      <c r="G742" s="16">
        <v>642.49</v>
      </c>
      <c r="H742" s="16">
        <v>6424.9</v>
      </c>
    </row>
    <row r="743" spans="1:8" ht="15" thickBot="1">
      <c r="A743" s="64">
        <v>44958</v>
      </c>
      <c r="B743" s="18" t="s">
        <v>2641</v>
      </c>
      <c r="C743" s="30" t="s">
        <v>2648</v>
      </c>
      <c r="D743" s="30" t="s">
        <v>2656</v>
      </c>
      <c r="E743" s="18" t="s">
        <v>2661</v>
      </c>
      <c r="F743" s="16">
        <v>11</v>
      </c>
      <c r="G743" s="16">
        <v>548.91999999999996</v>
      </c>
      <c r="H743" s="16">
        <v>6038.12</v>
      </c>
    </row>
    <row r="744" spans="1:8" ht="15" thickBot="1">
      <c r="A744" s="64">
        <v>44931</v>
      </c>
      <c r="B744" s="18" t="s">
        <v>2641</v>
      </c>
      <c r="C744" s="30" t="s">
        <v>2644</v>
      </c>
      <c r="D744" s="30" t="s">
        <v>2392</v>
      </c>
      <c r="E744" s="18" t="s">
        <v>2661</v>
      </c>
      <c r="F744" s="16">
        <v>5</v>
      </c>
      <c r="G744" s="16">
        <v>1204.6400000000001</v>
      </c>
      <c r="H744" s="16">
        <v>6023.2</v>
      </c>
    </row>
    <row r="745" spans="1:8" ht="15" thickBot="1">
      <c r="A745" s="31" t="s">
        <v>2481</v>
      </c>
      <c r="B745" s="18" t="s">
        <v>2642</v>
      </c>
      <c r="C745" s="30" t="s">
        <v>2645</v>
      </c>
      <c r="D745" s="30" t="s">
        <v>2658</v>
      </c>
      <c r="E745" s="18" t="s">
        <v>2661</v>
      </c>
      <c r="F745" s="16">
        <v>4</v>
      </c>
      <c r="G745" s="16">
        <v>1493.04</v>
      </c>
      <c r="H745" s="16">
        <v>5972.16</v>
      </c>
    </row>
    <row r="746" spans="1:8" ht="15" thickBot="1">
      <c r="A746" s="31" t="s">
        <v>2438</v>
      </c>
      <c r="B746" s="18" t="s">
        <v>2641</v>
      </c>
      <c r="C746" s="30" t="s">
        <v>2644</v>
      </c>
      <c r="D746" s="30" t="s">
        <v>2653</v>
      </c>
      <c r="E746" s="18" t="s">
        <v>2661</v>
      </c>
      <c r="F746" s="16">
        <v>5</v>
      </c>
      <c r="G746" s="16">
        <v>1141.32</v>
      </c>
      <c r="H746" s="16">
        <v>5706.6</v>
      </c>
    </row>
    <row r="747" spans="1:8" ht="15" thickBot="1">
      <c r="A747" s="64">
        <v>45025</v>
      </c>
      <c r="B747" s="18" t="s">
        <v>2642</v>
      </c>
      <c r="C747" s="30" t="s">
        <v>2645</v>
      </c>
      <c r="D747" s="30" t="s">
        <v>2649</v>
      </c>
      <c r="E747" s="18" t="s">
        <v>2661</v>
      </c>
      <c r="F747" s="16">
        <v>4</v>
      </c>
      <c r="G747" s="16">
        <v>1381.71</v>
      </c>
      <c r="H747" s="16">
        <v>5526.84</v>
      </c>
    </row>
    <row r="748" spans="1:8" ht="15" thickBot="1">
      <c r="A748" s="64">
        <v>45047</v>
      </c>
      <c r="B748" s="18" t="s">
        <v>2641</v>
      </c>
      <c r="C748" s="30" t="s">
        <v>2648</v>
      </c>
      <c r="D748" s="30" t="s">
        <v>2657</v>
      </c>
      <c r="E748" s="18" t="s">
        <v>2661</v>
      </c>
      <c r="F748" s="16">
        <v>2</v>
      </c>
      <c r="G748" s="16">
        <v>2704.98</v>
      </c>
      <c r="H748" s="16">
        <v>5409.96</v>
      </c>
    </row>
    <row r="749" spans="1:8" ht="15" thickBot="1">
      <c r="A749" s="64">
        <v>45262</v>
      </c>
      <c r="B749" s="18" t="s">
        <v>2643</v>
      </c>
      <c r="C749" s="30" t="s">
        <v>2647</v>
      </c>
      <c r="D749" s="30" t="s">
        <v>2659</v>
      </c>
      <c r="E749" s="18" t="s">
        <v>2661</v>
      </c>
      <c r="F749" s="16">
        <v>9</v>
      </c>
      <c r="G749" s="16">
        <v>593.01</v>
      </c>
      <c r="H749" s="16">
        <v>5337.09</v>
      </c>
    </row>
    <row r="750" spans="1:8" ht="15" thickBot="1">
      <c r="A750" s="64">
        <v>44965</v>
      </c>
      <c r="B750" s="18" t="s">
        <v>2642</v>
      </c>
      <c r="C750" s="30" t="s">
        <v>2645</v>
      </c>
      <c r="D750" s="30" t="s">
        <v>2658</v>
      </c>
      <c r="E750" s="18" t="s">
        <v>2661</v>
      </c>
      <c r="F750" s="16">
        <v>16</v>
      </c>
      <c r="G750" s="16">
        <v>317.82</v>
      </c>
      <c r="H750" s="16">
        <v>5085.12</v>
      </c>
    </row>
    <row r="751" spans="1:8" ht="15" thickBot="1">
      <c r="A751" s="64">
        <v>45264</v>
      </c>
      <c r="B751" s="18" t="s">
        <v>2642</v>
      </c>
      <c r="C751" s="30" t="s">
        <v>2645</v>
      </c>
      <c r="D751" s="30" t="s">
        <v>2655</v>
      </c>
      <c r="E751" s="18" t="s">
        <v>2661</v>
      </c>
      <c r="F751" s="16">
        <v>2</v>
      </c>
      <c r="G751" s="16">
        <v>2493.06</v>
      </c>
      <c r="H751" s="16">
        <v>4986.12</v>
      </c>
    </row>
    <row r="752" spans="1:8" ht="15" thickBot="1">
      <c r="A752" s="31" t="s">
        <v>2576</v>
      </c>
      <c r="B752" s="18" t="s">
        <v>2642</v>
      </c>
      <c r="C752" s="30" t="s">
        <v>2646</v>
      </c>
      <c r="D752" s="30" t="s">
        <v>2650</v>
      </c>
      <c r="E752" s="18" t="s">
        <v>2661</v>
      </c>
      <c r="F752" s="16">
        <v>7</v>
      </c>
      <c r="G752" s="16">
        <v>711.35</v>
      </c>
      <c r="H752" s="16">
        <v>4979.45</v>
      </c>
    </row>
    <row r="753" spans="1:8" ht="15" thickBot="1">
      <c r="A753" s="31" t="s">
        <v>2566</v>
      </c>
      <c r="B753" s="18" t="s">
        <v>2642</v>
      </c>
      <c r="C753" s="30" t="s">
        <v>2646</v>
      </c>
      <c r="D753" s="30" t="s">
        <v>2654</v>
      </c>
      <c r="E753" s="18" t="s">
        <v>2661</v>
      </c>
      <c r="F753" s="16">
        <v>7</v>
      </c>
      <c r="G753" s="16">
        <v>705.03</v>
      </c>
      <c r="H753" s="16">
        <v>4935.21</v>
      </c>
    </row>
    <row r="754" spans="1:8" ht="15" thickBot="1">
      <c r="A754" s="31" t="s">
        <v>2588</v>
      </c>
      <c r="B754" s="18" t="s">
        <v>2641</v>
      </c>
      <c r="C754" s="30" t="s">
        <v>2644</v>
      </c>
      <c r="D754" s="30" t="s">
        <v>2393</v>
      </c>
      <c r="E754" s="18" t="s">
        <v>2661</v>
      </c>
      <c r="F754" s="16">
        <v>2</v>
      </c>
      <c r="G754" s="16">
        <v>2402.5700000000002</v>
      </c>
      <c r="H754" s="16">
        <v>4805.1400000000003</v>
      </c>
    </row>
    <row r="755" spans="1:8" ht="15" thickBot="1">
      <c r="A755" s="64">
        <v>45140</v>
      </c>
      <c r="B755" s="18" t="s">
        <v>2642</v>
      </c>
      <c r="C755" s="30" t="s">
        <v>2645</v>
      </c>
      <c r="D755" s="30" t="s">
        <v>2649</v>
      </c>
      <c r="E755" s="18" t="s">
        <v>2661</v>
      </c>
      <c r="F755" s="16">
        <v>17</v>
      </c>
      <c r="G755" s="16">
        <v>269.7</v>
      </c>
      <c r="H755" s="16">
        <v>4584.8999999999996</v>
      </c>
    </row>
    <row r="756" spans="1:8" ht="15" thickBot="1">
      <c r="A756" s="31" t="s">
        <v>2522</v>
      </c>
      <c r="B756" s="18" t="s">
        <v>2641</v>
      </c>
      <c r="C756" s="30" t="s">
        <v>2648</v>
      </c>
      <c r="D756" s="30" t="s">
        <v>2656</v>
      </c>
      <c r="E756" s="18" t="s">
        <v>2661</v>
      </c>
      <c r="F756" s="16">
        <v>6</v>
      </c>
      <c r="G756" s="16">
        <v>744.85</v>
      </c>
      <c r="H756" s="16">
        <v>4469.1000000000004</v>
      </c>
    </row>
    <row r="757" spans="1:8" ht="15" thickBot="1">
      <c r="A757" s="31" t="s">
        <v>2489</v>
      </c>
      <c r="B757" s="18" t="s">
        <v>2641</v>
      </c>
      <c r="C757" s="30" t="s">
        <v>2648</v>
      </c>
      <c r="D757" s="30" t="s">
        <v>2396</v>
      </c>
      <c r="E757" s="18" t="s">
        <v>2661</v>
      </c>
      <c r="F757" s="16">
        <v>5</v>
      </c>
      <c r="G757" s="16">
        <v>879.82</v>
      </c>
      <c r="H757" s="16">
        <v>4399.1000000000004</v>
      </c>
    </row>
    <row r="758" spans="1:8" ht="15" thickBot="1">
      <c r="A758" s="31" t="s">
        <v>2603</v>
      </c>
      <c r="B758" s="18" t="s">
        <v>2641</v>
      </c>
      <c r="C758" s="30" t="s">
        <v>2648</v>
      </c>
      <c r="D758" s="30" t="s">
        <v>2656</v>
      </c>
      <c r="E758" s="18" t="s">
        <v>2661</v>
      </c>
      <c r="F758" s="16">
        <v>5</v>
      </c>
      <c r="G758" s="16">
        <v>877.62</v>
      </c>
      <c r="H758" s="16">
        <v>4388.1000000000004</v>
      </c>
    </row>
    <row r="759" spans="1:8" ht="15" thickBot="1">
      <c r="A759" s="31" t="s">
        <v>2535</v>
      </c>
      <c r="B759" s="18" t="s">
        <v>2641</v>
      </c>
      <c r="C759" s="30" t="s">
        <v>2644</v>
      </c>
      <c r="D759" s="30" t="s">
        <v>2392</v>
      </c>
      <c r="E759" s="18" t="s">
        <v>2661</v>
      </c>
      <c r="F759" s="16">
        <v>4</v>
      </c>
      <c r="G759" s="16">
        <v>1080.1600000000001</v>
      </c>
      <c r="H759" s="16">
        <v>4320.6400000000003</v>
      </c>
    </row>
    <row r="760" spans="1:8" ht="15" thickBot="1">
      <c r="A760" s="31" t="s">
        <v>2570</v>
      </c>
      <c r="B760" s="18" t="s">
        <v>2641</v>
      </c>
      <c r="C760" s="30" t="s">
        <v>2648</v>
      </c>
      <c r="D760" s="30" t="s">
        <v>2656</v>
      </c>
      <c r="E760" s="18" t="s">
        <v>2661</v>
      </c>
      <c r="F760" s="16">
        <v>14</v>
      </c>
      <c r="G760" s="16">
        <v>298.99</v>
      </c>
      <c r="H760" s="16">
        <v>4185.8599999999997</v>
      </c>
    </row>
    <row r="761" spans="1:8" ht="15" thickBot="1">
      <c r="A761" s="64">
        <v>45209</v>
      </c>
      <c r="B761" s="18" t="s">
        <v>2641</v>
      </c>
      <c r="C761" s="30" t="s">
        <v>2644</v>
      </c>
      <c r="D761" s="30" t="s">
        <v>2392</v>
      </c>
      <c r="E761" s="18" t="s">
        <v>2661</v>
      </c>
      <c r="F761" s="16">
        <v>5</v>
      </c>
      <c r="G761" s="16">
        <v>800.88</v>
      </c>
      <c r="H761" s="16">
        <v>4004.4</v>
      </c>
    </row>
    <row r="762" spans="1:8" ht="15" thickBot="1">
      <c r="A762" s="31" t="s">
        <v>2577</v>
      </c>
      <c r="B762" s="18" t="s">
        <v>2641</v>
      </c>
      <c r="C762" s="30" t="s">
        <v>2648</v>
      </c>
      <c r="D762" s="30" t="s">
        <v>2656</v>
      </c>
      <c r="E762" s="18" t="s">
        <v>2661</v>
      </c>
      <c r="F762" s="16">
        <v>14</v>
      </c>
      <c r="G762" s="16">
        <v>283.7</v>
      </c>
      <c r="H762" s="16">
        <v>3971.8</v>
      </c>
    </row>
    <row r="763" spans="1:8" ht="15" thickBot="1">
      <c r="A763" s="64">
        <v>45171</v>
      </c>
      <c r="B763" s="18" t="s">
        <v>2642</v>
      </c>
      <c r="C763" s="30" t="s">
        <v>2646</v>
      </c>
      <c r="D763" s="30" t="s">
        <v>2651</v>
      </c>
      <c r="E763" s="18" t="s">
        <v>2661</v>
      </c>
      <c r="F763" s="16">
        <v>1</v>
      </c>
      <c r="G763" s="16">
        <v>3964.37</v>
      </c>
      <c r="H763" s="16">
        <v>3964.37</v>
      </c>
    </row>
    <row r="764" spans="1:8" ht="15" thickBot="1">
      <c r="A764" s="64">
        <v>45263</v>
      </c>
      <c r="B764" s="18" t="s">
        <v>2642</v>
      </c>
      <c r="C764" s="30" t="s">
        <v>2645</v>
      </c>
      <c r="D764" s="30" t="s">
        <v>2655</v>
      </c>
      <c r="E764" s="18" t="s">
        <v>2661</v>
      </c>
      <c r="F764" s="16">
        <v>2</v>
      </c>
      <c r="G764" s="16">
        <v>1888.47</v>
      </c>
      <c r="H764" s="16">
        <v>3776.94</v>
      </c>
    </row>
    <row r="765" spans="1:8" ht="15" thickBot="1">
      <c r="A765" s="31" t="s">
        <v>2471</v>
      </c>
      <c r="B765" s="18" t="s">
        <v>2641</v>
      </c>
      <c r="C765" s="30" t="s">
        <v>2644</v>
      </c>
      <c r="D765" s="30" t="s">
        <v>2393</v>
      </c>
      <c r="E765" s="18" t="s">
        <v>2661</v>
      </c>
      <c r="F765" s="16">
        <v>1</v>
      </c>
      <c r="G765" s="16">
        <v>3698.2</v>
      </c>
      <c r="H765" s="16">
        <v>3698.2</v>
      </c>
    </row>
    <row r="766" spans="1:8" ht="15" thickBot="1">
      <c r="A766" s="31" t="s">
        <v>2500</v>
      </c>
      <c r="B766" s="18" t="s">
        <v>2642</v>
      </c>
      <c r="C766" s="30" t="s">
        <v>2646</v>
      </c>
      <c r="D766" s="30" t="s">
        <v>2651</v>
      </c>
      <c r="E766" s="18" t="s">
        <v>2661</v>
      </c>
      <c r="F766" s="16">
        <v>5</v>
      </c>
      <c r="G766" s="16">
        <v>695.3</v>
      </c>
      <c r="H766" s="16">
        <v>3476.5</v>
      </c>
    </row>
    <row r="767" spans="1:8" ht="15" thickBot="1">
      <c r="A767" s="31" t="s">
        <v>2455</v>
      </c>
      <c r="B767" s="18" t="s">
        <v>2641</v>
      </c>
      <c r="C767" s="30" t="s">
        <v>2644</v>
      </c>
      <c r="D767" s="30" t="s">
        <v>2393</v>
      </c>
      <c r="E767" s="18" t="s">
        <v>2661</v>
      </c>
      <c r="F767" s="16">
        <v>1</v>
      </c>
      <c r="G767" s="16">
        <v>3459.33</v>
      </c>
      <c r="H767" s="16">
        <v>3459.33</v>
      </c>
    </row>
    <row r="768" spans="1:8" ht="15" thickBot="1">
      <c r="A768" s="64">
        <v>45081</v>
      </c>
      <c r="B768" s="18" t="s">
        <v>2641</v>
      </c>
      <c r="C768" s="30" t="s">
        <v>2648</v>
      </c>
      <c r="D768" s="30" t="s">
        <v>2396</v>
      </c>
      <c r="E768" s="18" t="s">
        <v>2661</v>
      </c>
      <c r="F768" s="16">
        <v>3</v>
      </c>
      <c r="G768" s="16">
        <v>1129.83</v>
      </c>
      <c r="H768" s="16">
        <v>3389.49</v>
      </c>
    </row>
    <row r="769" spans="1:8" ht="15" thickBot="1">
      <c r="A769" s="31" t="s">
        <v>2538</v>
      </c>
      <c r="B769" s="18" t="s">
        <v>2642</v>
      </c>
      <c r="C769" s="30" t="s">
        <v>2646</v>
      </c>
      <c r="D769" s="30" t="s">
        <v>2651</v>
      </c>
      <c r="E769" s="18" t="s">
        <v>2661</v>
      </c>
      <c r="F769" s="16">
        <v>3</v>
      </c>
      <c r="G769" s="16">
        <v>1076.57</v>
      </c>
      <c r="H769" s="16">
        <v>3229.71</v>
      </c>
    </row>
    <row r="770" spans="1:8" ht="15" thickBot="1">
      <c r="A770" s="31" t="s">
        <v>2509</v>
      </c>
      <c r="B770" s="18" t="s">
        <v>2642</v>
      </c>
      <c r="C770" s="30" t="s">
        <v>2645</v>
      </c>
      <c r="D770" s="30" t="s">
        <v>2649</v>
      </c>
      <c r="E770" s="18" t="s">
        <v>2661</v>
      </c>
      <c r="F770" s="16">
        <v>3</v>
      </c>
      <c r="G770" s="16">
        <v>1043.3900000000001</v>
      </c>
      <c r="H770" s="16">
        <v>3130.17</v>
      </c>
    </row>
    <row r="771" spans="1:8" ht="15" thickBot="1">
      <c r="A771" s="31" t="s">
        <v>2511</v>
      </c>
      <c r="B771" s="18" t="s">
        <v>2642</v>
      </c>
      <c r="C771" s="30" t="s">
        <v>2646</v>
      </c>
      <c r="D771" s="30" t="s">
        <v>2654</v>
      </c>
      <c r="E771" s="18" t="s">
        <v>2661</v>
      </c>
      <c r="F771" s="16">
        <v>6</v>
      </c>
      <c r="G771" s="16">
        <v>484.95</v>
      </c>
      <c r="H771" s="16">
        <v>2909.7</v>
      </c>
    </row>
    <row r="772" spans="1:8" ht="15" thickBot="1">
      <c r="A772" s="64">
        <v>44989</v>
      </c>
      <c r="B772" s="18" t="s">
        <v>2643</v>
      </c>
      <c r="C772" s="30" t="s">
        <v>2647</v>
      </c>
      <c r="D772" s="30" t="s">
        <v>2660</v>
      </c>
      <c r="E772" s="18" t="s">
        <v>2661</v>
      </c>
      <c r="F772" s="16">
        <v>8</v>
      </c>
      <c r="G772" s="16">
        <v>315</v>
      </c>
      <c r="H772" s="16">
        <v>2520</v>
      </c>
    </row>
    <row r="773" spans="1:8" ht="15" thickBot="1">
      <c r="A773" s="31" t="s">
        <v>2580</v>
      </c>
      <c r="B773" s="18" t="s">
        <v>2643</v>
      </c>
      <c r="C773" s="30" t="s">
        <v>2647</v>
      </c>
      <c r="D773" s="30" t="s">
        <v>2660</v>
      </c>
      <c r="E773" s="18" t="s">
        <v>2661</v>
      </c>
      <c r="F773" s="16">
        <v>5</v>
      </c>
      <c r="G773" s="16">
        <v>438.69</v>
      </c>
      <c r="H773" s="16">
        <v>2193.4499999999998</v>
      </c>
    </row>
    <row r="774" spans="1:8" ht="15" thickBot="1">
      <c r="A774" s="31" t="s">
        <v>2443</v>
      </c>
      <c r="B774" s="18" t="s">
        <v>2641</v>
      </c>
      <c r="C774" s="30" t="s">
        <v>2644</v>
      </c>
      <c r="D774" s="30" t="s">
        <v>2393</v>
      </c>
      <c r="E774" s="18" t="s">
        <v>2661</v>
      </c>
      <c r="F774" s="16">
        <v>1</v>
      </c>
      <c r="G774" s="16">
        <v>1999.98</v>
      </c>
      <c r="H774" s="16">
        <v>1999.98</v>
      </c>
    </row>
    <row r="775" spans="1:8" ht="15" thickBot="1">
      <c r="A775" s="31" t="s">
        <v>2485</v>
      </c>
      <c r="B775" s="18" t="s">
        <v>2643</v>
      </c>
      <c r="C775" s="30" t="s">
        <v>2647</v>
      </c>
      <c r="D775" s="30" t="s">
        <v>2659</v>
      </c>
      <c r="E775" s="18" t="s">
        <v>2661</v>
      </c>
      <c r="F775" s="16">
        <v>1</v>
      </c>
      <c r="G775" s="16">
        <v>1981.82</v>
      </c>
      <c r="H775" s="16">
        <v>1981.82</v>
      </c>
    </row>
    <row r="776" spans="1:8" ht="15" thickBot="1">
      <c r="A776" s="31" t="s">
        <v>2561</v>
      </c>
      <c r="B776" s="18" t="s">
        <v>2641</v>
      </c>
      <c r="C776" s="30" t="s">
        <v>2644</v>
      </c>
      <c r="D776" s="30" t="s">
        <v>2393</v>
      </c>
      <c r="E776" s="18" t="s">
        <v>2661</v>
      </c>
      <c r="F776" s="16">
        <v>1</v>
      </c>
      <c r="G776" s="16">
        <v>1889.5</v>
      </c>
      <c r="H776" s="16">
        <v>1889.5</v>
      </c>
    </row>
    <row r="777" spans="1:8" ht="15" thickBot="1">
      <c r="A777" s="31" t="s">
        <v>2500</v>
      </c>
      <c r="B777" s="18" t="s">
        <v>2643</v>
      </c>
      <c r="C777" s="30" t="s">
        <v>2647</v>
      </c>
      <c r="D777" s="30" t="s">
        <v>2652</v>
      </c>
      <c r="E777" s="18" t="s">
        <v>2661</v>
      </c>
      <c r="F777" s="16">
        <v>4</v>
      </c>
      <c r="G777" s="16">
        <v>431.75</v>
      </c>
      <c r="H777" s="16">
        <v>1727</v>
      </c>
    </row>
    <row r="778" spans="1:8" ht="15" thickBot="1">
      <c r="A778" s="31" t="s">
        <v>2564</v>
      </c>
      <c r="B778" s="18" t="s">
        <v>2642</v>
      </c>
      <c r="C778" s="30" t="s">
        <v>2646</v>
      </c>
      <c r="D778" s="30" t="s">
        <v>2651</v>
      </c>
      <c r="E778" s="18" t="s">
        <v>2661</v>
      </c>
      <c r="F778" s="16">
        <v>4</v>
      </c>
      <c r="G778" s="16">
        <v>430.91</v>
      </c>
      <c r="H778" s="16">
        <v>1723.64</v>
      </c>
    </row>
    <row r="779" spans="1:8" ht="15" thickBot="1">
      <c r="A779" s="31" t="s">
        <v>2596</v>
      </c>
      <c r="B779" s="18" t="s">
        <v>2643</v>
      </c>
      <c r="C779" s="30" t="s">
        <v>2647</v>
      </c>
      <c r="D779" s="30" t="s">
        <v>2652</v>
      </c>
      <c r="E779" s="18" t="s">
        <v>2661</v>
      </c>
      <c r="F779" s="16">
        <v>5</v>
      </c>
      <c r="G779" s="16">
        <v>334.29</v>
      </c>
      <c r="H779" s="16">
        <v>1671.45</v>
      </c>
    </row>
    <row r="780" spans="1:8" ht="15" thickBot="1">
      <c r="A780" s="64">
        <v>45078</v>
      </c>
      <c r="B780" s="18" t="s">
        <v>2642</v>
      </c>
      <c r="C780" s="30" t="s">
        <v>2646</v>
      </c>
      <c r="D780" s="30" t="s">
        <v>2650</v>
      </c>
      <c r="E780" s="18" t="s">
        <v>2661</v>
      </c>
      <c r="F780" s="16">
        <v>2</v>
      </c>
      <c r="G780" s="16">
        <v>779.35</v>
      </c>
      <c r="H780" s="16">
        <v>1558.7</v>
      </c>
    </row>
    <row r="781" spans="1:8" ht="15" thickBot="1">
      <c r="A781" s="64">
        <v>45117</v>
      </c>
      <c r="B781" s="18" t="s">
        <v>2641</v>
      </c>
      <c r="C781" s="30" t="s">
        <v>2648</v>
      </c>
      <c r="D781" s="30" t="s">
        <v>2656</v>
      </c>
      <c r="E781" s="18" t="s">
        <v>2661</v>
      </c>
      <c r="F781" s="16">
        <v>1</v>
      </c>
      <c r="G781" s="16">
        <v>1286.1099999999999</v>
      </c>
      <c r="H781" s="16">
        <v>1286.1099999999999</v>
      </c>
    </row>
    <row r="782" spans="1:8" ht="15" thickBot="1">
      <c r="A782" s="31" t="s">
        <v>2550</v>
      </c>
      <c r="B782" s="18" t="s">
        <v>2642</v>
      </c>
      <c r="C782" s="30" t="s">
        <v>2646</v>
      </c>
      <c r="D782" s="30" t="s">
        <v>2651</v>
      </c>
      <c r="E782" s="18" t="s">
        <v>2661</v>
      </c>
      <c r="F782" s="16">
        <v>1</v>
      </c>
      <c r="G782" s="16">
        <v>1239.25</v>
      </c>
      <c r="H782" s="16">
        <v>1239.25</v>
      </c>
    </row>
    <row r="783" spans="1:8" ht="15" thickBot="1">
      <c r="A783" s="31" t="s">
        <v>2464</v>
      </c>
      <c r="B783" s="18" t="s">
        <v>2642</v>
      </c>
      <c r="C783" s="30" t="s">
        <v>2646</v>
      </c>
      <c r="D783" s="30" t="s">
        <v>2650</v>
      </c>
      <c r="E783" s="18" t="s">
        <v>2661</v>
      </c>
      <c r="F783" s="16">
        <v>1</v>
      </c>
      <c r="G783" s="16">
        <v>1094.8800000000001</v>
      </c>
      <c r="H783" s="16">
        <v>1094.8800000000001</v>
      </c>
    </row>
    <row r="784" spans="1:8" ht="15" thickBot="1">
      <c r="A784" s="31" t="s">
        <v>2565</v>
      </c>
      <c r="B784" s="18" t="s">
        <v>2643</v>
      </c>
      <c r="C784" s="30" t="s">
        <v>2647</v>
      </c>
      <c r="D784" s="30" t="s">
        <v>2652</v>
      </c>
      <c r="E784" s="18" t="s">
        <v>2661</v>
      </c>
      <c r="F784" s="16">
        <v>1</v>
      </c>
      <c r="G784" s="16">
        <v>840.65</v>
      </c>
      <c r="H784" s="16">
        <v>840.65</v>
      </c>
    </row>
    <row r="785" spans="1:8" ht="15" thickBot="1">
      <c r="A785" s="64">
        <v>45264</v>
      </c>
      <c r="B785" s="18" t="s">
        <v>2643</v>
      </c>
      <c r="C785" s="30" t="s">
        <v>2647</v>
      </c>
      <c r="D785" s="30" t="s">
        <v>2652</v>
      </c>
      <c r="E785" s="18" t="s">
        <v>2661</v>
      </c>
      <c r="F785" s="16">
        <v>5</v>
      </c>
      <c r="G785" s="16">
        <v>143.78</v>
      </c>
      <c r="H785" s="16">
        <v>718.9</v>
      </c>
    </row>
    <row r="786" spans="1:8" ht="15" thickBot="1">
      <c r="A786" s="31" t="s">
        <v>2526</v>
      </c>
      <c r="B786" s="18" t="s">
        <v>2641</v>
      </c>
      <c r="C786" s="30" t="s">
        <v>2648</v>
      </c>
      <c r="D786" s="30" t="s">
        <v>2656</v>
      </c>
      <c r="E786" s="18" t="s">
        <v>2661</v>
      </c>
      <c r="F786" s="16">
        <v>1</v>
      </c>
      <c r="G786" s="16">
        <v>302.02</v>
      </c>
      <c r="H786" s="16">
        <v>302.02</v>
      </c>
    </row>
    <row r="787" spans="1:8" ht="15" thickBot="1">
      <c r="A787" s="31" t="s">
        <v>2434</v>
      </c>
      <c r="B787" s="18" t="s">
        <v>2642</v>
      </c>
      <c r="C787" s="30" t="s">
        <v>2646</v>
      </c>
      <c r="D787" s="30" t="s">
        <v>2650</v>
      </c>
      <c r="E787" s="18" t="s">
        <v>2661</v>
      </c>
      <c r="F787" s="16">
        <v>1</v>
      </c>
      <c r="G787" s="16">
        <v>267.32</v>
      </c>
      <c r="H787" s="16">
        <v>267.32</v>
      </c>
    </row>
    <row r="788" spans="1:8" ht="15" thickBot="1">
      <c r="A788" s="31" t="s">
        <v>2584</v>
      </c>
      <c r="B788" s="18" t="s">
        <v>2641</v>
      </c>
      <c r="C788" s="30" t="s">
        <v>2648</v>
      </c>
      <c r="D788" s="30" t="s">
        <v>2656</v>
      </c>
      <c r="E788" s="18" t="s">
        <v>2374</v>
      </c>
      <c r="F788" s="16">
        <v>19</v>
      </c>
      <c r="G788" s="16">
        <v>4920.4399999999996</v>
      </c>
      <c r="H788" s="16">
        <v>93488.36</v>
      </c>
    </row>
    <row r="789" spans="1:8" ht="15" thickBot="1">
      <c r="A789" s="31" t="s">
        <v>2482</v>
      </c>
      <c r="B789" s="18" t="s">
        <v>2642</v>
      </c>
      <c r="C789" s="30" t="s">
        <v>2645</v>
      </c>
      <c r="D789" s="30" t="s">
        <v>2655</v>
      </c>
      <c r="E789" s="18" t="s">
        <v>2374</v>
      </c>
      <c r="F789" s="16">
        <v>18</v>
      </c>
      <c r="G789" s="16">
        <v>4888.0200000000004</v>
      </c>
      <c r="H789" s="16">
        <v>87984.36</v>
      </c>
    </row>
    <row r="790" spans="1:8" ht="15" thickBot="1">
      <c r="A790" s="31" t="s">
        <v>2495</v>
      </c>
      <c r="B790" s="18" t="s">
        <v>2641</v>
      </c>
      <c r="C790" s="30" t="s">
        <v>2648</v>
      </c>
      <c r="D790" s="30" t="s">
        <v>2656</v>
      </c>
      <c r="E790" s="18" t="s">
        <v>2374</v>
      </c>
      <c r="F790" s="16">
        <v>18</v>
      </c>
      <c r="G790" s="16">
        <v>4862.63</v>
      </c>
      <c r="H790" s="16">
        <v>87527.34</v>
      </c>
    </row>
    <row r="791" spans="1:8" ht="15" thickBot="1">
      <c r="A791" s="64">
        <v>45082</v>
      </c>
      <c r="B791" s="18" t="s">
        <v>2643</v>
      </c>
      <c r="C791" s="30" t="s">
        <v>2647</v>
      </c>
      <c r="D791" s="30" t="s">
        <v>2652</v>
      </c>
      <c r="E791" s="18" t="s">
        <v>2374</v>
      </c>
      <c r="F791" s="16">
        <v>18</v>
      </c>
      <c r="G791" s="16">
        <v>4861.3100000000004</v>
      </c>
      <c r="H791" s="16">
        <v>87503.58</v>
      </c>
    </row>
    <row r="792" spans="1:8" ht="15" thickBot="1">
      <c r="A792" s="31" t="s">
        <v>2484</v>
      </c>
      <c r="B792" s="18" t="s">
        <v>2641</v>
      </c>
      <c r="C792" s="30" t="s">
        <v>2644</v>
      </c>
      <c r="D792" s="30" t="s">
        <v>2393</v>
      </c>
      <c r="E792" s="18" t="s">
        <v>2374</v>
      </c>
      <c r="F792" s="16">
        <v>18</v>
      </c>
      <c r="G792" s="16">
        <v>4721.4399999999996</v>
      </c>
      <c r="H792" s="16">
        <v>84985.919999999998</v>
      </c>
    </row>
    <row r="793" spans="1:8" ht="15" thickBot="1">
      <c r="A793" s="31" t="s">
        <v>2566</v>
      </c>
      <c r="B793" s="18" t="s">
        <v>2641</v>
      </c>
      <c r="C793" s="30" t="s">
        <v>2644</v>
      </c>
      <c r="D793" s="30" t="s">
        <v>2653</v>
      </c>
      <c r="E793" s="18" t="s">
        <v>2374</v>
      </c>
      <c r="F793" s="16">
        <v>17</v>
      </c>
      <c r="G793" s="16">
        <v>4982.8100000000004</v>
      </c>
      <c r="H793" s="16">
        <v>84707.77</v>
      </c>
    </row>
    <row r="794" spans="1:8" ht="15" thickBot="1">
      <c r="A794" s="64">
        <v>44965</v>
      </c>
      <c r="B794" s="18" t="s">
        <v>2641</v>
      </c>
      <c r="C794" s="30" t="s">
        <v>2648</v>
      </c>
      <c r="D794" s="30" t="s">
        <v>2656</v>
      </c>
      <c r="E794" s="18" t="s">
        <v>2374</v>
      </c>
      <c r="F794" s="16">
        <v>17</v>
      </c>
      <c r="G794" s="16">
        <v>4953.04</v>
      </c>
      <c r="H794" s="16">
        <v>84201.68</v>
      </c>
    </row>
    <row r="795" spans="1:8" ht="15" thickBot="1">
      <c r="A795" s="31" t="s">
        <v>2605</v>
      </c>
      <c r="B795" s="18" t="s">
        <v>2641</v>
      </c>
      <c r="C795" s="30" t="s">
        <v>2644</v>
      </c>
      <c r="D795" s="30" t="s">
        <v>2393</v>
      </c>
      <c r="E795" s="18" t="s">
        <v>2374</v>
      </c>
      <c r="F795" s="16">
        <v>19</v>
      </c>
      <c r="G795" s="16">
        <v>4229.42</v>
      </c>
      <c r="H795" s="16">
        <v>80358.98</v>
      </c>
    </row>
    <row r="796" spans="1:8" ht="15" thickBot="1">
      <c r="A796" s="31" t="s">
        <v>2507</v>
      </c>
      <c r="B796" s="18" t="s">
        <v>2642</v>
      </c>
      <c r="C796" s="30" t="s">
        <v>2646</v>
      </c>
      <c r="D796" s="30" t="s">
        <v>2654</v>
      </c>
      <c r="E796" s="18" t="s">
        <v>2374</v>
      </c>
      <c r="F796" s="16">
        <v>19</v>
      </c>
      <c r="G796" s="16">
        <v>4134.01</v>
      </c>
      <c r="H796" s="16">
        <v>78546.19</v>
      </c>
    </row>
    <row r="797" spans="1:8" ht="15" thickBot="1">
      <c r="A797" s="64">
        <v>45053</v>
      </c>
      <c r="B797" s="18" t="s">
        <v>2641</v>
      </c>
      <c r="C797" s="30" t="s">
        <v>2648</v>
      </c>
      <c r="D797" s="30" t="s">
        <v>2656</v>
      </c>
      <c r="E797" s="18" t="s">
        <v>2374</v>
      </c>
      <c r="F797" s="16">
        <v>17</v>
      </c>
      <c r="G797" s="16">
        <v>4427.79</v>
      </c>
      <c r="H797" s="16">
        <v>75272.429999999993</v>
      </c>
    </row>
    <row r="798" spans="1:8" ht="15" thickBot="1">
      <c r="A798" s="31" t="s">
        <v>2493</v>
      </c>
      <c r="B798" s="18" t="s">
        <v>2641</v>
      </c>
      <c r="C798" s="30" t="s">
        <v>2644</v>
      </c>
      <c r="D798" s="30" t="s">
        <v>2393</v>
      </c>
      <c r="E798" s="18" t="s">
        <v>2374</v>
      </c>
      <c r="F798" s="16">
        <v>19</v>
      </c>
      <c r="G798" s="16">
        <v>3927.27</v>
      </c>
      <c r="H798" s="16">
        <v>74618.13</v>
      </c>
    </row>
    <row r="799" spans="1:8" ht="15" thickBot="1">
      <c r="A799" s="64">
        <v>45175</v>
      </c>
      <c r="B799" s="18" t="s">
        <v>2642</v>
      </c>
      <c r="C799" s="30" t="s">
        <v>2646</v>
      </c>
      <c r="D799" s="30" t="s">
        <v>2650</v>
      </c>
      <c r="E799" s="18" t="s">
        <v>2374</v>
      </c>
      <c r="F799" s="16">
        <v>18</v>
      </c>
      <c r="G799" s="16">
        <v>4103.6099999999997</v>
      </c>
      <c r="H799" s="16">
        <v>73864.98</v>
      </c>
    </row>
    <row r="800" spans="1:8" ht="15" thickBot="1">
      <c r="A800" s="31" t="s">
        <v>2478</v>
      </c>
      <c r="B800" s="18" t="s">
        <v>2641</v>
      </c>
      <c r="C800" s="30" t="s">
        <v>2644</v>
      </c>
      <c r="D800" s="30" t="s">
        <v>2653</v>
      </c>
      <c r="E800" s="18" t="s">
        <v>2374</v>
      </c>
      <c r="F800" s="16">
        <v>18</v>
      </c>
      <c r="G800" s="16">
        <v>4022.66</v>
      </c>
      <c r="H800" s="16">
        <v>72407.88</v>
      </c>
    </row>
    <row r="801" spans="1:8" ht="15" thickBot="1">
      <c r="A801" s="31" t="s">
        <v>2562</v>
      </c>
      <c r="B801" s="18" t="s">
        <v>2642</v>
      </c>
      <c r="C801" s="30" t="s">
        <v>2646</v>
      </c>
      <c r="D801" s="30" t="s">
        <v>2651</v>
      </c>
      <c r="E801" s="18" t="s">
        <v>2374</v>
      </c>
      <c r="F801" s="16">
        <v>15</v>
      </c>
      <c r="G801" s="16">
        <v>4724.91</v>
      </c>
      <c r="H801" s="16">
        <v>70873.649999999994</v>
      </c>
    </row>
    <row r="802" spans="1:8" ht="15" thickBot="1">
      <c r="A802" s="64">
        <v>45139</v>
      </c>
      <c r="B802" s="18" t="s">
        <v>2641</v>
      </c>
      <c r="C802" s="30" t="s">
        <v>2648</v>
      </c>
      <c r="D802" s="30" t="s">
        <v>2656</v>
      </c>
      <c r="E802" s="18" t="s">
        <v>2374</v>
      </c>
      <c r="F802" s="16">
        <v>17</v>
      </c>
      <c r="G802" s="16">
        <v>4136.3100000000004</v>
      </c>
      <c r="H802" s="16">
        <v>70317.27</v>
      </c>
    </row>
    <row r="803" spans="1:8" ht="15" thickBot="1">
      <c r="A803" s="64">
        <v>45209</v>
      </c>
      <c r="B803" s="18" t="s">
        <v>2641</v>
      </c>
      <c r="C803" s="30" t="s">
        <v>2644</v>
      </c>
      <c r="D803" s="30" t="s">
        <v>2392</v>
      </c>
      <c r="E803" s="18" t="s">
        <v>2374</v>
      </c>
      <c r="F803" s="16">
        <v>15</v>
      </c>
      <c r="G803" s="16">
        <v>4657.82</v>
      </c>
      <c r="H803" s="16">
        <v>69867.3</v>
      </c>
    </row>
    <row r="804" spans="1:8" ht="15" thickBot="1">
      <c r="A804" s="31" t="s">
        <v>2607</v>
      </c>
      <c r="B804" s="18" t="s">
        <v>2642</v>
      </c>
      <c r="C804" s="30" t="s">
        <v>2646</v>
      </c>
      <c r="D804" s="30" t="s">
        <v>2654</v>
      </c>
      <c r="E804" s="18" t="s">
        <v>2374</v>
      </c>
      <c r="F804" s="16">
        <v>14</v>
      </c>
      <c r="G804" s="16">
        <v>4935.34</v>
      </c>
      <c r="H804" s="16">
        <v>69094.759999999995</v>
      </c>
    </row>
    <row r="805" spans="1:8" ht="15" thickBot="1">
      <c r="A805" s="31" t="s">
        <v>2443</v>
      </c>
      <c r="B805" s="18" t="s">
        <v>2642</v>
      </c>
      <c r="C805" s="30" t="s">
        <v>2645</v>
      </c>
      <c r="D805" s="30" t="s">
        <v>2649</v>
      </c>
      <c r="E805" s="18" t="s">
        <v>2374</v>
      </c>
      <c r="F805" s="16">
        <v>15</v>
      </c>
      <c r="G805" s="16">
        <v>4545.26</v>
      </c>
      <c r="H805" s="16">
        <v>68178.899999999994</v>
      </c>
    </row>
    <row r="806" spans="1:8" ht="15" thickBot="1">
      <c r="A806" s="31" t="s">
        <v>2480</v>
      </c>
      <c r="B806" s="18" t="s">
        <v>2642</v>
      </c>
      <c r="C806" s="30" t="s">
        <v>2646</v>
      </c>
      <c r="D806" s="30" t="s">
        <v>2651</v>
      </c>
      <c r="E806" s="18" t="s">
        <v>2374</v>
      </c>
      <c r="F806" s="16">
        <v>20</v>
      </c>
      <c r="G806" s="16">
        <v>3280.87</v>
      </c>
      <c r="H806" s="16">
        <v>65617.399999999994</v>
      </c>
    </row>
    <row r="807" spans="1:8" ht="15" thickBot="1">
      <c r="A807" s="64">
        <v>44993</v>
      </c>
      <c r="B807" s="18" t="s">
        <v>2643</v>
      </c>
      <c r="C807" s="30" t="s">
        <v>2647</v>
      </c>
      <c r="D807" s="30" t="s">
        <v>2659</v>
      </c>
      <c r="E807" s="18" t="s">
        <v>2374</v>
      </c>
      <c r="F807" s="16">
        <v>18</v>
      </c>
      <c r="G807" s="16">
        <v>3614.6</v>
      </c>
      <c r="H807" s="16">
        <v>65062.8</v>
      </c>
    </row>
    <row r="808" spans="1:8" ht="15" thickBot="1">
      <c r="A808" s="31" t="s">
        <v>2436</v>
      </c>
      <c r="B808" s="18" t="s">
        <v>2641</v>
      </c>
      <c r="C808" s="30" t="s">
        <v>2644</v>
      </c>
      <c r="D808" s="30" t="s">
        <v>2393</v>
      </c>
      <c r="E808" s="18" t="s">
        <v>2374</v>
      </c>
      <c r="F808" s="16">
        <v>13</v>
      </c>
      <c r="G808" s="16">
        <v>4985.82</v>
      </c>
      <c r="H808" s="16">
        <v>64815.66</v>
      </c>
    </row>
    <row r="809" spans="1:8" ht="15" thickBot="1">
      <c r="A809" s="64">
        <v>45111</v>
      </c>
      <c r="B809" s="18" t="s">
        <v>2642</v>
      </c>
      <c r="C809" s="30" t="s">
        <v>2646</v>
      </c>
      <c r="D809" s="30" t="s">
        <v>2654</v>
      </c>
      <c r="E809" s="18" t="s">
        <v>2374</v>
      </c>
      <c r="F809" s="16">
        <v>17</v>
      </c>
      <c r="G809" s="16">
        <v>3771.79</v>
      </c>
      <c r="H809" s="16">
        <v>64120.43</v>
      </c>
    </row>
    <row r="810" spans="1:8" ht="15" thickBot="1">
      <c r="A810" s="64">
        <v>45180</v>
      </c>
      <c r="B810" s="18" t="s">
        <v>2642</v>
      </c>
      <c r="C810" s="30" t="s">
        <v>2645</v>
      </c>
      <c r="D810" s="30" t="s">
        <v>2658</v>
      </c>
      <c r="E810" s="18" t="s">
        <v>2374</v>
      </c>
      <c r="F810" s="16">
        <v>16</v>
      </c>
      <c r="G810" s="16">
        <v>3981.76</v>
      </c>
      <c r="H810" s="16">
        <v>63708.160000000003</v>
      </c>
    </row>
    <row r="811" spans="1:8" ht="15" thickBot="1">
      <c r="A811" s="64">
        <v>45111</v>
      </c>
      <c r="B811" s="18" t="s">
        <v>2641</v>
      </c>
      <c r="C811" s="30" t="s">
        <v>2644</v>
      </c>
      <c r="D811" s="30" t="s">
        <v>2392</v>
      </c>
      <c r="E811" s="18" t="s">
        <v>2374</v>
      </c>
      <c r="F811" s="16">
        <v>13</v>
      </c>
      <c r="G811" s="16">
        <v>4850.17</v>
      </c>
      <c r="H811" s="16">
        <v>63052.21</v>
      </c>
    </row>
    <row r="812" spans="1:8" ht="15" thickBot="1">
      <c r="A812" s="31" t="s">
        <v>2507</v>
      </c>
      <c r="B812" s="18" t="s">
        <v>2643</v>
      </c>
      <c r="C812" s="30" t="s">
        <v>2647</v>
      </c>
      <c r="D812" s="30" t="s">
        <v>2652</v>
      </c>
      <c r="E812" s="18" t="s">
        <v>2374</v>
      </c>
      <c r="F812" s="16">
        <v>20</v>
      </c>
      <c r="G812" s="16">
        <v>3069.92</v>
      </c>
      <c r="H812" s="16">
        <v>61398.400000000001</v>
      </c>
    </row>
    <row r="813" spans="1:8" ht="15" thickBot="1">
      <c r="A813" s="31" t="s">
        <v>2453</v>
      </c>
      <c r="B813" s="18" t="s">
        <v>2641</v>
      </c>
      <c r="C813" s="30" t="s">
        <v>2644</v>
      </c>
      <c r="D813" s="30" t="s">
        <v>2392</v>
      </c>
      <c r="E813" s="18" t="s">
        <v>2374</v>
      </c>
      <c r="F813" s="16">
        <v>17</v>
      </c>
      <c r="G813" s="16">
        <v>3490.72</v>
      </c>
      <c r="H813" s="16">
        <v>59342.239999999998</v>
      </c>
    </row>
    <row r="814" spans="1:8" ht="15" thickBot="1">
      <c r="A814" s="64">
        <v>45139</v>
      </c>
      <c r="B814" s="18" t="s">
        <v>2641</v>
      </c>
      <c r="C814" s="30" t="s">
        <v>2644</v>
      </c>
      <c r="D814" s="30" t="s">
        <v>2393</v>
      </c>
      <c r="E814" s="18" t="s">
        <v>2374</v>
      </c>
      <c r="F814" s="16">
        <v>16</v>
      </c>
      <c r="G814" s="16">
        <v>3702.43</v>
      </c>
      <c r="H814" s="16">
        <v>59238.879999999997</v>
      </c>
    </row>
    <row r="815" spans="1:8" ht="15" thickBot="1">
      <c r="A815" s="64">
        <v>44993</v>
      </c>
      <c r="B815" s="18" t="s">
        <v>2643</v>
      </c>
      <c r="C815" s="30" t="s">
        <v>2647</v>
      </c>
      <c r="D815" s="30" t="s">
        <v>2652</v>
      </c>
      <c r="E815" s="18" t="s">
        <v>2374</v>
      </c>
      <c r="F815" s="16">
        <v>18</v>
      </c>
      <c r="G815" s="16">
        <v>3287.05</v>
      </c>
      <c r="H815" s="16">
        <v>59166.9</v>
      </c>
    </row>
    <row r="816" spans="1:8" ht="15" thickBot="1">
      <c r="A816" s="31" t="s">
        <v>2585</v>
      </c>
      <c r="B816" s="18" t="s">
        <v>2642</v>
      </c>
      <c r="C816" s="30" t="s">
        <v>2645</v>
      </c>
      <c r="D816" s="30" t="s">
        <v>2649</v>
      </c>
      <c r="E816" s="18" t="s">
        <v>2374</v>
      </c>
      <c r="F816" s="16">
        <v>14</v>
      </c>
      <c r="G816" s="16">
        <v>4192.8599999999997</v>
      </c>
      <c r="H816" s="16">
        <v>58700.04</v>
      </c>
    </row>
    <row r="817" spans="1:8" ht="15" thickBot="1">
      <c r="A817" s="64">
        <v>45180</v>
      </c>
      <c r="B817" s="18" t="s">
        <v>2642</v>
      </c>
      <c r="C817" s="30" t="s">
        <v>2646</v>
      </c>
      <c r="D817" s="30" t="s">
        <v>2650</v>
      </c>
      <c r="E817" s="18" t="s">
        <v>2374</v>
      </c>
      <c r="F817" s="16">
        <v>15</v>
      </c>
      <c r="G817" s="16">
        <v>3909.42</v>
      </c>
      <c r="H817" s="16">
        <v>58641.3</v>
      </c>
    </row>
    <row r="818" spans="1:8" ht="15" thickBot="1">
      <c r="A818" s="64">
        <v>45115</v>
      </c>
      <c r="B818" s="18" t="s">
        <v>2642</v>
      </c>
      <c r="C818" s="30" t="s">
        <v>2646</v>
      </c>
      <c r="D818" s="30" t="s">
        <v>2651</v>
      </c>
      <c r="E818" s="18" t="s">
        <v>2374</v>
      </c>
      <c r="F818" s="16">
        <v>15</v>
      </c>
      <c r="G818" s="16">
        <v>3897.39</v>
      </c>
      <c r="H818" s="16">
        <v>58460.85</v>
      </c>
    </row>
    <row r="819" spans="1:8" ht="15" thickBot="1">
      <c r="A819" s="31" t="s">
        <v>2606</v>
      </c>
      <c r="B819" s="18" t="s">
        <v>2641</v>
      </c>
      <c r="C819" s="30" t="s">
        <v>2644</v>
      </c>
      <c r="D819" s="30" t="s">
        <v>2392</v>
      </c>
      <c r="E819" s="18" t="s">
        <v>2374</v>
      </c>
      <c r="F819" s="16">
        <v>16</v>
      </c>
      <c r="G819" s="16">
        <v>3580.79</v>
      </c>
      <c r="H819" s="16">
        <v>57292.639999999999</v>
      </c>
    </row>
    <row r="820" spans="1:8" ht="15" thickBot="1">
      <c r="A820" s="31" t="s">
        <v>2515</v>
      </c>
      <c r="B820" s="18" t="s">
        <v>2641</v>
      </c>
      <c r="C820" s="30" t="s">
        <v>2644</v>
      </c>
      <c r="D820" s="30" t="s">
        <v>2393</v>
      </c>
      <c r="E820" s="18" t="s">
        <v>2374</v>
      </c>
      <c r="F820" s="16">
        <v>12</v>
      </c>
      <c r="G820" s="16">
        <v>4765.33</v>
      </c>
      <c r="H820" s="16">
        <v>57183.96</v>
      </c>
    </row>
    <row r="821" spans="1:8" ht="15" thickBot="1">
      <c r="A821" s="31" t="s">
        <v>2487</v>
      </c>
      <c r="B821" s="18" t="s">
        <v>2641</v>
      </c>
      <c r="C821" s="30" t="s">
        <v>2644</v>
      </c>
      <c r="D821" s="30" t="s">
        <v>2653</v>
      </c>
      <c r="E821" s="18" t="s">
        <v>2374</v>
      </c>
      <c r="F821" s="16">
        <v>13</v>
      </c>
      <c r="G821" s="16">
        <v>4357.0200000000004</v>
      </c>
      <c r="H821" s="16">
        <v>56641.26</v>
      </c>
    </row>
    <row r="822" spans="1:8" ht="15" thickBot="1">
      <c r="A822" s="31" t="s">
        <v>2535</v>
      </c>
      <c r="B822" s="18" t="s">
        <v>2642</v>
      </c>
      <c r="C822" s="30" t="s">
        <v>2646</v>
      </c>
      <c r="D822" s="30" t="s">
        <v>2654</v>
      </c>
      <c r="E822" s="18" t="s">
        <v>2374</v>
      </c>
      <c r="F822" s="16">
        <v>14</v>
      </c>
      <c r="G822" s="16">
        <v>4009.33</v>
      </c>
      <c r="H822" s="16">
        <v>56130.62</v>
      </c>
    </row>
    <row r="823" spans="1:8" ht="15" thickBot="1">
      <c r="A823" s="31" t="s">
        <v>2535</v>
      </c>
      <c r="B823" s="18" t="s">
        <v>2642</v>
      </c>
      <c r="C823" s="30" t="s">
        <v>2645</v>
      </c>
      <c r="D823" s="30" t="s">
        <v>2655</v>
      </c>
      <c r="E823" s="18" t="s">
        <v>2374</v>
      </c>
      <c r="F823" s="16">
        <v>18</v>
      </c>
      <c r="G823" s="16">
        <v>3102.47</v>
      </c>
      <c r="H823" s="16">
        <v>55844.46</v>
      </c>
    </row>
    <row r="824" spans="1:8" ht="15" thickBot="1">
      <c r="A824" s="64">
        <v>45111</v>
      </c>
      <c r="B824" s="18" t="s">
        <v>2642</v>
      </c>
      <c r="C824" s="30" t="s">
        <v>2646</v>
      </c>
      <c r="D824" s="30" t="s">
        <v>2651</v>
      </c>
      <c r="E824" s="18" t="s">
        <v>2374</v>
      </c>
      <c r="F824" s="16">
        <v>17</v>
      </c>
      <c r="G824" s="16">
        <v>3233.82</v>
      </c>
      <c r="H824" s="16">
        <v>54974.94</v>
      </c>
    </row>
    <row r="825" spans="1:8" ht="15" thickBot="1">
      <c r="A825" s="31" t="s">
        <v>2564</v>
      </c>
      <c r="B825" s="18" t="s">
        <v>2641</v>
      </c>
      <c r="C825" s="30" t="s">
        <v>2648</v>
      </c>
      <c r="D825" s="30" t="s">
        <v>2396</v>
      </c>
      <c r="E825" s="18" t="s">
        <v>2374</v>
      </c>
      <c r="F825" s="16">
        <v>19</v>
      </c>
      <c r="G825" s="16">
        <v>2753.24</v>
      </c>
      <c r="H825" s="16">
        <v>52311.56</v>
      </c>
    </row>
    <row r="826" spans="1:8" ht="15" thickBot="1">
      <c r="A826" s="31" t="s">
        <v>2534</v>
      </c>
      <c r="B826" s="18" t="s">
        <v>2643</v>
      </c>
      <c r="C826" s="30" t="s">
        <v>2647</v>
      </c>
      <c r="D826" s="30" t="s">
        <v>2659</v>
      </c>
      <c r="E826" s="18" t="s">
        <v>2374</v>
      </c>
      <c r="F826" s="16">
        <v>18</v>
      </c>
      <c r="G826" s="16">
        <v>2880.41</v>
      </c>
      <c r="H826" s="16">
        <v>51847.38</v>
      </c>
    </row>
    <row r="827" spans="1:8" ht="15" thickBot="1">
      <c r="A827" s="31" t="s">
        <v>2581</v>
      </c>
      <c r="B827" s="18" t="s">
        <v>2641</v>
      </c>
      <c r="C827" s="30" t="s">
        <v>2644</v>
      </c>
      <c r="D827" s="30" t="s">
        <v>2393</v>
      </c>
      <c r="E827" s="18" t="s">
        <v>2374</v>
      </c>
      <c r="F827" s="16">
        <v>10</v>
      </c>
      <c r="G827" s="16">
        <v>4995.74</v>
      </c>
      <c r="H827" s="16">
        <v>49957.4</v>
      </c>
    </row>
    <row r="828" spans="1:8" ht="15" thickBot="1">
      <c r="A828" s="64">
        <v>45028</v>
      </c>
      <c r="B828" s="18" t="s">
        <v>2641</v>
      </c>
      <c r="C828" s="30" t="s">
        <v>2648</v>
      </c>
      <c r="D828" s="30" t="s">
        <v>2656</v>
      </c>
      <c r="E828" s="18" t="s">
        <v>2374</v>
      </c>
      <c r="F828" s="16">
        <v>16</v>
      </c>
      <c r="G828" s="16">
        <v>3082.84</v>
      </c>
      <c r="H828" s="16">
        <v>49325.440000000002</v>
      </c>
    </row>
    <row r="829" spans="1:8" ht="15" thickBot="1">
      <c r="A829" s="31" t="s">
        <v>2554</v>
      </c>
      <c r="B829" s="18" t="s">
        <v>2642</v>
      </c>
      <c r="C829" s="30" t="s">
        <v>2645</v>
      </c>
      <c r="D829" s="30" t="s">
        <v>2658</v>
      </c>
      <c r="E829" s="18" t="s">
        <v>2374</v>
      </c>
      <c r="F829" s="16">
        <v>15</v>
      </c>
      <c r="G829" s="16">
        <v>3285.68</v>
      </c>
      <c r="H829" s="16">
        <v>49285.2</v>
      </c>
    </row>
    <row r="830" spans="1:8" ht="15" thickBot="1">
      <c r="A830" s="64">
        <v>45266</v>
      </c>
      <c r="B830" s="18" t="s">
        <v>2642</v>
      </c>
      <c r="C830" s="30" t="s">
        <v>2646</v>
      </c>
      <c r="D830" s="30" t="s">
        <v>2650</v>
      </c>
      <c r="E830" s="18" t="s">
        <v>2374</v>
      </c>
      <c r="F830" s="16">
        <v>13</v>
      </c>
      <c r="G830" s="16">
        <v>3551.21</v>
      </c>
      <c r="H830" s="16">
        <v>46165.73</v>
      </c>
    </row>
    <row r="831" spans="1:8" ht="15" thickBot="1">
      <c r="A831" s="31" t="s">
        <v>2443</v>
      </c>
      <c r="B831" s="18" t="s">
        <v>2642</v>
      </c>
      <c r="C831" s="30" t="s">
        <v>2645</v>
      </c>
      <c r="D831" s="30" t="s">
        <v>2655</v>
      </c>
      <c r="E831" s="18" t="s">
        <v>2374</v>
      </c>
      <c r="F831" s="16">
        <v>19</v>
      </c>
      <c r="G831" s="16">
        <v>2386.59</v>
      </c>
      <c r="H831" s="16">
        <v>45345.21</v>
      </c>
    </row>
    <row r="832" spans="1:8" ht="15" thickBot="1">
      <c r="A832" s="31" t="s">
        <v>2508</v>
      </c>
      <c r="B832" s="18" t="s">
        <v>2642</v>
      </c>
      <c r="C832" s="30" t="s">
        <v>2646</v>
      </c>
      <c r="D832" s="30" t="s">
        <v>2654</v>
      </c>
      <c r="E832" s="18" t="s">
        <v>2374</v>
      </c>
      <c r="F832" s="16">
        <v>11</v>
      </c>
      <c r="G832" s="16">
        <v>4089.16</v>
      </c>
      <c r="H832" s="16">
        <v>44980.76</v>
      </c>
    </row>
    <row r="833" spans="1:8" ht="15" thickBot="1">
      <c r="A833" s="64">
        <v>45240</v>
      </c>
      <c r="B833" s="18" t="s">
        <v>2642</v>
      </c>
      <c r="C833" s="30" t="s">
        <v>2645</v>
      </c>
      <c r="D833" s="30" t="s">
        <v>2658</v>
      </c>
      <c r="E833" s="18" t="s">
        <v>2374</v>
      </c>
      <c r="F833" s="16">
        <v>11</v>
      </c>
      <c r="G833" s="16">
        <v>4066.2</v>
      </c>
      <c r="H833" s="16">
        <v>44728.2</v>
      </c>
    </row>
    <row r="834" spans="1:8" ht="15" thickBot="1">
      <c r="A834" s="31" t="s">
        <v>2622</v>
      </c>
      <c r="B834" s="18" t="s">
        <v>2643</v>
      </c>
      <c r="C834" s="30" t="s">
        <v>2647</v>
      </c>
      <c r="D834" s="30" t="s">
        <v>2659</v>
      </c>
      <c r="E834" s="18" t="s">
        <v>2374</v>
      </c>
      <c r="F834" s="16">
        <v>13</v>
      </c>
      <c r="G834" s="16">
        <v>3423.36</v>
      </c>
      <c r="H834" s="16">
        <v>44503.68</v>
      </c>
    </row>
    <row r="835" spans="1:8" ht="15" thickBot="1">
      <c r="A835" s="31" t="s">
        <v>2437</v>
      </c>
      <c r="B835" s="18" t="s">
        <v>2642</v>
      </c>
      <c r="C835" s="30" t="s">
        <v>2645</v>
      </c>
      <c r="D835" s="30" t="s">
        <v>2655</v>
      </c>
      <c r="E835" s="18" t="s">
        <v>2374</v>
      </c>
      <c r="F835" s="16">
        <v>12</v>
      </c>
      <c r="G835" s="16">
        <v>3703.31</v>
      </c>
      <c r="H835" s="16">
        <v>44439.72</v>
      </c>
    </row>
    <row r="836" spans="1:8" ht="15" thickBot="1">
      <c r="A836" s="31" t="s">
        <v>2611</v>
      </c>
      <c r="B836" s="18" t="s">
        <v>2641</v>
      </c>
      <c r="C836" s="30" t="s">
        <v>2648</v>
      </c>
      <c r="D836" s="30" t="s">
        <v>2656</v>
      </c>
      <c r="E836" s="18" t="s">
        <v>2374</v>
      </c>
      <c r="F836" s="16">
        <v>16</v>
      </c>
      <c r="G836" s="16">
        <v>2747.36</v>
      </c>
      <c r="H836" s="16">
        <v>43957.760000000002</v>
      </c>
    </row>
    <row r="837" spans="1:8" ht="15" thickBot="1">
      <c r="A837" s="31" t="s">
        <v>2558</v>
      </c>
      <c r="B837" s="18" t="s">
        <v>2642</v>
      </c>
      <c r="C837" s="30" t="s">
        <v>2645</v>
      </c>
      <c r="D837" s="30" t="s">
        <v>2658</v>
      </c>
      <c r="E837" s="18" t="s">
        <v>2374</v>
      </c>
      <c r="F837" s="16">
        <v>15</v>
      </c>
      <c r="G837" s="16">
        <v>2920.62</v>
      </c>
      <c r="H837" s="16">
        <v>43809.3</v>
      </c>
    </row>
    <row r="838" spans="1:8" ht="15" thickBot="1">
      <c r="A838" s="31" t="s">
        <v>2498</v>
      </c>
      <c r="B838" s="18" t="s">
        <v>2641</v>
      </c>
      <c r="C838" s="30" t="s">
        <v>2648</v>
      </c>
      <c r="D838" s="30" t="s">
        <v>2656</v>
      </c>
      <c r="E838" s="18" t="s">
        <v>2374</v>
      </c>
      <c r="F838" s="16">
        <v>12</v>
      </c>
      <c r="G838" s="16">
        <v>3650.3</v>
      </c>
      <c r="H838" s="16">
        <v>43803.6</v>
      </c>
    </row>
    <row r="839" spans="1:8" ht="15" thickBot="1">
      <c r="A839" s="64">
        <v>44927</v>
      </c>
      <c r="B839" s="18" t="s">
        <v>2641</v>
      </c>
      <c r="C839" s="30" t="s">
        <v>2644</v>
      </c>
      <c r="D839" s="30" t="s">
        <v>2392</v>
      </c>
      <c r="E839" s="18" t="s">
        <v>2374</v>
      </c>
      <c r="F839" s="16">
        <v>9</v>
      </c>
      <c r="G839" s="16">
        <v>4858.75</v>
      </c>
      <c r="H839" s="16">
        <v>43728.75</v>
      </c>
    </row>
    <row r="840" spans="1:8" ht="15" thickBot="1">
      <c r="A840" s="64">
        <v>44967</v>
      </c>
      <c r="B840" s="18" t="s">
        <v>2642</v>
      </c>
      <c r="C840" s="30" t="s">
        <v>2645</v>
      </c>
      <c r="D840" s="30" t="s">
        <v>2655</v>
      </c>
      <c r="E840" s="18" t="s">
        <v>2374</v>
      </c>
      <c r="F840" s="16">
        <v>9</v>
      </c>
      <c r="G840" s="16">
        <v>4781.72</v>
      </c>
      <c r="H840" s="16">
        <v>43035.48</v>
      </c>
    </row>
    <row r="841" spans="1:8" ht="15" thickBot="1">
      <c r="A841" s="31" t="s">
        <v>2450</v>
      </c>
      <c r="B841" s="18" t="s">
        <v>2642</v>
      </c>
      <c r="C841" s="30" t="s">
        <v>2646</v>
      </c>
      <c r="D841" s="30" t="s">
        <v>2650</v>
      </c>
      <c r="E841" s="18" t="s">
        <v>2374</v>
      </c>
      <c r="F841" s="16">
        <v>16</v>
      </c>
      <c r="G841" s="16">
        <v>2682.3</v>
      </c>
      <c r="H841" s="16">
        <v>42916.800000000003</v>
      </c>
    </row>
    <row r="842" spans="1:8" ht="15" thickBot="1">
      <c r="A842" s="64">
        <v>44996</v>
      </c>
      <c r="B842" s="18" t="s">
        <v>2641</v>
      </c>
      <c r="C842" s="30" t="s">
        <v>2644</v>
      </c>
      <c r="D842" s="30" t="s">
        <v>2392</v>
      </c>
      <c r="E842" s="18" t="s">
        <v>2374</v>
      </c>
      <c r="F842" s="16">
        <v>16</v>
      </c>
      <c r="G842" s="16">
        <v>2563.69</v>
      </c>
      <c r="H842" s="16">
        <v>41019.040000000001</v>
      </c>
    </row>
    <row r="843" spans="1:8" ht="15" thickBot="1">
      <c r="A843" s="31" t="s">
        <v>2522</v>
      </c>
      <c r="B843" s="18" t="s">
        <v>2641</v>
      </c>
      <c r="C843" s="30" t="s">
        <v>2644</v>
      </c>
      <c r="D843" s="30" t="s">
        <v>2653</v>
      </c>
      <c r="E843" s="18" t="s">
        <v>2374</v>
      </c>
      <c r="F843" s="16">
        <v>15</v>
      </c>
      <c r="G843" s="16">
        <v>2706.66</v>
      </c>
      <c r="H843" s="16">
        <v>40599.9</v>
      </c>
    </row>
    <row r="844" spans="1:8" ht="15" thickBot="1">
      <c r="A844" s="64">
        <v>45028</v>
      </c>
      <c r="B844" s="18" t="s">
        <v>2642</v>
      </c>
      <c r="C844" s="30" t="s">
        <v>2645</v>
      </c>
      <c r="D844" s="30" t="s">
        <v>2649</v>
      </c>
      <c r="E844" s="18" t="s">
        <v>2374</v>
      </c>
      <c r="F844" s="16">
        <v>10</v>
      </c>
      <c r="G844" s="16">
        <v>3964.05</v>
      </c>
      <c r="H844" s="16">
        <v>39640.5</v>
      </c>
    </row>
    <row r="845" spans="1:8" ht="15" thickBot="1">
      <c r="A845" s="64">
        <v>45145</v>
      </c>
      <c r="B845" s="18" t="s">
        <v>2642</v>
      </c>
      <c r="C845" s="30" t="s">
        <v>2645</v>
      </c>
      <c r="D845" s="30" t="s">
        <v>2649</v>
      </c>
      <c r="E845" s="18" t="s">
        <v>2374</v>
      </c>
      <c r="F845" s="16">
        <v>17</v>
      </c>
      <c r="G845" s="16">
        <v>2316.09</v>
      </c>
      <c r="H845" s="16">
        <v>39373.53</v>
      </c>
    </row>
    <row r="846" spans="1:8" ht="15" thickBot="1">
      <c r="A846" s="31" t="s">
        <v>2568</v>
      </c>
      <c r="B846" s="18" t="s">
        <v>2642</v>
      </c>
      <c r="C846" s="30" t="s">
        <v>2645</v>
      </c>
      <c r="D846" s="30" t="s">
        <v>2655</v>
      </c>
      <c r="E846" s="18" t="s">
        <v>2374</v>
      </c>
      <c r="F846" s="16">
        <v>14</v>
      </c>
      <c r="G846" s="16">
        <v>2746.27</v>
      </c>
      <c r="H846" s="16">
        <v>38447.78</v>
      </c>
    </row>
    <row r="847" spans="1:8" ht="15" thickBot="1">
      <c r="A847" s="31" t="s">
        <v>2581</v>
      </c>
      <c r="B847" s="18" t="s">
        <v>2641</v>
      </c>
      <c r="C847" s="30" t="s">
        <v>2644</v>
      </c>
      <c r="D847" s="30" t="s">
        <v>2393</v>
      </c>
      <c r="E847" s="18" t="s">
        <v>2374</v>
      </c>
      <c r="F847" s="16">
        <v>10</v>
      </c>
      <c r="G847" s="16">
        <v>3806.67</v>
      </c>
      <c r="H847" s="16">
        <v>38066.699999999997</v>
      </c>
    </row>
    <row r="848" spans="1:8" ht="15" thickBot="1">
      <c r="A848" s="31" t="s">
        <v>2508</v>
      </c>
      <c r="B848" s="18" t="s">
        <v>2641</v>
      </c>
      <c r="C848" s="30" t="s">
        <v>2644</v>
      </c>
      <c r="D848" s="30" t="s">
        <v>2653</v>
      </c>
      <c r="E848" s="18" t="s">
        <v>2374</v>
      </c>
      <c r="F848" s="16">
        <v>12</v>
      </c>
      <c r="G848" s="16">
        <v>3028.88</v>
      </c>
      <c r="H848" s="16">
        <v>36346.559999999998</v>
      </c>
    </row>
    <row r="849" spans="1:8" ht="15" thickBot="1">
      <c r="A849" s="31" t="s">
        <v>2534</v>
      </c>
      <c r="B849" s="18" t="s">
        <v>2642</v>
      </c>
      <c r="C849" s="30" t="s">
        <v>2645</v>
      </c>
      <c r="D849" s="30" t="s">
        <v>2649</v>
      </c>
      <c r="E849" s="18" t="s">
        <v>2374</v>
      </c>
      <c r="F849" s="16">
        <v>8</v>
      </c>
      <c r="G849" s="16">
        <v>4516.82</v>
      </c>
      <c r="H849" s="16">
        <v>36134.559999999998</v>
      </c>
    </row>
    <row r="850" spans="1:8" ht="15" thickBot="1">
      <c r="A850" s="64">
        <v>44992</v>
      </c>
      <c r="B850" s="18" t="s">
        <v>2642</v>
      </c>
      <c r="C850" s="30" t="s">
        <v>2645</v>
      </c>
      <c r="D850" s="30" t="s">
        <v>2649</v>
      </c>
      <c r="E850" s="18" t="s">
        <v>2374</v>
      </c>
      <c r="F850" s="16">
        <v>18</v>
      </c>
      <c r="G850" s="16">
        <v>1968.87</v>
      </c>
      <c r="H850" s="16">
        <v>35439.660000000003</v>
      </c>
    </row>
    <row r="851" spans="1:8" ht="15" thickBot="1">
      <c r="A851" s="31" t="s">
        <v>2470</v>
      </c>
      <c r="B851" s="18" t="s">
        <v>2641</v>
      </c>
      <c r="C851" s="30" t="s">
        <v>2644</v>
      </c>
      <c r="D851" s="30" t="s">
        <v>2392</v>
      </c>
      <c r="E851" s="18" t="s">
        <v>2374</v>
      </c>
      <c r="F851" s="16">
        <v>15</v>
      </c>
      <c r="G851" s="16">
        <v>2330.62</v>
      </c>
      <c r="H851" s="16">
        <v>34959.300000000003</v>
      </c>
    </row>
    <row r="852" spans="1:8" ht="15" thickBot="1">
      <c r="A852" s="31" t="s">
        <v>2530</v>
      </c>
      <c r="B852" s="18" t="s">
        <v>2643</v>
      </c>
      <c r="C852" s="30" t="s">
        <v>2647</v>
      </c>
      <c r="D852" s="30" t="s">
        <v>2659</v>
      </c>
      <c r="E852" s="18" t="s">
        <v>2374</v>
      </c>
      <c r="F852" s="16">
        <v>8</v>
      </c>
      <c r="G852" s="16">
        <v>4334.41</v>
      </c>
      <c r="H852" s="16">
        <v>34675.279999999999</v>
      </c>
    </row>
    <row r="853" spans="1:8" ht="15" thickBot="1">
      <c r="A853" s="31" t="s">
        <v>2467</v>
      </c>
      <c r="B853" s="18" t="s">
        <v>2641</v>
      </c>
      <c r="C853" s="30" t="s">
        <v>2648</v>
      </c>
      <c r="D853" s="30" t="s">
        <v>2656</v>
      </c>
      <c r="E853" s="18" t="s">
        <v>2374</v>
      </c>
      <c r="F853" s="16">
        <v>13</v>
      </c>
      <c r="G853" s="16">
        <v>2665.15</v>
      </c>
      <c r="H853" s="16">
        <v>34646.949999999997</v>
      </c>
    </row>
    <row r="854" spans="1:8" ht="15" thickBot="1">
      <c r="A854" s="64">
        <v>45018</v>
      </c>
      <c r="B854" s="18" t="s">
        <v>2641</v>
      </c>
      <c r="C854" s="30" t="s">
        <v>2644</v>
      </c>
      <c r="D854" s="30" t="s">
        <v>2653</v>
      </c>
      <c r="E854" s="18" t="s">
        <v>2374</v>
      </c>
      <c r="F854" s="16">
        <v>8</v>
      </c>
      <c r="G854" s="16">
        <v>4290.04</v>
      </c>
      <c r="H854" s="16">
        <v>34320.32</v>
      </c>
    </row>
    <row r="855" spans="1:8" ht="15" thickBot="1">
      <c r="A855" s="31" t="s">
        <v>2454</v>
      </c>
      <c r="B855" s="18" t="s">
        <v>2642</v>
      </c>
      <c r="C855" s="30" t="s">
        <v>2646</v>
      </c>
      <c r="D855" s="30" t="s">
        <v>2650</v>
      </c>
      <c r="E855" s="18" t="s">
        <v>2374</v>
      </c>
      <c r="F855" s="16">
        <v>12</v>
      </c>
      <c r="G855" s="16">
        <v>2821.2</v>
      </c>
      <c r="H855" s="16">
        <v>33854.400000000001</v>
      </c>
    </row>
    <row r="856" spans="1:8" ht="15" thickBot="1">
      <c r="A856" s="31" t="s">
        <v>2569</v>
      </c>
      <c r="B856" s="18" t="s">
        <v>2641</v>
      </c>
      <c r="C856" s="30" t="s">
        <v>2648</v>
      </c>
      <c r="D856" s="30" t="s">
        <v>2396</v>
      </c>
      <c r="E856" s="18" t="s">
        <v>2374</v>
      </c>
      <c r="F856" s="16">
        <v>11</v>
      </c>
      <c r="G856" s="16">
        <v>3072.59</v>
      </c>
      <c r="H856" s="16">
        <v>33798.49</v>
      </c>
    </row>
    <row r="857" spans="1:8" ht="15" thickBot="1">
      <c r="A857" s="31" t="s">
        <v>2435</v>
      </c>
      <c r="B857" s="18" t="s">
        <v>2643</v>
      </c>
      <c r="C857" s="30" t="s">
        <v>2647</v>
      </c>
      <c r="D857" s="30" t="s">
        <v>2652</v>
      </c>
      <c r="E857" s="18" t="s">
        <v>2374</v>
      </c>
      <c r="F857" s="16">
        <v>7</v>
      </c>
      <c r="G857" s="16">
        <v>4813.28</v>
      </c>
      <c r="H857" s="16">
        <v>33692.959999999999</v>
      </c>
    </row>
    <row r="858" spans="1:8" ht="15" thickBot="1">
      <c r="A858" s="64">
        <v>45108</v>
      </c>
      <c r="B858" s="18" t="s">
        <v>2642</v>
      </c>
      <c r="C858" s="30" t="s">
        <v>2645</v>
      </c>
      <c r="D858" s="30" t="s">
        <v>2649</v>
      </c>
      <c r="E858" s="18" t="s">
        <v>2374</v>
      </c>
      <c r="F858" s="16">
        <v>8</v>
      </c>
      <c r="G858" s="16">
        <v>4201.6899999999996</v>
      </c>
      <c r="H858" s="16">
        <v>33613.519999999997</v>
      </c>
    </row>
    <row r="859" spans="1:8" ht="15" thickBot="1">
      <c r="A859" s="31" t="s">
        <v>2549</v>
      </c>
      <c r="B859" s="18" t="s">
        <v>2642</v>
      </c>
      <c r="C859" s="30" t="s">
        <v>2646</v>
      </c>
      <c r="D859" s="30" t="s">
        <v>2651</v>
      </c>
      <c r="E859" s="18" t="s">
        <v>2374</v>
      </c>
      <c r="F859" s="16">
        <v>12</v>
      </c>
      <c r="G859" s="16">
        <v>2733.87</v>
      </c>
      <c r="H859" s="16">
        <v>32806.44</v>
      </c>
    </row>
    <row r="860" spans="1:8" ht="15" thickBot="1">
      <c r="A860" s="64">
        <v>45181</v>
      </c>
      <c r="B860" s="18" t="s">
        <v>2643</v>
      </c>
      <c r="C860" s="30" t="s">
        <v>2647</v>
      </c>
      <c r="D860" s="30" t="s">
        <v>2660</v>
      </c>
      <c r="E860" s="18" t="s">
        <v>2374</v>
      </c>
      <c r="F860" s="16">
        <v>12</v>
      </c>
      <c r="G860" s="16">
        <v>2726.43</v>
      </c>
      <c r="H860" s="16">
        <v>32717.16</v>
      </c>
    </row>
    <row r="861" spans="1:8" ht="15" thickBot="1">
      <c r="A861" s="31" t="s">
        <v>2519</v>
      </c>
      <c r="B861" s="18" t="s">
        <v>2641</v>
      </c>
      <c r="C861" s="30" t="s">
        <v>2648</v>
      </c>
      <c r="D861" s="30" t="s">
        <v>2656</v>
      </c>
      <c r="E861" s="18" t="s">
        <v>2374</v>
      </c>
      <c r="F861" s="16">
        <v>8</v>
      </c>
      <c r="G861" s="16">
        <v>4009.51</v>
      </c>
      <c r="H861" s="16">
        <v>32076.080000000002</v>
      </c>
    </row>
    <row r="862" spans="1:8" ht="15" thickBot="1">
      <c r="A862" s="31" t="s">
        <v>2531</v>
      </c>
      <c r="B862" s="18" t="s">
        <v>2643</v>
      </c>
      <c r="C862" s="30" t="s">
        <v>2647</v>
      </c>
      <c r="D862" s="30" t="s">
        <v>2652</v>
      </c>
      <c r="E862" s="18" t="s">
        <v>2374</v>
      </c>
      <c r="F862" s="16">
        <v>9</v>
      </c>
      <c r="G862" s="16">
        <v>3552.02</v>
      </c>
      <c r="H862" s="16">
        <v>31968.18</v>
      </c>
    </row>
    <row r="863" spans="1:8" ht="15" thickBot="1">
      <c r="A863" s="64">
        <v>45051</v>
      </c>
      <c r="B863" s="18" t="s">
        <v>2642</v>
      </c>
      <c r="C863" s="30" t="s">
        <v>2646</v>
      </c>
      <c r="D863" s="30" t="s">
        <v>2654</v>
      </c>
      <c r="E863" s="18" t="s">
        <v>2374</v>
      </c>
      <c r="F863" s="16">
        <v>7</v>
      </c>
      <c r="G863" s="16">
        <v>4530.8100000000004</v>
      </c>
      <c r="H863" s="16">
        <v>31715.67</v>
      </c>
    </row>
    <row r="864" spans="1:8" ht="15" thickBot="1">
      <c r="A864" s="64">
        <v>45170</v>
      </c>
      <c r="B864" s="18" t="s">
        <v>2641</v>
      </c>
      <c r="C864" s="30" t="s">
        <v>2648</v>
      </c>
      <c r="D864" s="30" t="s">
        <v>2656</v>
      </c>
      <c r="E864" s="18" t="s">
        <v>2374</v>
      </c>
      <c r="F864" s="16">
        <v>7</v>
      </c>
      <c r="G864" s="16">
        <v>4508.28</v>
      </c>
      <c r="H864" s="16">
        <v>31557.96</v>
      </c>
    </row>
    <row r="865" spans="1:8" ht="15" thickBot="1">
      <c r="A865" s="31" t="s">
        <v>2512</v>
      </c>
      <c r="B865" s="18" t="s">
        <v>2642</v>
      </c>
      <c r="C865" s="30" t="s">
        <v>2645</v>
      </c>
      <c r="D865" s="30" t="s">
        <v>2655</v>
      </c>
      <c r="E865" s="18" t="s">
        <v>2374</v>
      </c>
      <c r="F865" s="16">
        <v>15</v>
      </c>
      <c r="G865" s="16">
        <v>2081.27</v>
      </c>
      <c r="H865" s="16">
        <v>31219.05</v>
      </c>
    </row>
    <row r="866" spans="1:8" ht="15" thickBot="1">
      <c r="A866" s="31" t="s">
        <v>2577</v>
      </c>
      <c r="B866" s="18" t="s">
        <v>2641</v>
      </c>
      <c r="C866" s="30" t="s">
        <v>2644</v>
      </c>
      <c r="D866" s="30" t="s">
        <v>2393</v>
      </c>
      <c r="E866" s="18" t="s">
        <v>2374</v>
      </c>
      <c r="F866" s="16">
        <v>20</v>
      </c>
      <c r="G866" s="16">
        <v>1536.73</v>
      </c>
      <c r="H866" s="16">
        <v>30734.6</v>
      </c>
    </row>
    <row r="867" spans="1:8" ht="15" thickBot="1">
      <c r="A867" s="31" t="s">
        <v>2569</v>
      </c>
      <c r="B867" s="18" t="s">
        <v>2641</v>
      </c>
      <c r="C867" s="30" t="s">
        <v>2648</v>
      </c>
      <c r="D867" s="30" t="s">
        <v>2656</v>
      </c>
      <c r="E867" s="18" t="s">
        <v>2374</v>
      </c>
      <c r="F867" s="16">
        <v>17</v>
      </c>
      <c r="G867" s="16">
        <v>1793.43</v>
      </c>
      <c r="H867" s="16">
        <v>30488.31</v>
      </c>
    </row>
    <row r="868" spans="1:8" ht="15" thickBot="1">
      <c r="A868" s="64">
        <v>44928</v>
      </c>
      <c r="B868" s="18" t="s">
        <v>2642</v>
      </c>
      <c r="C868" s="30" t="s">
        <v>2645</v>
      </c>
      <c r="D868" s="30" t="s">
        <v>2655</v>
      </c>
      <c r="E868" s="18" t="s">
        <v>2374</v>
      </c>
      <c r="F868" s="16">
        <v>20</v>
      </c>
      <c r="G868" s="16">
        <v>1514.3</v>
      </c>
      <c r="H868" s="16">
        <v>30286</v>
      </c>
    </row>
    <row r="869" spans="1:8" ht="15" thickBot="1">
      <c r="A869" s="31" t="s">
        <v>2600</v>
      </c>
      <c r="B869" s="18" t="s">
        <v>2643</v>
      </c>
      <c r="C869" s="30" t="s">
        <v>2647</v>
      </c>
      <c r="D869" s="30" t="s">
        <v>2659</v>
      </c>
      <c r="E869" s="18" t="s">
        <v>2374</v>
      </c>
      <c r="F869" s="16">
        <v>13</v>
      </c>
      <c r="G869" s="16">
        <v>2327.81</v>
      </c>
      <c r="H869" s="16">
        <v>30261.53</v>
      </c>
    </row>
    <row r="870" spans="1:8" ht="15" thickBot="1">
      <c r="A870" s="31" t="s">
        <v>2467</v>
      </c>
      <c r="B870" s="18" t="s">
        <v>2642</v>
      </c>
      <c r="C870" s="30" t="s">
        <v>2645</v>
      </c>
      <c r="D870" s="30" t="s">
        <v>2655</v>
      </c>
      <c r="E870" s="18" t="s">
        <v>2374</v>
      </c>
      <c r="F870" s="16">
        <v>17</v>
      </c>
      <c r="G870" s="16">
        <v>1777.42</v>
      </c>
      <c r="H870" s="16">
        <v>30216.14</v>
      </c>
    </row>
    <row r="871" spans="1:8" ht="15" thickBot="1">
      <c r="A871" s="31" t="s">
        <v>2449</v>
      </c>
      <c r="B871" s="18" t="s">
        <v>2641</v>
      </c>
      <c r="C871" s="30" t="s">
        <v>2644</v>
      </c>
      <c r="D871" s="30" t="s">
        <v>2653</v>
      </c>
      <c r="E871" s="18" t="s">
        <v>2374</v>
      </c>
      <c r="F871" s="16">
        <v>9</v>
      </c>
      <c r="G871" s="16">
        <v>3318.1</v>
      </c>
      <c r="H871" s="16">
        <v>29862.9</v>
      </c>
    </row>
    <row r="872" spans="1:8" ht="15" thickBot="1">
      <c r="A872" s="64">
        <v>44967</v>
      </c>
      <c r="B872" s="18" t="s">
        <v>2642</v>
      </c>
      <c r="C872" s="30" t="s">
        <v>2645</v>
      </c>
      <c r="D872" s="30" t="s">
        <v>2649</v>
      </c>
      <c r="E872" s="18" t="s">
        <v>2374</v>
      </c>
      <c r="F872" s="16">
        <v>19</v>
      </c>
      <c r="G872" s="16">
        <v>1564.94</v>
      </c>
      <c r="H872" s="16">
        <v>29733.86</v>
      </c>
    </row>
    <row r="873" spans="1:8" ht="15" thickBot="1">
      <c r="A873" s="31" t="s">
        <v>2433</v>
      </c>
      <c r="B873" s="18" t="s">
        <v>2643</v>
      </c>
      <c r="C873" s="30" t="s">
        <v>2647</v>
      </c>
      <c r="D873" s="30" t="s">
        <v>2659</v>
      </c>
      <c r="E873" s="18" t="s">
        <v>2374</v>
      </c>
      <c r="F873" s="16">
        <v>7</v>
      </c>
      <c r="G873" s="16">
        <v>4243.95</v>
      </c>
      <c r="H873" s="16">
        <v>29707.65</v>
      </c>
    </row>
    <row r="874" spans="1:8" ht="15" thickBot="1">
      <c r="A874" s="31" t="s">
        <v>2535</v>
      </c>
      <c r="B874" s="18" t="s">
        <v>2641</v>
      </c>
      <c r="C874" s="30" t="s">
        <v>2648</v>
      </c>
      <c r="D874" s="30" t="s">
        <v>2657</v>
      </c>
      <c r="E874" s="18" t="s">
        <v>2374</v>
      </c>
      <c r="F874" s="16">
        <v>9</v>
      </c>
      <c r="G874" s="16">
        <v>3276.04</v>
      </c>
      <c r="H874" s="16">
        <v>29484.36</v>
      </c>
    </row>
    <row r="875" spans="1:8" ht="15" thickBot="1">
      <c r="A875" s="31" t="s">
        <v>2462</v>
      </c>
      <c r="B875" s="18" t="s">
        <v>2642</v>
      </c>
      <c r="C875" s="30" t="s">
        <v>2645</v>
      </c>
      <c r="D875" s="30" t="s">
        <v>2658</v>
      </c>
      <c r="E875" s="18" t="s">
        <v>2374</v>
      </c>
      <c r="F875" s="16">
        <v>7</v>
      </c>
      <c r="G875" s="16">
        <v>4083.1</v>
      </c>
      <c r="H875" s="16">
        <v>28581.7</v>
      </c>
    </row>
    <row r="876" spans="1:8" ht="15" thickBot="1">
      <c r="A876" s="64">
        <v>45078</v>
      </c>
      <c r="B876" s="18" t="s">
        <v>2643</v>
      </c>
      <c r="C876" s="30" t="s">
        <v>2647</v>
      </c>
      <c r="D876" s="30" t="s">
        <v>2660</v>
      </c>
      <c r="E876" s="18" t="s">
        <v>2374</v>
      </c>
      <c r="F876" s="16">
        <v>6</v>
      </c>
      <c r="G876" s="16">
        <v>4673.01</v>
      </c>
      <c r="H876" s="16">
        <v>28038.06</v>
      </c>
    </row>
    <row r="877" spans="1:8" ht="15" thickBot="1">
      <c r="A877" s="31" t="s">
        <v>2564</v>
      </c>
      <c r="B877" s="18" t="s">
        <v>2642</v>
      </c>
      <c r="C877" s="30" t="s">
        <v>2646</v>
      </c>
      <c r="D877" s="30" t="s">
        <v>2651</v>
      </c>
      <c r="E877" s="18" t="s">
        <v>2374</v>
      </c>
      <c r="F877" s="16">
        <v>14</v>
      </c>
      <c r="G877" s="16">
        <v>1972.22</v>
      </c>
      <c r="H877" s="16">
        <v>27611.08</v>
      </c>
    </row>
    <row r="878" spans="1:8" ht="15" thickBot="1">
      <c r="A878" s="64">
        <v>45141</v>
      </c>
      <c r="B878" s="18" t="s">
        <v>2643</v>
      </c>
      <c r="C878" s="30" t="s">
        <v>2647</v>
      </c>
      <c r="D878" s="30" t="s">
        <v>2652</v>
      </c>
      <c r="E878" s="18" t="s">
        <v>2374</v>
      </c>
      <c r="F878" s="16">
        <v>19</v>
      </c>
      <c r="G878" s="16">
        <v>1414.78</v>
      </c>
      <c r="H878" s="16">
        <v>26880.82</v>
      </c>
    </row>
    <row r="879" spans="1:8" ht="15" thickBot="1">
      <c r="A879" s="31" t="s">
        <v>2480</v>
      </c>
      <c r="B879" s="18" t="s">
        <v>2642</v>
      </c>
      <c r="C879" s="30" t="s">
        <v>2646</v>
      </c>
      <c r="D879" s="30" t="s">
        <v>2654</v>
      </c>
      <c r="E879" s="18" t="s">
        <v>2374</v>
      </c>
      <c r="F879" s="16">
        <v>11</v>
      </c>
      <c r="G879" s="16">
        <v>2426.48</v>
      </c>
      <c r="H879" s="16">
        <v>26691.279999999999</v>
      </c>
    </row>
    <row r="880" spans="1:8" ht="15" thickBot="1">
      <c r="A880" s="31" t="s">
        <v>2453</v>
      </c>
      <c r="B880" s="18" t="s">
        <v>2641</v>
      </c>
      <c r="C880" s="30" t="s">
        <v>2648</v>
      </c>
      <c r="D880" s="30" t="s">
        <v>2657</v>
      </c>
      <c r="E880" s="18" t="s">
        <v>2374</v>
      </c>
      <c r="F880" s="16">
        <v>12</v>
      </c>
      <c r="G880" s="16">
        <v>2208.4899999999998</v>
      </c>
      <c r="H880" s="16">
        <v>26501.88</v>
      </c>
    </row>
    <row r="881" spans="1:8" ht="15" thickBot="1">
      <c r="A881" s="31" t="s">
        <v>2440</v>
      </c>
      <c r="B881" s="18" t="s">
        <v>2643</v>
      </c>
      <c r="C881" s="30" t="s">
        <v>2647</v>
      </c>
      <c r="D881" s="30" t="s">
        <v>2652</v>
      </c>
      <c r="E881" s="18" t="s">
        <v>2374</v>
      </c>
      <c r="F881" s="16">
        <v>13</v>
      </c>
      <c r="G881" s="16">
        <v>1965.63</v>
      </c>
      <c r="H881" s="16">
        <v>25553.19</v>
      </c>
    </row>
    <row r="882" spans="1:8" ht="15" thickBot="1">
      <c r="A882" s="64">
        <v>45089</v>
      </c>
      <c r="B882" s="18" t="s">
        <v>2642</v>
      </c>
      <c r="C882" s="30" t="s">
        <v>2646</v>
      </c>
      <c r="D882" s="30" t="s">
        <v>2654</v>
      </c>
      <c r="E882" s="18" t="s">
        <v>2374</v>
      </c>
      <c r="F882" s="16">
        <v>5</v>
      </c>
      <c r="G882" s="16">
        <v>4987.84</v>
      </c>
      <c r="H882" s="16">
        <v>24939.200000000001</v>
      </c>
    </row>
    <row r="883" spans="1:8" ht="15" thickBot="1">
      <c r="A883" s="31" t="s">
        <v>2445</v>
      </c>
      <c r="B883" s="18" t="s">
        <v>2641</v>
      </c>
      <c r="C883" s="30" t="s">
        <v>2644</v>
      </c>
      <c r="D883" s="30" t="s">
        <v>2392</v>
      </c>
      <c r="E883" s="18" t="s">
        <v>2374</v>
      </c>
      <c r="F883" s="16">
        <v>5</v>
      </c>
      <c r="G883" s="16">
        <v>4987.7</v>
      </c>
      <c r="H883" s="16">
        <v>24938.5</v>
      </c>
    </row>
    <row r="884" spans="1:8" ht="15" thickBot="1">
      <c r="A884" s="31" t="s">
        <v>2536</v>
      </c>
      <c r="B884" s="18" t="s">
        <v>2641</v>
      </c>
      <c r="C884" s="30" t="s">
        <v>2648</v>
      </c>
      <c r="D884" s="30" t="s">
        <v>2656</v>
      </c>
      <c r="E884" s="18" t="s">
        <v>2374</v>
      </c>
      <c r="F884" s="16">
        <v>9</v>
      </c>
      <c r="G884" s="16">
        <v>2677.7</v>
      </c>
      <c r="H884" s="16">
        <v>24099.3</v>
      </c>
    </row>
    <row r="885" spans="1:8" ht="15" thickBot="1">
      <c r="A885" s="31" t="s">
        <v>2436</v>
      </c>
      <c r="B885" s="18" t="s">
        <v>2641</v>
      </c>
      <c r="C885" s="30" t="s">
        <v>2648</v>
      </c>
      <c r="D885" s="30" t="s">
        <v>2396</v>
      </c>
      <c r="E885" s="18" t="s">
        <v>2374</v>
      </c>
      <c r="F885" s="16">
        <v>14</v>
      </c>
      <c r="G885" s="16">
        <v>1720</v>
      </c>
      <c r="H885" s="16">
        <v>24080</v>
      </c>
    </row>
    <row r="886" spans="1:8" ht="15" thickBot="1">
      <c r="A886" s="31" t="s">
        <v>2586</v>
      </c>
      <c r="B886" s="18" t="s">
        <v>2642</v>
      </c>
      <c r="C886" s="30" t="s">
        <v>2646</v>
      </c>
      <c r="D886" s="30" t="s">
        <v>2651</v>
      </c>
      <c r="E886" s="18" t="s">
        <v>2374</v>
      </c>
      <c r="F886" s="16">
        <v>16</v>
      </c>
      <c r="G886" s="16">
        <v>1480.7</v>
      </c>
      <c r="H886" s="16">
        <v>23691.200000000001</v>
      </c>
    </row>
    <row r="887" spans="1:8" ht="15" thickBot="1">
      <c r="A887" s="64">
        <v>44994</v>
      </c>
      <c r="B887" s="18" t="s">
        <v>2643</v>
      </c>
      <c r="C887" s="30" t="s">
        <v>2647</v>
      </c>
      <c r="D887" s="30" t="s">
        <v>2652</v>
      </c>
      <c r="E887" s="18" t="s">
        <v>2374</v>
      </c>
      <c r="F887" s="16">
        <v>12</v>
      </c>
      <c r="G887" s="16">
        <v>1973.14</v>
      </c>
      <c r="H887" s="16">
        <v>23677.68</v>
      </c>
    </row>
    <row r="888" spans="1:8" ht="15" thickBot="1">
      <c r="A888" s="64">
        <v>44992</v>
      </c>
      <c r="B888" s="18" t="s">
        <v>2641</v>
      </c>
      <c r="C888" s="30" t="s">
        <v>2644</v>
      </c>
      <c r="D888" s="30" t="s">
        <v>2393</v>
      </c>
      <c r="E888" s="18" t="s">
        <v>2374</v>
      </c>
      <c r="F888" s="16">
        <v>5</v>
      </c>
      <c r="G888" s="16">
        <v>4716.38</v>
      </c>
      <c r="H888" s="16">
        <v>23581.9</v>
      </c>
    </row>
    <row r="889" spans="1:8" ht="15" thickBot="1">
      <c r="A889" s="31" t="s">
        <v>2470</v>
      </c>
      <c r="B889" s="18" t="s">
        <v>2642</v>
      </c>
      <c r="C889" s="30" t="s">
        <v>2646</v>
      </c>
      <c r="D889" s="30" t="s">
        <v>2650</v>
      </c>
      <c r="E889" s="18" t="s">
        <v>2374</v>
      </c>
      <c r="F889" s="16">
        <v>5</v>
      </c>
      <c r="G889" s="16">
        <v>4619.16</v>
      </c>
      <c r="H889" s="16">
        <v>23095.8</v>
      </c>
    </row>
    <row r="890" spans="1:8" ht="15" thickBot="1">
      <c r="A890" s="31" t="s">
        <v>2502</v>
      </c>
      <c r="B890" s="18" t="s">
        <v>2641</v>
      </c>
      <c r="C890" s="30" t="s">
        <v>2648</v>
      </c>
      <c r="D890" s="30" t="s">
        <v>2396</v>
      </c>
      <c r="E890" s="18" t="s">
        <v>2374</v>
      </c>
      <c r="F890" s="16">
        <v>13</v>
      </c>
      <c r="G890" s="16">
        <v>1767.86</v>
      </c>
      <c r="H890" s="16">
        <v>22982.18</v>
      </c>
    </row>
    <row r="891" spans="1:8" ht="15" thickBot="1">
      <c r="A891" s="31" t="s">
        <v>2457</v>
      </c>
      <c r="B891" s="18" t="s">
        <v>2641</v>
      </c>
      <c r="C891" s="30" t="s">
        <v>2644</v>
      </c>
      <c r="D891" s="30" t="s">
        <v>2392</v>
      </c>
      <c r="E891" s="18" t="s">
        <v>2374</v>
      </c>
      <c r="F891" s="16">
        <v>7</v>
      </c>
      <c r="G891" s="16">
        <v>3163.37</v>
      </c>
      <c r="H891" s="16">
        <v>22143.59</v>
      </c>
    </row>
    <row r="892" spans="1:8" ht="15" thickBot="1">
      <c r="A892" s="64">
        <v>45202</v>
      </c>
      <c r="B892" s="18" t="s">
        <v>2642</v>
      </c>
      <c r="C892" s="30" t="s">
        <v>2645</v>
      </c>
      <c r="D892" s="30" t="s">
        <v>2658</v>
      </c>
      <c r="E892" s="18" t="s">
        <v>2374</v>
      </c>
      <c r="F892" s="16">
        <v>5</v>
      </c>
      <c r="G892" s="16">
        <v>4300.7</v>
      </c>
      <c r="H892" s="16">
        <v>21503.5</v>
      </c>
    </row>
    <row r="893" spans="1:8" ht="15" thickBot="1">
      <c r="A893" s="64">
        <v>45234</v>
      </c>
      <c r="B893" s="18" t="s">
        <v>2641</v>
      </c>
      <c r="C893" s="30" t="s">
        <v>2644</v>
      </c>
      <c r="D893" s="30" t="s">
        <v>2392</v>
      </c>
      <c r="E893" s="18" t="s">
        <v>2374</v>
      </c>
      <c r="F893" s="16">
        <v>9</v>
      </c>
      <c r="G893" s="16">
        <v>2376.12</v>
      </c>
      <c r="H893" s="16">
        <v>21385.08</v>
      </c>
    </row>
    <row r="894" spans="1:8" ht="15" thickBot="1">
      <c r="A894" s="31" t="s">
        <v>2625</v>
      </c>
      <c r="B894" s="18" t="s">
        <v>2642</v>
      </c>
      <c r="C894" s="30" t="s">
        <v>2646</v>
      </c>
      <c r="D894" s="30" t="s">
        <v>2651</v>
      </c>
      <c r="E894" s="18" t="s">
        <v>2374</v>
      </c>
      <c r="F894" s="16">
        <v>14</v>
      </c>
      <c r="G894" s="16">
        <v>1487.12</v>
      </c>
      <c r="H894" s="16">
        <v>20819.68</v>
      </c>
    </row>
    <row r="895" spans="1:8" ht="15" thickBot="1">
      <c r="A895" s="31" t="s">
        <v>2600</v>
      </c>
      <c r="B895" s="18" t="s">
        <v>2642</v>
      </c>
      <c r="C895" s="30" t="s">
        <v>2645</v>
      </c>
      <c r="D895" s="30" t="s">
        <v>2649</v>
      </c>
      <c r="E895" s="18" t="s">
        <v>2374</v>
      </c>
      <c r="F895" s="16">
        <v>18</v>
      </c>
      <c r="G895" s="16">
        <v>1156.17</v>
      </c>
      <c r="H895" s="16">
        <v>20811.060000000001</v>
      </c>
    </row>
    <row r="896" spans="1:8" ht="15" thickBot="1">
      <c r="A896" s="31" t="s">
        <v>2548</v>
      </c>
      <c r="B896" s="18" t="s">
        <v>2643</v>
      </c>
      <c r="C896" s="30" t="s">
        <v>2647</v>
      </c>
      <c r="D896" s="30" t="s">
        <v>2659</v>
      </c>
      <c r="E896" s="18" t="s">
        <v>2374</v>
      </c>
      <c r="F896" s="16">
        <v>19</v>
      </c>
      <c r="G896" s="16">
        <v>1093.8900000000001</v>
      </c>
      <c r="H896" s="16">
        <v>20783.91</v>
      </c>
    </row>
    <row r="897" spans="1:8" ht="15" thickBot="1">
      <c r="A897" s="31" t="s">
        <v>2589</v>
      </c>
      <c r="B897" s="18" t="s">
        <v>2642</v>
      </c>
      <c r="C897" s="30" t="s">
        <v>2645</v>
      </c>
      <c r="D897" s="30" t="s">
        <v>2649</v>
      </c>
      <c r="E897" s="18" t="s">
        <v>2374</v>
      </c>
      <c r="F897" s="16">
        <v>6</v>
      </c>
      <c r="G897" s="16">
        <v>3439.83</v>
      </c>
      <c r="H897" s="16">
        <v>20638.98</v>
      </c>
    </row>
    <row r="898" spans="1:8" ht="15" thickBot="1">
      <c r="A898" s="31" t="s">
        <v>2530</v>
      </c>
      <c r="B898" s="18" t="s">
        <v>2642</v>
      </c>
      <c r="C898" s="30" t="s">
        <v>2646</v>
      </c>
      <c r="D898" s="30" t="s">
        <v>2650</v>
      </c>
      <c r="E898" s="18" t="s">
        <v>2374</v>
      </c>
      <c r="F898" s="16">
        <v>18</v>
      </c>
      <c r="G898" s="16">
        <v>1134.8800000000001</v>
      </c>
      <c r="H898" s="16">
        <v>20427.84</v>
      </c>
    </row>
    <row r="899" spans="1:8" ht="15" thickBot="1">
      <c r="A899" s="64">
        <v>45048</v>
      </c>
      <c r="B899" s="18" t="s">
        <v>2641</v>
      </c>
      <c r="C899" s="30" t="s">
        <v>2644</v>
      </c>
      <c r="D899" s="30" t="s">
        <v>2393</v>
      </c>
      <c r="E899" s="18" t="s">
        <v>2374</v>
      </c>
      <c r="F899" s="16">
        <v>9</v>
      </c>
      <c r="G899" s="16">
        <v>2267.7199999999998</v>
      </c>
      <c r="H899" s="16">
        <v>20409.48</v>
      </c>
    </row>
    <row r="900" spans="1:8" ht="15" thickBot="1">
      <c r="A900" s="31" t="s">
        <v>2561</v>
      </c>
      <c r="B900" s="18" t="s">
        <v>2643</v>
      </c>
      <c r="C900" s="30" t="s">
        <v>2647</v>
      </c>
      <c r="D900" s="30" t="s">
        <v>2659</v>
      </c>
      <c r="E900" s="18" t="s">
        <v>2374</v>
      </c>
      <c r="F900" s="16">
        <v>10</v>
      </c>
      <c r="G900" s="16">
        <v>2027.97</v>
      </c>
      <c r="H900" s="16">
        <v>20279.7</v>
      </c>
    </row>
    <row r="901" spans="1:8" ht="15" thickBot="1">
      <c r="A901" s="64">
        <v>45085</v>
      </c>
      <c r="B901" s="18" t="s">
        <v>2641</v>
      </c>
      <c r="C901" s="30" t="s">
        <v>2644</v>
      </c>
      <c r="D901" s="30" t="s">
        <v>2392</v>
      </c>
      <c r="E901" s="18" t="s">
        <v>2374</v>
      </c>
      <c r="F901" s="16">
        <v>6</v>
      </c>
      <c r="G901" s="16">
        <v>3363.77</v>
      </c>
      <c r="H901" s="16">
        <v>20182.62</v>
      </c>
    </row>
    <row r="902" spans="1:8" ht="15" thickBot="1">
      <c r="A902" s="31" t="s">
        <v>2555</v>
      </c>
      <c r="B902" s="18" t="s">
        <v>2641</v>
      </c>
      <c r="C902" s="30" t="s">
        <v>2644</v>
      </c>
      <c r="D902" s="30" t="s">
        <v>2653</v>
      </c>
      <c r="E902" s="18" t="s">
        <v>2374</v>
      </c>
      <c r="F902" s="16">
        <v>5</v>
      </c>
      <c r="G902" s="16">
        <v>4035.07</v>
      </c>
      <c r="H902" s="16">
        <v>20175.349999999999</v>
      </c>
    </row>
    <row r="903" spans="1:8" ht="15" thickBot="1">
      <c r="A903" s="64">
        <v>45140</v>
      </c>
      <c r="B903" s="18" t="s">
        <v>2642</v>
      </c>
      <c r="C903" s="30" t="s">
        <v>2645</v>
      </c>
      <c r="D903" s="30" t="s">
        <v>2658</v>
      </c>
      <c r="E903" s="18" t="s">
        <v>2374</v>
      </c>
      <c r="F903" s="16">
        <v>6</v>
      </c>
      <c r="G903" s="16">
        <v>3277.95</v>
      </c>
      <c r="H903" s="16">
        <v>19667.7</v>
      </c>
    </row>
    <row r="904" spans="1:8" ht="15" thickBot="1">
      <c r="A904" s="31" t="s">
        <v>2570</v>
      </c>
      <c r="B904" s="18" t="s">
        <v>2642</v>
      </c>
      <c r="C904" s="30" t="s">
        <v>2645</v>
      </c>
      <c r="D904" s="30" t="s">
        <v>2649</v>
      </c>
      <c r="E904" s="18" t="s">
        <v>2374</v>
      </c>
      <c r="F904" s="16">
        <v>5</v>
      </c>
      <c r="G904" s="16">
        <v>3701.17</v>
      </c>
      <c r="H904" s="16">
        <v>18505.849999999999</v>
      </c>
    </row>
    <row r="905" spans="1:8" ht="15" thickBot="1">
      <c r="A905" s="31" t="s">
        <v>2537</v>
      </c>
      <c r="B905" s="18" t="s">
        <v>2642</v>
      </c>
      <c r="C905" s="30" t="s">
        <v>2645</v>
      </c>
      <c r="D905" s="30" t="s">
        <v>2655</v>
      </c>
      <c r="E905" s="18" t="s">
        <v>2374</v>
      </c>
      <c r="F905" s="16">
        <v>17</v>
      </c>
      <c r="G905" s="16">
        <v>1071.3</v>
      </c>
      <c r="H905" s="16">
        <v>18212.099999999999</v>
      </c>
    </row>
    <row r="906" spans="1:8" ht="15" thickBot="1">
      <c r="A906" s="64">
        <v>45261</v>
      </c>
      <c r="B906" s="18" t="s">
        <v>2641</v>
      </c>
      <c r="C906" s="30" t="s">
        <v>2648</v>
      </c>
      <c r="D906" s="30" t="s">
        <v>2657</v>
      </c>
      <c r="E906" s="18" t="s">
        <v>2374</v>
      </c>
      <c r="F906" s="16">
        <v>5</v>
      </c>
      <c r="G906" s="16">
        <v>3631.01</v>
      </c>
      <c r="H906" s="16">
        <v>18155.05</v>
      </c>
    </row>
    <row r="907" spans="1:8" ht="15" thickBot="1">
      <c r="A907" s="64">
        <v>45048</v>
      </c>
      <c r="B907" s="18" t="s">
        <v>2642</v>
      </c>
      <c r="C907" s="30" t="s">
        <v>2646</v>
      </c>
      <c r="D907" s="30" t="s">
        <v>2654</v>
      </c>
      <c r="E907" s="18" t="s">
        <v>2374</v>
      </c>
      <c r="F907" s="16">
        <v>14</v>
      </c>
      <c r="G907" s="16">
        <v>1273.8399999999999</v>
      </c>
      <c r="H907" s="16">
        <v>17833.759999999998</v>
      </c>
    </row>
    <row r="908" spans="1:8" ht="15" thickBot="1">
      <c r="A908" s="31" t="s">
        <v>2442</v>
      </c>
      <c r="B908" s="18" t="s">
        <v>2641</v>
      </c>
      <c r="C908" s="30" t="s">
        <v>2644</v>
      </c>
      <c r="D908" s="30" t="s">
        <v>2392</v>
      </c>
      <c r="E908" s="18" t="s">
        <v>2374</v>
      </c>
      <c r="F908" s="16">
        <v>4</v>
      </c>
      <c r="G908" s="16">
        <v>4386.54</v>
      </c>
      <c r="H908" s="16">
        <v>17546.16</v>
      </c>
    </row>
    <row r="909" spans="1:8" ht="15" thickBot="1">
      <c r="A909" s="64">
        <v>45109</v>
      </c>
      <c r="B909" s="18" t="s">
        <v>2642</v>
      </c>
      <c r="C909" s="30" t="s">
        <v>2645</v>
      </c>
      <c r="D909" s="30" t="s">
        <v>2658</v>
      </c>
      <c r="E909" s="18" t="s">
        <v>2374</v>
      </c>
      <c r="F909" s="16">
        <v>4</v>
      </c>
      <c r="G909" s="16">
        <v>4337.09</v>
      </c>
      <c r="H909" s="16">
        <v>17348.36</v>
      </c>
    </row>
    <row r="910" spans="1:8" ht="15" thickBot="1">
      <c r="A910" s="64">
        <v>45079</v>
      </c>
      <c r="B910" s="18" t="s">
        <v>2642</v>
      </c>
      <c r="C910" s="30" t="s">
        <v>2645</v>
      </c>
      <c r="D910" s="30" t="s">
        <v>2658</v>
      </c>
      <c r="E910" s="18" t="s">
        <v>2374</v>
      </c>
      <c r="F910" s="16">
        <v>8</v>
      </c>
      <c r="G910" s="16">
        <v>2112.66</v>
      </c>
      <c r="H910" s="16">
        <v>16901.28</v>
      </c>
    </row>
    <row r="911" spans="1:8" ht="15" thickBot="1">
      <c r="A911" s="31" t="s">
        <v>2521</v>
      </c>
      <c r="B911" s="18" t="s">
        <v>2641</v>
      </c>
      <c r="C911" s="30" t="s">
        <v>2648</v>
      </c>
      <c r="D911" s="30" t="s">
        <v>2396</v>
      </c>
      <c r="E911" s="18" t="s">
        <v>2374</v>
      </c>
      <c r="F911" s="16">
        <v>15</v>
      </c>
      <c r="G911" s="16">
        <v>1098.31</v>
      </c>
      <c r="H911" s="16">
        <v>16474.650000000001</v>
      </c>
    </row>
    <row r="912" spans="1:8" ht="15" thickBot="1">
      <c r="A912" s="64">
        <v>44996</v>
      </c>
      <c r="B912" s="18" t="s">
        <v>2641</v>
      </c>
      <c r="C912" s="30" t="s">
        <v>2644</v>
      </c>
      <c r="D912" s="30" t="s">
        <v>2653</v>
      </c>
      <c r="E912" s="18" t="s">
        <v>2374</v>
      </c>
      <c r="F912" s="16">
        <v>5</v>
      </c>
      <c r="G912" s="16">
        <v>3259.3</v>
      </c>
      <c r="H912" s="16">
        <v>16296.5</v>
      </c>
    </row>
    <row r="913" spans="1:8" ht="15" thickBot="1">
      <c r="A913" s="31" t="s">
        <v>2474</v>
      </c>
      <c r="B913" s="18" t="s">
        <v>2641</v>
      </c>
      <c r="C913" s="30" t="s">
        <v>2644</v>
      </c>
      <c r="D913" s="30" t="s">
        <v>2392</v>
      </c>
      <c r="E913" s="18" t="s">
        <v>2374</v>
      </c>
      <c r="F913" s="16">
        <v>12</v>
      </c>
      <c r="G913" s="16">
        <v>1352.89</v>
      </c>
      <c r="H913" s="16">
        <v>16234.68</v>
      </c>
    </row>
    <row r="914" spans="1:8" ht="15" thickBot="1">
      <c r="A914" s="64">
        <v>45173</v>
      </c>
      <c r="B914" s="18" t="s">
        <v>2642</v>
      </c>
      <c r="C914" s="30" t="s">
        <v>2645</v>
      </c>
      <c r="D914" s="30" t="s">
        <v>2658</v>
      </c>
      <c r="E914" s="18" t="s">
        <v>2374</v>
      </c>
      <c r="F914" s="16">
        <v>8</v>
      </c>
      <c r="G914" s="16">
        <v>1968.58</v>
      </c>
      <c r="H914" s="16">
        <v>15748.64</v>
      </c>
    </row>
    <row r="915" spans="1:8" ht="15" thickBot="1">
      <c r="A915" s="64">
        <v>44994</v>
      </c>
      <c r="B915" s="18" t="s">
        <v>2643</v>
      </c>
      <c r="C915" s="30" t="s">
        <v>2647</v>
      </c>
      <c r="D915" s="30" t="s">
        <v>2660</v>
      </c>
      <c r="E915" s="18" t="s">
        <v>2374</v>
      </c>
      <c r="F915" s="16">
        <v>11</v>
      </c>
      <c r="G915" s="16">
        <v>1418.67</v>
      </c>
      <c r="H915" s="16">
        <v>15605.37</v>
      </c>
    </row>
    <row r="916" spans="1:8" ht="15" thickBot="1">
      <c r="A916" s="31" t="s">
        <v>2521</v>
      </c>
      <c r="B916" s="18" t="s">
        <v>2643</v>
      </c>
      <c r="C916" s="30" t="s">
        <v>2647</v>
      </c>
      <c r="D916" s="30" t="s">
        <v>2652</v>
      </c>
      <c r="E916" s="18" t="s">
        <v>2374</v>
      </c>
      <c r="F916" s="16">
        <v>9</v>
      </c>
      <c r="G916" s="16">
        <v>1667.06</v>
      </c>
      <c r="H916" s="16">
        <v>15003.54</v>
      </c>
    </row>
    <row r="917" spans="1:8" ht="15" thickBot="1">
      <c r="A917" s="31" t="s">
        <v>2561</v>
      </c>
      <c r="B917" s="18" t="s">
        <v>2641</v>
      </c>
      <c r="C917" s="30" t="s">
        <v>2648</v>
      </c>
      <c r="D917" s="30" t="s">
        <v>2396</v>
      </c>
      <c r="E917" s="18" t="s">
        <v>2374</v>
      </c>
      <c r="F917" s="16">
        <v>3</v>
      </c>
      <c r="G917" s="16">
        <v>4888.03</v>
      </c>
      <c r="H917" s="16">
        <v>14664.09</v>
      </c>
    </row>
    <row r="918" spans="1:8" ht="15" thickBot="1">
      <c r="A918" s="64">
        <v>44995</v>
      </c>
      <c r="B918" s="18" t="s">
        <v>2641</v>
      </c>
      <c r="C918" s="30" t="s">
        <v>2644</v>
      </c>
      <c r="D918" s="30" t="s">
        <v>2392</v>
      </c>
      <c r="E918" s="18" t="s">
        <v>2374</v>
      </c>
      <c r="F918" s="16">
        <v>11</v>
      </c>
      <c r="G918" s="16">
        <v>1316.18</v>
      </c>
      <c r="H918" s="16">
        <v>14477.98</v>
      </c>
    </row>
    <row r="919" spans="1:8" ht="15" thickBot="1">
      <c r="A919" s="64">
        <v>45114</v>
      </c>
      <c r="B919" s="18" t="s">
        <v>2642</v>
      </c>
      <c r="C919" s="30" t="s">
        <v>2645</v>
      </c>
      <c r="D919" s="30" t="s">
        <v>2649</v>
      </c>
      <c r="E919" s="18" t="s">
        <v>2374</v>
      </c>
      <c r="F919" s="16">
        <v>7</v>
      </c>
      <c r="G919" s="16">
        <v>2016.03</v>
      </c>
      <c r="H919" s="16">
        <v>14112.21</v>
      </c>
    </row>
    <row r="920" spans="1:8" ht="15" thickBot="1">
      <c r="A920" s="64">
        <v>45139</v>
      </c>
      <c r="B920" s="18" t="s">
        <v>2641</v>
      </c>
      <c r="C920" s="30" t="s">
        <v>2648</v>
      </c>
      <c r="D920" s="30" t="s">
        <v>2396</v>
      </c>
      <c r="E920" s="18" t="s">
        <v>2374</v>
      </c>
      <c r="F920" s="16">
        <v>11</v>
      </c>
      <c r="G920" s="16">
        <v>1278.32</v>
      </c>
      <c r="H920" s="16">
        <v>14061.52</v>
      </c>
    </row>
    <row r="921" spans="1:8" ht="15" thickBot="1">
      <c r="A921" s="64">
        <v>45147</v>
      </c>
      <c r="B921" s="18" t="s">
        <v>2641</v>
      </c>
      <c r="C921" s="30" t="s">
        <v>2648</v>
      </c>
      <c r="D921" s="30" t="s">
        <v>2396</v>
      </c>
      <c r="E921" s="18" t="s">
        <v>2374</v>
      </c>
      <c r="F921" s="16">
        <v>15</v>
      </c>
      <c r="G921" s="16">
        <v>916.75</v>
      </c>
      <c r="H921" s="16">
        <v>13751.25</v>
      </c>
    </row>
    <row r="922" spans="1:8" ht="15" thickBot="1">
      <c r="A922" s="31" t="s">
        <v>2449</v>
      </c>
      <c r="B922" s="18" t="s">
        <v>2641</v>
      </c>
      <c r="C922" s="30" t="s">
        <v>2644</v>
      </c>
      <c r="D922" s="30" t="s">
        <v>2653</v>
      </c>
      <c r="E922" s="18" t="s">
        <v>2374</v>
      </c>
      <c r="F922" s="16">
        <v>9</v>
      </c>
      <c r="G922" s="16">
        <v>1474.56</v>
      </c>
      <c r="H922" s="16">
        <v>13271.04</v>
      </c>
    </row>
    <row r="923" spans="1:8" ht="15" thickBot="1">
      <c r="A923" s="31" t="s">
        <v>2600</v>
      </c>
      <c r="B923" s="18" t="s">
        <v>2641</v>
      </c>
      <c r="C923" s="30" t="s">
        <v>2648</v>
      </c>
      <c r="D923" s="30" t="s">
        <v>2396</v>
      </c>
      <c r="E923" s="18" t="s">
        <v>2374</v>
      </c>
      <c r="F923" s="16">
        <v>15</v>
      </c>
      <c r="G923" s="16">
        <v>866.62</v>
      </c>
      <c r="H923" s="16">
        <v>12999.3</v>
      </c>
    </row>
    <row r="924" spans="1:8" ht="15" thickBot="1">
      <c r="A924" s="64">
        <v>45084</v>
      </c>
      <c r="B924" s="18" t="s">
        <v>2641</v>
      </c>
      <c r="C924" s="30" t="s">
        <v>2644</v>
      </c>
      <c r="D924" s="30" t="s">
        <v>2653</v>
      </c>
      <c r="E924" s="18" t="s">
        <v>2374</v>
      </c>
      <c r="F924" s="16">
        <v>5</v>
      </c>
      <c r="G924" s="16">
        <v>2545.9299999999998</v>
      </c>
      <c r="H924" s="16">
        <v>12729.65</v>
      </c>
    </row>
    <row r="925" spans="1:8" ht="15" thickBot="1">
      <c r="A925" s="64">
        <v>45232</v>
      </c>
      <c r="B925" s="18" t="s">
        <v>2641</v>
      </c>
      <c r="C925" s="30" t="s">
        <v>2648</v>
      </c>
      <c r="D925" s="30" t="s">
        <v>2657</v>
      </c>
      <c r="E925" s="18" t="s">
        <v>2374</v>
      </c>
      <c r="F925" s="16">
        <v>20</v>
      </c>
      <c r="G925" s="16">
        <v>633.87</v>
      </c>
      <c r="H925" s="16">
        <v>12677.4</v>
      </c>
    </row>
    <row r="926" spans="1:8" ht="15" thickBot="1">
      <c r="A926" s="64">
        <v>45241</v>
      </c>
      <c r="B926" s="18" t="s">
        <v>2641</v>
      </c>
      <c r="C926" s="30" t="s">
        <v>2644</v>
      </c>
      <c r="D926" s="30" t="s">
        <v>2392</v>
      </c>
      <c r="E926" s="18" t="s">
        <v>2374</v>
      </c>
      <c r="F926" s="16">
        <v>3</v>
      </c>
      <c r="G926" s="16">
        <v>4210.7700000000004</v>
      </c>
      <c r="H926" s="16">
        <v>12632.31</v>
      </c>
    </row>
    <row r="927" spans="1:8" ht="15" thickBot="1">
      <c r="A927" s="31" t="s">
        <v>2451</v>
      </c>
      <c r="B927" s="18" t="s">
        <v>2641</v>
      </c>
      <c r="C927" s="30" t="s">
        <v>2648</v>
      </c>
      <c r="D927" s="30" t="s">
        <v>2396</v>
      </c>
      <c r="E927" s="18" t="s">
        <v>2374</v>
      </c>
      <c r="F927" s="16">
        <v>3</v>
      </c>
      <c r="G927" s="16">
        <v>4195.66</v>
      </c>
      <c r="H927" s="16">
        <v>12586.98</v>
      </c>
    </row>
    <row r="928" spans="1:8" ht="15" thickBot="1">
      <c r="A928" s="31" t="s">
        <v>2469</v>
      </c>
      <c r="B928" s="18" t="s">
        <v>2642</v>
      </c>
      <c r="C928" s="30" t="s">
        <v>2645</v>
      </c>
      <c r="D928" s="30" t="s">
        <v>2658</v>
      </c>
      <c r="E928" s="18" t="s">
        <v>2374</v>
      </c>
      <c r="F928" s="16">
        <v>7</v>
      </c>
      <c r="G928" s="16">
        <v>1774.74</v>
      </c>
      <c r="H928" s="16">
        <v>12423.18</v>
      </c>
    </row>
    <row r="929" spans="1:8" ht="15" thickBot="1">
      <c r="A929" s="31" t="s">
        <v>2435</v>
      </c>
      <c r="B929" s="18" t="s">
        <v>2642</v>
      </c>
      <c r="C929" s="30" t="s">
        <v>2646</v>
      </c>
      <c r="D929" s="30" t="s">
        <v>2651</v>
      </c>
      <c r="E929" s="18" t="s">
        <v>2374</v>
      </c>
      <c r="F929" s="16">
        <v>9</v>
      </c>
      <c r="G929" s="16">
        <v>1378.65</v>
      </c>
      <c r="H929" s="16">
        <v>12407.85</v>
      </c>
    </row>
    <row r="930" spans="1:8" ht="15" thickBot="1">
      <c r="A930" s="31" t="s">
        <v>2619</v>
      </c>
      <c r="B930" s="18" t="s">
        <v>2641</v>
      </c>
      <c r="C930" s="30" t="s">
        <v>2644</v>
      </c>
      <c r="D930" s="30" t="s">
        <v>2393</v>
      </c>
      <c r="E930" s="18" t="s">
        <v>2374</v>
      </c>
      <c r="F930" s="16">
        <v>7</v>
      </c>
      <c r="G930" s="16">
        <v>1711.81</v>
      </c>
      <c r="H930" s="16">
        <v>11982.67</v>
      </c>
    </row>
    <row r="931" spans="1:8" ht="15" thickBot="1">
      <c r="A931" s="31" t="s">
        <v>2498</v>
      </c>
      <c r="B931" s="18" t="s">
        <v>2643</v>
      </c>
      <c r="C931" s="30" t="s">
        <v>2647</v>
      </c>
      <c r="D931" s="30" t="s">
        <v>2660</v>
      </c>
      <c r="E931" s="18" t="s">
        <v>2374</v>
      </c>
      <c r="F931" s="16">
        <v>4</v>
      </c>
      <c r="G931" s="16">
        <v>2978.87</v>
      </c>
      <c r="H931" s="16">
        <v>11915.48</v>
      </c>
    </row>
    <row r="932" spans="1:8" ht="15" thickBot="1">
      <c r="A932" s="31" t="s">
        <v>2543</v>
      </c>
      <c r="B932" s="18" t="s">
        <v>2642</v>
      </c>
      <c r="C932" s="30" t="s">
        <v>2646</v>
      </c>
      <c r="D932" s="30" t="s">
        <v>2650</v>
      </c>
      <c r="E932" s="18" t="s">
        <v>2374</v>
      </c>
      <c r="F932" s="16">
        <v>6</v>
      </c>
      <c r="G932" s="16">
        <v>1979</v>
      </c>
      <c r="H932" s="16">
        <v>11874</v>
      </c>
    </row>
    <row r="933" spans="1:8" ht="15" thickBot="1">
      <c r="A933" s="64">
        <v>45027</v>
      </c>
      <c r="B933" s="18" t="s">
        <v>2641</v>
      </c>
      <c r="C933" s="30" t="s">
        <v>2648</v>
      </c>
      <c r="D933" s="30" t="s">
        <v>2396</v>
      </c>
      <c r="E933" s="18" t="s">
        <v>2374</v>
      </c>
      <c r="F933" s="16">
        <v>18</v>
      </c>
      <c r="G933" s="16">
        <v>651.22</v>
      </c>
      <c r="H933" s="16">
        <v>11721.96</v>
      </c>
    </row>
    <row r="934" spans="1:8" ht="15" thickBot="1">
      <c r="A934" s="31" t="s">
        <v>2575</v>
      </c>
      <c r="B934" s="18" t="s">
        <v>2642</v>
      </c>
      <c r="C934" s="30" t="s">
        <v>2646</v>
      </c>
      <c r="D934" s="30" t="s">
        <v>2651</v>
      </c>
      <c r="E934" s="18" t="s">
        <v>2374</v>
      </c>
      <c r="F934" s="16">
        <v>4</v>
      </c>
      <c r="G934" s="16">
        <v>2830.6</v>
      </c>
      <c r="H934" s="16">
        <v>11322.4</v>
      </c>
    </row>
    <row r="935" spans="1:8" ht="15" thickBot="1">
      <c r="A935" s="31" t="s">
        <v>2634</v>
      </c>
      <c r="B935" s="18" t="s">
        <v>2641</v>
      </c>
      <c r="C935" s="30" t="s">
        <v>2644</v>
      </c>
      <c r="D935" s="30" t="s">
        <v>2393</v>
      </c>
      <c r="E935" s="18" t="s">
        <v>2374</v>
      </c>
      <c r="F935" s="16">
        <v>8</v>
      </c>
      <c r="G935" s="16">
        <v>1371.28</v>
      </c>
      <c r="H935" s="16">
        <v>10970.24</v>
      </c>
    </row>
    <row r="936" spans="1:8" ht="15" thickBot="1">
      <c r="A936" s="31" t="s">
        <v>2475</v>
      </c>
      <c r="B936" s="18" t="s">
        <v>2641</v>
      </c>
      <c r="C936" s="30" t="s">
        <v>2648</v>
      </c>
      <c r="D936" s="30" t="s">
        <v>2396</v>
      </c>
      <c r="E936" s="18" t="s">
        <v>2374</v>
      </c>
      <c r="F936" s="16">
        <v>5</v>
      </c>
      <c r="G936" s="16">
        <v>2162.08</v>
      </c>
      <c r="H936" s="16">
        <v>10810.4</v>
      </c>
    </row>
    <row r="937" spans="1:8" ht="15" thickBot="1">
      <c r="A937" s="31" t="s">
        <v>2476</v>
      </c>
      <c r="B937" s="18" t="s">
        <v>2642</v>
      </c>
      <c r="C937" s="30" t="s">
        <v>2646</v>
      </c>
      <c r="D937" s="30" t="s">
        <v>2650</v>
      </c>
      <c r="E937" s="18" t="s">
        <v>2374</v>
      </c>
      <c r="F937" s="16">
        <v>14</v>
      </c>
      <c r="G937" s="16">
        <v>771.61</v>
      </c>
      <c r="H937" s="16">
        <v>10802.54</v>
      </c>
    </row>
    <row r="938" spans="1:8" ht="15" thickBot="1">
      <c r="A938" s="64">
        <v>45057</v>
      </c>
      <c r="B938" s="18" t="s">
        <v>2643</v>
      </c>
      <c r="C938" s="30" t="s">
        <v>2647</v>
      </c>
      <c r="D938" s="30" t="s">
        <v>2659</v>
      </c>
      <c r="E938" s="18" t="s">
        <v>2374</v>
      </c>
      <c r="F938" s="16">
        <v>7</v>
      </c>
      <c r="G938" s="16">
        <v>1501.06</v>
      </c>
      <c r="H938" s="16">
        <v>10507.42</v>
      </c>
    </row>
    <row r="939" spans="1:8" ht="15" thickBot="1">
      <c r="A939" s="31" t="s">
        <v>2436</v>
      </c>
      <c r="B939" s="18" t="s">
        <v>2643</v>
      </c>
      <c r="C939" s="30" t="s">
        <v>2647</v>
      </c>
      <c r="D939" s="30" t="s">
        <v>2652</v>
      </c>
      <c r="E939" s="18" t="s">
        <v>2374</v>
      </c>
      <c r="F939" s="16">
        <v>9</v>
      </c>
      <c r="G939" s="16">
        <v>1161.02</v>
      </c>
      <c r="H939" s="16">
        <v>10449.18</v>
      </c>
    </row>
    <row r="940" spans="1:8" ht="15" thickBot="1">
      <c r="A940" s="31" t="s">
        <v>2597</v>
      </c>
      <c r="B940" s="18" t="s">
        <v>2641</v>
      </c>
      <c r="C940" s="30" t="s">
        <v>2644</v>
      </c>
      <c r="D940" s="30" t="s">
        <v>2393</v>
      </c>
      <c r="E940" s="18" t="s">
        <v>2374</v>
      </c>
      <c r="F940" s="16">
        <v>11</v>
      </c>
      <c r="G940" s="16">
        <v>923.59</v>
      </c>
      <c r="H940" s="16">
        <v>10159.49</v>
      </c>
    </row>
    <row r="941" spans="1:8" ht="15" thickBot="1">
      <c r="A941" s="31" t="s">
        <v>2578</v>
      </c>
      <c r="B941" s="18" t="s">
        <v>2642</v>
      </c>
      <c r="C941" s="30" t="s">
        <v>2646</v>
      </c>
      <c r="D941" s="30" t="s">
        <v>2651</v>
      </c>
      <c r="E941" s="18" t="s">
        <v>2374</v>
      </c>
      <c r="F941" s="16">
        <v>18</v>
      </c>
      <c r="G941" s="16">
        <v>532.4</v>
      </c>
      <c r="H941" s="16">
        <v>9583.2000000000007</v>
      </c>
    </row>
    <row r="942" spans="1:8" ht="15" thickBot="1">
      <c r="A942" s="31" t="s">
        <v>2465</v>
      </c>
      <c r="B942" s="18" t="s">
        <v>2642</v>
      </c>
      <c r="C942" s="30" t="s">
        <v>2645</v>
      </c>
      <c r="D942" s="30" t="s">
        <v>2655</v>
      </c>
      <c r="E942" s="18" t="s">
        <v>2374</v>
      </c>
      <c r="F942" s="16">
        <v>2</v>
      </c>
      <c r="G942" s="16">
        <v>4762.71</v>
      </c>
      <c r="H942" s="16">
        <v>9525.42</v>
      </c>
    </row>
    <row r="943" spans="1:8" ht="15" thickBot="1">
      <c r="A943" s="31" t="s">
        <v>2599</v>
      </c>
      <c r="B943" s="18" t="s">
        <v>2641</v>
      </c>
      <c r="C943" s="30" t="s">
        <v>2644</v>
      </c>
      <c r="D943" s="30" t="s">
        <v>2393</v>
      </c>
      <c r="E943" s="18" t="s">
        <v>2374</v>
      </c>
      <c r="F943" s="16">
        <v>10</v>
      </c>
      <c r="G943" s="16">
        <v>938.57</v>
      </c>
      <c r="H943" s="16">
        <v>9385.7000000000007</v>
      </c>
    </row>
    <row r="944" spans="1:8" ht="15" thickBot="1">
      <c r="A944" s="64">
        <v>45266</v>
      </c>
      <c r="B944" s="18" t="s">
        <v>2642</v>
      </c>
      <c r="C944" s="30" t="s">
        <v>2646</v>
      </c>
      <c r="D944" s="30" t="s">
        <v>2654</v>
      </c>
      <c r="E944" s="18" t="s">
        <v>2374</v>
      </c>
      <c r="F944" s="16">
        <v>3</v>
      </c>
      <c r="G944" s="16">
        <v>3109.18</v>
      </c>
      <c r="H944" s="16">
        <v>9327.5400000000009</v>
      </c>
    </row>
    <row r="945" spans="1:8" ht="15" thickBot="1">
      <c r="A945" s="31" t="s">
        <v>2439</v>
      </c>
      <c r="B945" s="18" t="s">
        <v>2641</v>
      </c>
      <c r="C945" s="30" t="s">
        <v>2648</v>
      </c>
      <c r="D945" s="30" t="s">
        <v>2657</v>
      </c>
      <c r="E945" s="18" t="s">
        <v>2374</v>
      </c>
      <c r="F945" s="16">
        <v>4</v>
      </c>
      <c r="G945" s="16">
        <v>2331.1</v>
      </c>
      <c r="H945" s="16">
        <v>9324.4</v>
      </c>
    </row>
    <row r="946" spans="1:8" ht="15" thickBot="1">
      <c r="A946" s="31" t="s">
        <v>2492</v>
      </c>
      <c r="B946" s="18" t="s">
        <v>2643</v>
      </c>
      <c r="C946" s="30" t="s">
        <v>2647</v>
      </c>
      <c r="D946" s="30" t="s">
        <v>2652</v>
      </c>
      <c r="E946" s="18" t="s">
        <v>2374</v>
      </c>
      <c r="F946" s="16">
        <v>6</v>
      </c>
      <c r="G946" s="16">
        <v>1537.45</v>
      </c>
      <c r="H946" s="16">
        <v>9224.7000000000007</v>
      </c>
    </row>
    <row r="947" spans="1:8" ht="15" thickBot="1">
      <c r="A947" s="31" t="s">
        <v>2453</v>
      </c>
      <c r="B947" s="18" t="s">
        <v>2643</v>
      </c>
      <c r="C947" s="30" t="s">
        <v>2647</v>
      </c>
      <c r="D947" s="30" t="s">
        <v>2652</v>
      </c>
      <c r="E947" s="18" t="s">
        <v>2374</v>
      </c>
      <c r="F947" s="16">
        <v>2</v>
      </c>
      <c r="G947" s="16">
        <v>4527.13</v>
      </c>
      <c r="H947" s="16">
        <v>9054.26</v>
      </c>
    </row>
    <row r="948" spans="1:8" ht="15" thickBot="1">
      <c r="A948" s="31" t="s">
        <v>2585</v>
      </c>
      <c r="B948" s="18" t="s">
        <v>2641</v>
      </c>
      <c r="C948" s="30" t="s">
        <v>2644</v>
      </c>
      <c r="D948" s="30" t="s">
        <v>2393</v>
      </c>
      <c r="E948" s="18" t="s">
        <v>2374</v>
      </c>
      <c r="F948" s="16">
        <v>9</v>
      </c>
      <c r="G948" s="16">
        <v>1001.37</v>
      </c>
      <c r="H948" s="16">
        <v>9012.33</v>
      </c>
    </row>
    <row r="949" spans="1:8" ht="15" thickBot="1">
      <c r="A949" s="31" t="s">
        <v>2448</v>
      </c>
      <c r="B949" s="18" t="s">
        <v>2642</v>
      </c>
      <c r="C949" s="30" t="s">
        <v>2646</v>
      </c>
      <c r="D949" s="30" t="s">
        <v>2654</v>
      </c>
      <c r="E949" s="18" t="s">
        <v>2374</v>
      </c>
      <c r="F949" s="16">
        <v>3</v>
      </c>
      <c r="G949" s="16">
        <v>2961.96</v>
      </c>
      <c r="H949" s="16">
        <v>8885.8799999999992</v>
      </c>
    </row>
    <row r="950" spans="1:8" ht="15" thickBot="1">
      <c r="A950" s="31" t="s">
        <v>2614</v>
      </c>
      <c r="B950" s="18" t="s">
        <v>2641</v>
      </c>
      <c r="C950" s="30" t="s">
        <v>2648</v>
      </c>
      <c r="D950" s="30" t="s">
        <v>2656</v>
      </c>
      <c r="E950" s="18" t="s">
        <v>2374</v>
      </c>
      <c r="F950" s="16">
        <v>3</v>
      </c>
      <c r="G950" s="16">
        <v>2880.4</v>
      </c>
      <c r="H950" s="16">
        <v>8641.2000000000007</v>
      </c>
    </row>
    <row r="951" spans="1:8" ht="15" thickBot="1">
      <c r="A951" s="64">
        <v>45053</v>
      </c>
      <c r="B951" s="18" t="s">
        <v>2643</v>
      </c>
      <c r="C951" s="30" t="s">
        <v>2647</v>
      </c>
      <c r="D951" s="30" t="s">
        <v>2652</v>
      </c>
      <c r="E951" s="18" t="s">
        <v>2374</v>
      </c>
      <c r="F951" s="16">
        <v>14</v>
      </c>
      <c r="G951" s="16">
        <v>564.63</v>
      </c>
      <c r="H951" s="16">
        <v>7904.82</v>
      </c>
    </row>
    <row r="952" spans="1:8" ht="15" thickBot="1">
      <c r="A952" s="31" t="s">
        <v>2471</v>
      </c>
      <c r="B952" s="18" t="s">
        <v>2641</v>
      </c>
      <c r="C952" s="30" t="s">
        <v>2644</v>
      </c>
      <c r="D952" s="30" t="s">
        <v>2653</v>
      </c>
      <c r="E952" s="18" t="s">
        <v>2374</v>
      </c>
      <c r="F952" s="16">
        <v>16</v>
      </c>
      <c r="G952" s="16">
        <v>494.05</v>
      </c>
      <c r="H952" s="16">
        <v>7904.8</v>
      </c>
    </row>
    <row r="953" spans="1:8" ht="15" thickBot="1">
      <c r="A953" s="31" t="s">
        <v>2470</v>
      </c>
      <c r="B953" s="18" t="s">
        <v>2641</v>
      </c>
      <c r="C953" s="30" t="s">
        <v>2644</v>
      </c>
      <c r="D953" s="30" t="s">
        <v>2653</v>
      </c>
      <c r="E953" s="18" t="s">
        <v>2374</v>
      </c>
      <c r="F953" s="16">
        <v>3</v>
      </c>
      <c r="G953" s="16">
        <v>2618.2199999999998</v>
      </c>
      <c r="H953" s="16">
        <v>7854.66</v>
      </c>
    </row>
    <row r="954" spans="1:8" ht="15" thickBot="1">
      <c r="A954" s="31" t="s">
        <v>2517</v>
      </c>
      <c r="B954" s="18" t="s">
        <v>2641</v>
      </c>
      <c r="C954" s="30" t="s">
        <v>2644</v>
      </c>
      <c r="D954" s="30" t="s">
        <v>2393</v>
      </c>
      <c r="E954" s="18" t="s">
        <v>2374</v>
      </c>
      <c r="F954" s="16">
        <v>2</v>
      </c>
      <c r="G954" s="16">
        <v>3753.37</v>
      </c>
      <c r="H954" s="16">
        <v>7506.74</v>
      </c>
    </row>
    <row r="955" spans="1:8" ht="15" thickBot="1">
      <c r="A955" s="31" t="s">
        <v>2523</v>
      </c>
      <c r="B955" s="18" t="s">
        <v>2641</v>
      </c>
      <c r="C955" s="30" t="s">
        <v>2648</v>
      </c>
      <c r="D955" s="30" t="s">
        <v>2396</v>
      </c>
      <c r="E955" s="18" t="s">
        <v>2374</v>
      </c>
      <c r="F955" s="16">
        <v>10</v>
      </c>
      <c r="G955" s="16">
        <v>743.68</v>
      </c>
      <c r="H955" s="16">
        <v>7436.8</v>
      </c>
    </row>
    <row r="956" spans="1:8" ht="15" thickBot="1">
      <c r="A956" s="64">
        <v>45271</v>
      </c>
      <c r="B956" s="18" t="s">
        <v>2641</v>
      </c>
      <c r="C956" s="30" t="s">
        <v>2644</v>
      </c>
      <c r="D956" s="30" t="s">
        <v>2392</v>
      </c>
      <c r="E956" s="18" t="s">
        <v>2374</v>
      </c>
      <c r="F956" s="16">
        <v>14</v>
      </c>
      <c r="G956" s="16">
        <v>492.06</v>
      </c>
      <c r="H956" s="16">
        <v>6888.84</v>
      </c>
    </row>
    <row r="957" spans="1:8" ht="15" thickBot="1">
      <c r="A957" s="31" t="s">
        <v>2539</v>
      </c>
      <c r="B957" s="18" t="s">
        <v>2641</v>
      </c>
      <c r="C957" s="30" t="s">
        <v>2644</v>
      </c>
      <c r="D957" s="30" t="s">
        <v>2653</v>
      </c>
      <c r="E957" s="18" t="s">
        <v>2374</v>
      </c>
      <c r="F957" s="16">
        <v>2</v>
      </c>
      <c r="G957" s="16">
        <v>3385.43</v>
      </c>
      <c r="H957" s="16">
        <v>6770.86</v>
      </c>
    </row>
    <row r="958" spans="1:8" ht="15" thickBot="1">
      <c r="A958" s="31" t="s">
        <v>2454</v>
      </c>
      <c r="B958" s="18" t="s">
        <v>2642</v>
      </c>
      <c r="C958" s="30" t="s">
        <v>2646</v>
      </c>
      <c r="D958" s="30" t="s">
        <v>2650</v>
      </c>
      <c r="E958" s="18" t="s">
        <v>2374</v>
      </c>
      <c r="F958" s="16">
        <v>5</v>
      </c>
      <c r="G958" s="16">
        <v>1346.45</v>
      </c>
      <c r="H958" s="16">
        <v>6732.25</v>
      </c>
    </row>
    <row r="959" spans="1:8" ht="15" thickBot="1">
      <c r="A959" s="64">
        <v>45179</v>
      </c>
      <c r="B959" s="18" t="s">
        <v>2641</v>
      </c>
      <c r="C959" s="30" t="s">
        <v>2644</v>
      </c>
      <c r="D959" s="30" t="s">
        <v>2392</v>
      </c>
      <c r="E959" s="18" t="s">
        <v>2374</v>
      </c>
      <c r="F959" s="16">
        <v>4</v>
      </c>
      <c r="G959" s="16">
        <v>1640.54</v>
      </c>
      <c r="H959" s="16">
        <v>6562.16</v>
      </c>
    </row>
    <row r="960" spans="1:8" ht="15" thickBot="1">
      <c r="A960" s="64">
        <v>45139</v>
      </c>
      <c r="B960" s="18" t="s">
        <v>2641</v>
      </c>
      <c r="C960" s="30" t="s">
        <v>2644</v>
      </c>
      <c r="D960" s="30" t="s">
        <v>2393</v>
      </c>
      <c r="E960" s="18" t="s">
        <v>2374</v>
      </c>
      <c r="F960" s="16">
        <v>2</v>
      </c>
      <c r="G960" s="16">
        <v>3240.32</v>
      </c>
      <c r="H960" s="16">
        <v>6480.64</v>
      </c>
    </row>
    <row r="961" spans="1:8" ht="15" thickBot="1">
      <c r="A961" s="64">
        <v>45054</v>
      </c>
      <c r="B961" s="18" t="s">
        <v>2641</v>
      </c>
      <c r="C961" s="30" t="s">
        <v>2644</v>
      </c>
      <c r="D961" s="30" t="s">
        <v>2393</v>
      </c>
      <c r="E961" s="18" t="s">
        <v>2374</v>
      </c>
      <c r="F961" s="16">
        <v>11</v>
      </c>
      <c r="G961" s="16">
        <v>587.46</v>
      </c>
      <c r="H961" s="16">
        <v>6462.06</v>
      </c>
    </row>
    <row r="962" spans="1:8" ht="15" thickBot="1">
      <c r="A962" s="31" t="s">
        <v>2498</v>
      </c>
      <c r="B962" s="18" t="s">
        <v>2643</v>
      </c>
      <c r="C962" s="30" t="s">
        <v>2647</v>
      </c>
      <c r="D962" s="30" t="s">
        <v>2659</v>
      </c>
      <c r="E962" s="18" t="s">
        <v>2374</v>
      </c>
      <c r="F962" s="16">
        <v>3</v>
      </c>
      <c r="G962" s="16">
        <v>2040.38</v>
      </c>
      <c r="H962" s="16">
        <v>6121.14</v>
      </c>
    </row>
    <row r="963" spans="1:8" ht="15" thickBot="1">
      <c r="A963" s="64">
        <v>44930</v>
      </c>
      <c r="B963" s="18" t="s">
        <v>2641</v>
      </c>
      <c r="C963" s="30" t="s">
        <v>2648</v>
      </c>
      <c r="D963" s="30" t="s">
        <v>2657</v>
      </c>
      <c r="E963" s="18" t="s">
        <v>2374</v>
      </c>
      <c r="F963" s="16">
        <v>2</v>
      </c>
      <c r="G963" s="16">
        <v>3037.55</v>
      </c>
      <c r="H963" s="16">
        <v>6075.1</v>
      </c>
    </row>
    <row r="964" spans="1:8" ht="15" thickBot="1">
      <c r="A964" s="64">
        <v>44929</v>
      </c>
      <c r="B964" s="18" t="s">
        <v>2642</v>
      </c>
      <c r="C964" s="30" t="s">
        <v>2646</v>
      </c>
      <c r="D964" s="30" t="s">
        <v>2654</v>
      </c>
      <c r="E964" s="18" t="s">
        <v>2374</v>
      </c>
      <c r="F964" s="16">
        <v>5</v>
      </c>
      <c r="G964" s="16">
        <v>1192.82</v>
      </c>
      <c r="H964" s="16">
        <v>5964.1</v>
      </c>
    </row>
    <row r="965" spans="1:8" ht="15" thickBot="1">
      <c r="A965" s="31" t="s">
        <v>2529</v>
      </c>
      <c r="B965" s="18" t="s">
        <v>2642</v>
      </c>
      <c r="C965" s="30" t="s">
        <v>2645</v>
      </c>
      <c r="D965" s="30" t="s">
        <v>2649</v>
      </c>
      <c r="E965" s="18" t="s">
        <v>2374</v>
      </c>
      <c r="F965" s="16">
        <v>2</v>
      </c>
      <c r="G965" s="16">
        <v>2914.14</v>
      </c>
      <c r="H965" s="16">
        <v>5828.28</v>
      </c>
    </row>
    <row r="966" spans="1:8" ht="15" thickBot="1">
      <c r="A966" s="64">
        <v>45050</v>
      </c>
      <c r="B966" s="18" t="s">
        <v>2642</v>
      </c>
      <c r="C966" s="30" t="s">
        <v>2645</v>
      </c>
      <c r="D966" s="30" t="s">
        <v>2649</v>
      </c>
      <c r="E966" s="18" t="s">
        <v>2374</v>
      </c>
      <c r="F966" s="16">
        <v>4</v>
      </c>
      <c r="G966" s="16">
        <v>1456.19</v>
      </c>
      <c r="H966" s="16">
        <v>5824.76</v>
      </c>
    </row>
    <row r="967" spans="1:8" ht="15" thickBot="1">
      <c r="A967" s="31" t="s">
        <v>2601</v>
      </c>
      <c r="B967" s="18" t="s">
        <v>2641</v>
      </c>
      <c r="C967" s="30" t="s">
        <v>2644</v>
      </c>
      <c r="D967" s="30" t="s">
        <v>2653</v>
      </c>
      <c r="E967" s="18" t="s">
        <v>2374</v>
      </c>
      <c r="F967" s="16">
        <v>2</v>
      </c>
      <c r="G967" s="16">
        <v>2875.84</v>
      </c>
      <c r="H967" s="16">
        <v>5751.68</v>
      </c>
    </row>
    <row r="968" spans="1:8" ht="15" thickBot="1">
      <c r="A968" s="64">
        <v>45141</v>
      </c>
      <c r="B968" s="18" t="s">
        <v>2641</v>
      </c>
      <c r="C968" s="30" t="s">
        <v>2648</v>
      </c>
      <c r="D968" s="30" t="s">
        <v>2656</v>
      </c>
      <c r="E968" s="18" t="s">
        <v>2374</v>
      </c>
      <c r="F968" s="16">
        <v>16</v>
      </c>
      <c r="G968" s="16">
        <v>355.63</v>
      </c>
      <c r="H968" s="16">
        <v>5690.08</v>
      </c>
    </row>
    <row r="969" spans="1:8" ht="15" thickBot="1">
      <c r="A969" s="31" t="s">
        <v>2628</v>
      </c>
      <c r="B969" s="18" t="s">
        <v>2642</v>
      </c>
      <c r="C969" s="30" t="s">
        <v>2646</v>
      </c>
      <c r="D969" s="30" t="s">
        <v>2654</v>
      </c>
      <c r="E969" s="18" t="s">
        <v>2374</v>
      </c>
      <c r="F969" s="16">
        <v>10</v>
      </c>
      <c r="G969" s="16">
        <v>568.6</v>
      </c>
      <c r="H969" s="16">
        <v>5686</v>
      </c>
    </row>
    <row r="970" spans="1:8" ht="15" thickBot="1">
      <c r="A970" s="31" t="s">
        <v>2500</v>
      </c>
      <c r="B970" s="18" t="s">
        <v>2641</v>
      </c>
      <c r="C970" s="30" t="s">
        <v>2644</v>
      </c>
      <c r="D970" s="30" t="s">
        <v>2393</v>
      </c>
      <c r="E970" s="18" t="s">
        <v>2374</v>
      </c>
      <c r="F970" s="16">
        <v>16</v>
      </c>
      <c r="G970" s="16">
        <v>328.65</v>
      </c>
      <c r="H970" s="16">
        <v>5258.4</v>
      </c>
    </row>
    <row r="971" spans="1:8" ht="15" thickBot="1">
      <c r="A971" s="64">
        <v>45263</v>
      </c>
      <c r="B971" s="18" t="s">
        <v>2642</v>
      </c>
      <c r="C971" s="30" t="s">
        <v>2645</v>
      </c>
      <c r="D971" s="30" t="s">
        <v>2655</v>
      </c>
      <c r="E971" s="18" t="s">
        <v>2374</v>
      </c>
      <c r="F971" s="16">
        <v>6</v>
      </c>
      <c r="G971" s="16">
        <v>827.78</v>
      </c>
      <c r="H971" s="16">
        <v>4966.68</v>
      </c>
    </row>
    <row r="972" spans="1:8" ht="15" thickBot="1">
      <c r="A972" s="31" t="s">
        <v>2590</v>
      </c>
      <c r="B972" s="18" t="s">
        <v>2643</v>
      </c>
      <c r="C972" s="30" t="s">
        <v>2647</v>
      </c>
      <c r="D972" s="30" t="s">
        <v>2659</v>
      </c>
      <c r="E972" s="18" t="s">
        <v>2374</v>
      </c>
      <c r="F972" s="16">
        <v>1</v>
      </c>
      <c r="G972" s="16">
        <v>4815.0600000000004</v>
      </c>
      <c r="H972" s="16">
        <v>4815.0600000000004</v>
      </c>
    </row>
    <row r="973" spans="1:8" ht="15" thickBot="1">
      <c r="A973" s="31" t="s">
        <v>2464</v>
      </c>
      <c r="B973" s="18" t="s">
        <v>2642</v>
      </c>
      <c r="C973" s="30" t="s">
        <v>2646</v>
      </c>
      <c r="D973" s="30" t="s">
        <v>2651</v>
      </c>
      <c r="E973" s="18" t="s">
        <v>2374</v>
      </c>
      <c r="F973" s="16">
        <v>3</v>
      </c>
      <c r="G973" s="16">
        <v>1577.9</v>
      </c>
      <c r="H973" s="16">
        <v>4733.7</v>
      </c>
    </row>
    <row r="974" spans="1:8" ht="15" thickBot="1">
      <c r="A974" s="31" t="s">
        <v>2630</v>
      </c>
      <c r="B974" s="18" t="s">
        <v>2641</v>
      </c>
      <c r="C974" s="30" t="s">
        <v>2644</v>
      </c>
      <c r="D974" s="30" t="s">
        <v>2653</v>
      </c>
      <c r="E974" s="18" t="s">
        <v>2374</v>
      </c>
      <c r="F974" s="16">
        <v>1</v>
      </c>
      <c r="G974" s="16">
        <v>4640.17</v>
      </c>
      <c r="H974" s="16">
        <v>4640.17</v>
      </c>
    </row>
    <row r="975" spans="1:8" ht="15" thickBot="1">
      <c r="A975" s="31" t="s">
        <v>2510</v>
      </c>
      <c r="B975" s="18" t="s">
        <v>2643</v>
      </c>
      <c r="C975" s="30" t="s">
        <v>2647</v>
      </c>
      <c r="D975" s="30" t="s">
        <v>2659</v>
      </c>
      <c r="E975" s="18" t="s">
        <v>2374</v>
      </c>
      <c r="F975" s="16">
        <v>1</v>
      </c>
      <c r="G975" s="16">
        <v>4511.88</v>
      </c>
      <c r="H975" s="16">
        <v>4511.88</v>
      </c>
    </row>
    <row r="976" spans="1:8" ht="15" thickBot="1">
      <c r="A976" s="31" t="s">
        <v>2564</v>
      </c>
      <c r="B976" s="18" t="s">
        <v>2641</v>
      </c>
      <c r="C976" s="30" t="s">
        <v>2648</v>
      </c>
      <c r="D976" s="30" t="s">
        <v>2656</v>
      </c>
      <c r="E976" s="18" t="s">
        <v>2374</v>
      </c>
      <c r="F976" s="16">
        <v>2</v>
      </c>
      <c r="G976" s="16">
        <v>2238.46</v>
      </c>
      <c r="H976" s="16">
        <v>4476.92</v>
      </c>
    </row>
    <row r="977" spans="1:8" ht="15" thickBot="1">
      <c r="A977" s="31" t="s">
        <v>2455</v>
      </c>
      <c r="B977" s="18" t="s">
        <v>2642</v>
      </c>
      <c r="C977" s="30" t="s">
        <v>2645</v>
      </c>
      <c r="D977" s="30" t="s">
        <v>2649</v>
      </c>
      <c r="E977" s="18" t="s">
        <v>2374</v>
      </c>
      <c r="F977" s="16">
        <v>7</v>
      </c>
      <c r="G977" s="16">
        <v>633.15</v>
      </c>
      <c r="H977" s="16">
        <v>4432.05</v>
      </c>
    </row>
    <row r="978" spans="1:8" ht="15" thickBot="1">
      <c r="A978" s="31" t="s">
        <v>2520</v>
      </c>
      <c r="B978" s="18" t="s">
        <v>2641</v>
      </c>
      <c r="C978" s="30" t="s">
        <v>2648</v>
      </c>
      <c r="D978" s="30" t="s">
        <v>2657</v>
      </c>
      <c r="E978" s="18" t="s">
        <v>2374</v>
      </c>
      <c r="F978" s="16">
        <v>2</v>
      </c>
      <c r="G978" s="16">
        <v>2171.79</v>
      </c>
      <c r="H978" s="16">
        <v>4343.58</v>
      </c>
    </row>
    <row r="979" spans="1:8" ht="15" thickBot="1">
      <c r="A979" s="31" t="s">
        <v>2535</v>
      </c>
      <c r="B979" s="18" t="s">
        <v>2642</v>
      </c>
      <c r="C979" s="30" t="s">
        <v>2645</v>
      </c>
      <c r="D979" s="30" t="s">
        <v>2649</v>
      </c>
      <c r="E979" s="18" t="s">
        <v>2374</v>
      </c>
      <c r="F979" s="16">
        <v>10</v>
      </c>
      <c r="G979" s="16">
        <v>429.69</v>
      </c>
      <c r="H979" s="16">
        <v>4296.8999999999996</v>
      </c>
    </row>
    <row r="980" spans="1:8" ht="15" thickBot="1">
      <c r="A980" s="64">
        <v>45139</v>
      </c>
      <c r="B980" s="18" t="s">
        <v>2643</v>
      </c>
      <c r="C980" s="30" t="s">
        <v>2647</v>
      </c>
      <c r="D980" s="30" t="s">
        <v>2652</v>
      </c>
      <c r="E980" s="18" t="s">
        <v>2374</v>
      </c>
      <c r="F980" s="16">
        <v>9</v>
      </c>
      <c r="G980" s="16">
        <v>455.98</v>
      </c>
      <c r="H980" s="16">
        <v>4103.82</v>
      </c>
    </row>
    <row r="981" spans="1:8" ht="15" thickBot="1">
      <c r="A981" s="64">
        <v>45019</v>
      </c>
      <c r="B981" s="18" t="s">
        <v>2643</v>
      </c>
      <c r="C981" s="30" t="s">
        <v>2647</v>
      </c>
      <c r="D981" s="30" t="s">
        <v>2659</v>
      </c>
      <c r="E981" s="18" t="s">
        <v>2374</v>
      </c>
      <c r="F981" s="16">
        <v>1</v>
      </c>
      <c r="G981" s="16">
        <v>3781.47</v>
      </c>
      <c r="H981" s="16">
        <v>3781.47</v>
      </c>
    </row>
    <row r="982" spans="1:8" ht="15" thickBot="1">
      <c r="A982" s="31" t="s">
        <v>2474</v>
      </c>
      <c r="B982" s="18" t="s">
        <v>2642</v>
      </c>
      <c r="C982" s="30" t="s">
        <v>2645</v>
      </c>
      <c r="D982" s="30" t="s">
        <v>2655</v>
      </c>
      <c r="E982" s="18" t="s">
        <v>2374</v>
      </c>
      <c r="F982" s="16">
        <v>1</v>
      </c>
      <c r="G982" s="16">
        <v>3754.28</v>
      </c>
      <c r="H982" s="16">
        <v>3754.28</v>
      </c>
    </row>
    <row r="983" spans="1:8" ht="15" thickBot="1">
      <c r="A983" s="64">
        <v>45078</v>
      </c>
      <c r="B983" s="18" t="s">
        <v>2642</v>
      </c>
      <c r="C983" s="30" t="s">
        <v>2646</v>
      </c>
      <c r="D983" s="30" t="s">
        <v>2650</v>
      </c>
      <c r="E983" s="18" t="s">
        <v>2374</v>
      </c>
      <c r="F983" s="16">
        <v>2</v>
      </c>
      <c r="G983" s="16">
        <v>1582.65</v>
      </c>
      <c r="H983" s="16">
        <v>3165.3</v>
      </c>
    </row>
    <row r="984" spans="1:8" ht="15" thickBot="1">
      <c r="A984" s="64">
        <v>45269</v>
      </c>
      <c r="B984" s="18" t="s">
        <v>2642</v>
      </c>
      <c r="C984" s="30" t="s">
        <v>2645</v>
      </c>
      <c r="D984" s="30" t="s">
        <v>2655</v>
      </c>
      <c r="E984" s="18" t="s">
        <v>2374</v>
      </c>
      <c r="F984" s="16">
        <v>11</v>
      </c>
      <c r="G984" s="16">
        <v>268.13</v>
      </c>
      <c r="H984" s="16">
        <v>2949.43</v>
      </c>
    </row>
    <row r="985" spans="1:8" ht="15" thickBot="1">
      <c r="A985" s="64">
        <v>45108</v>
      </c>
      <c r="B985" s="18" t="s">
        <v>2642</v>
      </c>
      <c r="C985" s="30" t="s">
        <v>2645</v>
      </c>
      <c r="D985" s="30" t="s">
        <v>2649</v>
      </c>
      <c r="E985" s="18" t="s">
        <v>2374</v>
      </c>
      <c r="F985" s="16">
        <v>7</v>
      </c>
      <c r="G985" s="16">
        <v>410.28</v>
      </c>
      <c r="H985" s="16">
        <v>2871.96</v>
      </c>
    </row>
    <row r="986" spans="1:8" ht="15" thickBot="1">
      <c r="A986" s="31" t="s">
        <v>2443</v>
      </c>
      <c r="B986" s="18" t="s">
        <v>2641</v>
      </c>
      <c r="C986" s="30" t="s">
        <v>2648</v>
      </c>
      <c r="D986" s="30" t="s">
        <v>2656</v>
      </c>
      <c r="E986" s="18" t="s">
        <v>2374</v>
      </c>
      <c r="F986" s="16">
        <v>11</v>
      </c>
      <c r="G986" s="16">
        <v>255.3</v>
      </c>
      <c r="H986" s="16">
        <v>2808.3</v>
      </c>
    </row>
    <row r="987" spans="1:8" ht="15" thickBot="1">
      <c r="A987" s="31" t="s">
        <v>2575</v>
      </c>
      <c r="B987" s="18" t="s">
        <v>2642</v>
      </c>
      <c r="C987" s="30" t="s">
        <v>2646</v>
      </c>
      <c r="D987" s="30" t="s">
        <v>2654</v>
      </c>
      <c r="E987" s="18" t="s">
        <v>2374</v>
      </c>
      <c r="F987" s="16">
        <v>1</v>
      </c>
      <c r="G987" s="16">
        <v>2664.84</v>
      </c>
      <c r="H987" s="16">
        <v>2664.84</v>
      </c>
    </row>
    <row r="988" spans="1:8" ht="15" thickBot="1">
      <c r="A988" s="64">
        <v>44936</v>
      </c>
      <c r="B988" s="18" t="s">
        <v>2642</v>
      </c>
      <c r="C988" s="30" t="s">
        <v>2646</v>
      </c>
      <c r="D988" s="30" t="s">
        <v>2650</v>
      </c>
      <c r="E988" s="18" t="s">
        <v>2374</v>
      </c>
      <c r="F988" s="16">
        <v>4</v>
      </c>
      <c r="G988" s="16">
        <v>637.89</v>
      </c>
      <c r="H988" s="16">
        <v>2551.56</v>
      </c>
    </row>
    <row r="989" spans="1:8" ht="15" thickBot="1">
      <c r="A989" s="64">
        <v>44961</v>
      </c>
      <c r="B989" s="18" t="s">
        <v>2642</v>
      </c>
      <c r="C989" s="30" t="s">
        <v>2645</v>
      </c>
      <c r="D989" s="30" t="s">
        <v>2649</v>
      </c>
      <c r="E989" s="18" t="s">
        <v>2374</v>
      </c>
      <c r="F989" s="16">
        <v>5</v>
      </c>
      <c r="G989" s="16">
        <v>491.78</v>
      </c>
      <c r="H989" s="16">
        <v>2458.9</v>
      </c>
    </row>
    <row r="990" spans="1:8" ht="15" thickBot="1">
      <c r="A990" s="31" t="s">
        <v>2466</v>
      </c>
      <c r="B990" s="18" t="s">
        <v>2641</v>
      </c>
      <c r="C990" s="30" t="s">
        <v>2648</v>
      </c>
      <c r="D990" s="30" t="s">
        <v>2657</v>
      </c>
      <c r="E990" s="18" t="s">
        <v>2374</v>
      </c>
      <c r="F990" s="16">
        <v>12</v>
      </c>
      <c r="G990" s="16">
        <v>186.62</v>
      </c>
      <c r="H990" s="16">
        <v>2239.44</v>
      </c>
    </row>
    <row r="991" spans="1:8" ht="15" thickBot="1">
      <c r="A991" s="31" t="s">
        <v>2608</v>
      </c>
      <c r="B991" s="18" t="s">
        <v>2642</v>
      </c>
      <c r="C991" s="30" t="s">
        <v>2645</v>
      </c>
      <c r="D991" s="30" t="s">
        <v>2658</v>
      </c>
      <c r="E991" s="18" t="s">
        <v>2374</v>
      </c>
      <c r="F991" s="16">
        <v>2</v>
      </c>
      <c r="G991" s="16">
        <v>1063.3499999999999</v>
      </c>
      <c r="H991" s="16">
        <v>2126.6999999999998</v>
      </c>
    </row>
    <row r="992" spans="1:8" ht="15" thickBot="1">
      <c r="A992" s="31" t="s">
        <v>2537</v>
      </c>
      <c r="B992" s="18" t="s">
        <v>2642</v>
      </c>
      <c r="C992" s="30" t="s">
        <v>2646</v>
      </c>
      <c r="D992" s="30" t="s">
        <v>2654</v>
      </c>
      <c r="E992" s="18" t="s">
        <v>2374</v>
      </c>
      <c r="F992" s="16">
        <v>7</v>
      </c>
      <c r="G992" s="16">
        <v>299.68</v>
      </c>
      <c r="H992" s="16">
        <v>2097.7600000000002</v>
      </c>
    </row>
    <row r="993" spans="1:8" ht="15" thickBot="1">
      <c r="A993" s="31" t="s">
        <v>2503</v>
      </c>
      <c r="B993" s="18" t="s">
        <v>2641</v>
      </c>
      <c r="C993" s="30" t="s">
        <v>2644</v>
      </c>
      <c r="D993" s="30" t="s">
        <v>2392</v>
      </c>
      <c r="E993" s="18" t="s">
        <v>2374</v>
      </c>
      <c r="F993" s="16">
        <v>2</v>
      </c>
      <c r="G993" s="16">
        <v>816.12</v>
      </c>
      <c r="H993" s="16">
        <v>1632.24</v>
      </c>
    </row>
    <row r="994" spans="1:8" ht="15" thickBot="1">
      <c r="A994" s="31" t="s">
        <v>2628</v>
      </c>
      <c r="B994" s="18" t="s">
        <v>2641</v>
      </c>
      <c r="C994" s="30" t="s">
        <v>2644</v>
      </c>
      <c r="D994" s="30" t="s">
        <v>2393</v>
      </c>
      <c r="E994" s="18" t="s">
        <v>2374</v>
      </c>
      <c r="F994" s="16">
        <v>1</v>
      </c>
      <c r="G994" s="16">
        <v>1520.22</v>
      </c>
      <c r="H994" s="16">
        <v>1520.22</v>
      </c>
    </row>
    <row r="995" spans="1:8" ht="15" thickBot="1">
      <c r="A995" s="31" t="s">
        <v>2483</v>
      </c>
      <c r="B995" s="18" t="s">
        <v>2641</v>
      </c>
      <c r="C995" s="30" t="s">
        <v>2644</v>
      </c>
      <c r="D995" s="30" t="s">
        <v>2653</v>
      </c>
      <c r="E995" s="18" t="s">
        <v>2374</v>
      </c>
      <c r="F995" s="16">
        <v>2</v>
      </c>
      <c r="G995" s="16">
        <v>741.33</v>
      </c>
      <c r="H995" s="16">
        <v>1482.66</v>
      </c>
    </row>
    <row r="996" spans="1:8" ht="15" thickBot="1">
      <c r="A996" s="64">
        <v>44967</v>
      </c>
      <c r="B996" s="18" t="s">
        <v>2643</v>
      </c>
      <c r="C996" s="30" t="s">
        <v>2647</v>
      </c>
      <c r="D996" s="30" t="s">
        <v>2660</v>
      </c>
      <c r="E996" s="18" t="s">
        <v>2374</v>
      </c>
      <c r="F996" s="16">
        <v>11</v>
      </c>
      <c r="G996" s="16">
        <v>124.03</v>
      </c>
      <c r="H996" s="16">
        <v>1364.33</v>
      </c>
    </row>
    <row r="997" spans="1:8" ht="15" thickBot="1">
      <c r="A997" s="31" t="s">
        <v>2453</v>
      </c>
      <c r="B997" s="18" t="s">
        <v>2643</v>
      </c>
      <c r="C997" s="30" t="s">
        <v>2647</v>
      </c>
      <c r="D997" s="30" t="s">
        <v>2660</v>
      </c>
      <c r="E997" s="18" t="s">
        <v>2374</v>
      </c>
      <c r="F997" s="16">
        <v>5</v>
      </c>
      <c r="G997" s="16">
        <v>214.25</v>
      </c>
      <c r="H997" s="16">
        <v>1071.25</v>
      </c>
    </row>
    <row r="998" spans="1:8" ht="15" thickBot="1">
      <c r="A998" s="31" t="s">
        <v>2455</v>
      </c>
      <c r="B998" s="18" t="s">
        <v>2641</v>
      </c>
      <c r="C998" s="30" t="s">
        <v>2644</v>
      </c>
      <c r="D998" s="30" t="s">
        <v>2393</v>
      </c>
      <c r="E998" s="18" t="s">
        <v>2374</v>
      </c>
      <c r="F998" s="16">
        <v>6</v>
      </c>
      <c r="G998" s="16">
        <v>177.34</v>
      </c>
      <c r="H998" s="16">
        <v>1064.04</v>
      </c>
    </row>
    <row r="999" spans="1:8" ht="15" thickBot="1">
      <c r="A999" s="31" t="s">
        <v>2502</v>
      </c>
      <c r="B999" s="18" t="s">
        <v>2641</v>
      </c>
      <c r="C999" s="30" t="s">
        <v>2644</v>
      </c>
      <c r="D999" s="30" t="s">
        <v>2653</v>
      </c>
      <c r="E999" s="18" t="s">
        <v>2374</v>
      </c>
      <c r="F999" s="16">
        <v>3</v>
      </c>
      <c r="G999" s="16">
        <v>264.98</v>
      </c>
      <c r="H999" s="16">
        <v>794.94</v>
      </c>
    </row>
    <row r="1000" spans="1:8" ht="15" thickBot="1">
      <c r="A1000" s="31" t="s">
        <v>2438</v>
      </c>
      <c r="B1000" s="18" t="s">
        <v>2642</v>
      </c>
      <c r="C1000" s="30" t="s">
        <v>2646</v>
      </c>
      <c r="D1000" s="30" t="s">
        <v>2651</v>
      </c>
      <c r="E1000" s="18" t="s">
        <v>2374</v>
      </c>
      <c r="F1000" s="16">
        <v>1</v>
      </c>
      <c r="G1000" s="16">
        <v>648.88</v>
      </c>
      <c r="H1000" s="16">
        <v>648.88</v>
      </c>
    </row>
    <row r="1001" spans="1:8" ht="15" thickBot="1">
      <c r="A1001" s="31" t="s">
        <v>2510</v>
      </c>
      <c r="B1001" s="18" t="s">
        <v>2642</v>
      </c>
      <c r="C1001" s="30" t="s">
        <v>2645</v>
      </c>
      <c r="D1001" s="30" t="s">
        <v>2658</v>
      </c>
      <c r="E1001" s="18" t="s">
        <v>2374</v>
      </c>
      <c r="F1001" s="16">
        <v>2</v>
      </c>
      <c r="G1001" s="16">
        <v>296.52999999999997</v>
      </c>
      <c r="H1001" s="16">
        <v>593.05999999999995</v>
      </c>
    </row>
  </sheetData>
  <sortState xmlns:xlrd2="http://schemas.microsoft.com/office/spreadsheetml/2017/richdata2" ref="A2:H1001">
    <sortCondition ref="E2:E1001"/>
    <sortCondition descending="1" ref="H2:H100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B38E5-62E1-4EF8-9639-7A914689FF64}">
  <sheetPr codeName="Sheet9"/>
  <dimension ref="A1:X1001"/>
  <sheetViews>
    <sheetView topLeftCell="I1" workbookViewId="0">
      <selection activeCell="L2" sqref="L2"/>
    </sheetView>
  </sheetViews>
  <sheetFormatPr defaultRowHeight="14.5"/>
  <cols>
    <col min="1" max="1" width="12.6328125" customWidth="1"/>
    <col min="2" max="2" width="16.54296875" customWidth="1"/>
    <col min="3" max="3" width="13.36328125" customWidth="1"/>
    <col min="4" max="4" width="12.08984375" customWidth="1"/>
    <col min="6" max="6" width="16.81640625" customWidth="1"/>
    <col min="7" max="7" width="13.81640625" customWidth="1"/>
    <col min="9" max="9" width="14.54296875" customWidth="1"/>
    <col min="10" max="10" width="15.08984375" customWidth="1"/>
    <col min="12" max="12" width="11.453125" customWidth="1"/>
    <col min="16" max="16" width="16.90625" customWidth="1"/>
    <col min="20" max="20" width="17.26953125" customWidth="1"/>
    <col min="21" max="21" width="13.453125" customWidth="1"/>
    <col min="23" max="23" width="14" customWidth="1"/>
    <col min="24" max="24" width="13.453125" customWidth="1"/>
  </cols>
  <sheetData>
    <row r="1" spans="1:24" ht="15" thickBot="1">
      <c r="A1" s="66" t="s">
        <v>2425</v>
      </c>
      <c r="B1" s="66" t="s">
        <v>2662</v>
      </c>
      <c r="C1" s="66" t="s">
        <v>2428</v>
      </c>
      <c r="D1" s="66" t="s">
        <v>2427</v>
      </c>
      <c r="E1" s="66" t="s">
        <v>2426</v>
      </c>
      <c r="F1" s="66" t="s">
        <v>2663</v>
      </c>
      <c r="G1" s="66" t="s">
        <v>2664</v>
      </c>
      <c r="H1" s="66" t="s">
        <v>2430</v>
      </c>
      <c r="I1" s="66" t="s">
        <v>2431</v>
      </c>
      <c r="J1" s="66" t="s">
        <v>2432</v>
      </c>
      <c r="L1" s="68" t="s">
        <v>2427</v>
      </c>
      <c r="O1" s="67" t="s">
        <v>2425</v>
      </c>
      <c r="P1" s="66" t="s">
        <v>2662</v>
      </c>
      <c r="Q1" s="67" t="s">
        <v>2428</v>
      </c>
      <c r="R1" s="67" t="s">
        <v>2427</v>
      </c>
      <c r="S1" s="67" t="s">
        <v>2426</v>
      </c>
      <c r="T1" s="67" t="s">
        <v>2663</v>
      </c>
      <c r="U1" s="67" t="s">
        <v>2664</v>
      </c>
      <c r="V1" s="67" t="s">
        <v>2430</v>
      </c>
      <c r="W1" s="67" t="s">
        <v>2431</v>
      </c>
      <c r="X1" s="67" t="s">
        <v>2432</v>
      </c>
    </row>
    <row r="2" spans="1:24" ht="15" thickBot="1">
      <c r="A2" s="16" t="s">
        <v>2665</v>
      </c>
      <c r="B2" s="18" t="s">
        <v>2678</v>
      </c>
      <c r="C2" s="18" t="s">
        <v>2653</v>
      </c>
      <c r="D2" s="18" t="s">
        <v>2644</v>
      </c>
      <c r="E2" s="18" t="s">
        <v>2641</v>
      </c>
      <c r="F2" s="18" t="s">
        <v>2373</v>
      </c>
      <c r="G2" s="18" t="s">
        <v>2688</v>
      </c>
      <c r="H2" s="16">
        <v>6</v>
      </c>
      <c r="I2" s="16">
        <v>4016.25</v>
      </c>
      <c r="J2" s="16">
        <v>24097.5</v>
      </c>
      <c r="L2" t="s">
        <v>2646</v>
      </c>
      <c r="O2" t="str" cm="1">
        <f t="array" ref="O2:V209">_xlfn._xlws.FILTER(C2:J1001,D2:D1001=L2)</f>
        <v>Coimbatore</v>
      </c>
      <c r="P2" t="str">
        <v>Tamil Nadu</v>
      </c>
      <c r="Q2" t="str">
        <v>South</v>
      </c>
      <c r="R2" t="str">
        <v>Stationery</v>
      </c>
      <c r="S2" t="str">
        <v>Ruler</v>
      </c>
      <c r="T2">
        <v>9</v>
      </c>
      <c r="U2">
        <v>3801.85</v>
      </c>
      <c r="V2">
        <v>34216.65</v>
      </c>
    </row>
    <row r="3" spans="1:24" ht="15" thickBot="1">
      <c r="A3" s="63">
        <v>44937</v>
      </c>
      <c r="B3" s="18" t="s">
        <v>2679</v>
      </c>
      <c r="C3" s="18" t="s">
        <v>2654</v>
      </c>
      <c r="D3" s="18" t="s">
        <v>2646</v>
      </c>
      <c r="E3" s="18" t="s">
        <v>2642</v>
      </c>
      <c r="F3" s="18" t="s">
        <v>2374</v>
      </c>
      <c r="G3" s="18" t="s">
        <v>2689</v>
      </c>
      <c r="H3" s="16">
        <v>9</v>
      </c>
      <c r="I3" s="16">
        <v>3801.85</v>
      </c>
      <c r="J3" s="16">
        <v>34216.65</v>
      </c>
      <c r="O3" t="str">
        <v>Madurai</v>
      </c>
      <c r="P3" t="str">
        <v>Tamil Nadu</v>
      </c>
      <c r="Q3" t="str">
        <v>South</v>
      </c>
      <c r="R3" t="str">
        <v>Clothing</v>
      </c>
      <c r="S3" t="str">
        <v>Dress</v>
      </c>
      <c r="T3">
        <v>9</v>
      </c>
      <c r="U3">
        <v>4487</v>
      </c>
      <c r="V3">
        <v>40383</v>
      </c>
    </row>
    <row r="4" spans="1:24" ht="15" thickBot="1">
      <c r="A4" s="63">
        <v>45081</v>
      </c>
      <c r="B4" s="18" t="s">
        <v>2680</v>
      </c>
      <c r="C4" s="18" t="s">
        <v>2658</v>
      </c>
      <c r="D4" s="18" t="s">
        <v>2645</v>
      </c>
      <c r="E4" s="18" t="s">
        <v>2642</v>
      </c>
      <c r="F4" s="18" t="s">
        <v>2374</v>
      </c>
      <c r="G4" s="18" t="s">
        <v>2689</v>
      </c>
      <c r="H4" s="16">
        <v>11</v>
      </c>
      <c r="I4" s="16">
        <v>3594.07</v>
      </c>
      <c r="J4" s="16">
        <v>39534.769999999997</v>
      </c>
      <c r="O4" t="str">
        <v>Chennai</v>
      </c>
      <c r="P4" t="str">
        <v>Tamil Nadu</v>
      </c>
      <c r="Q4" t="str">
        <v>South</v>
      </c>
      <c r="R4" t="str">
        <v>Stationery</v>
      </c>
      <c r="S4" t="str">
        <v>Eraser</v>
      </c>
      <c r="T4">
        <v>7</v>
      </c>
      <c r="U4">
        <v>4772.29</v>
      </c>
      <c r="V4">
        <v>33406.03</v>
      </c>
    </row>
    <row r="5" spans="1:24" ht="15" thickBot="1">
      <c r="A5" s="16" t="s">
        <v>2499</v>
      </c>
      <c r="B5" s="18" t="s">
        <v>2679</v>
      </c>
      <c r="C5" s="18" t="s">
        <v>2651</v>
      </c>
      <c r="D5" s="18" t="s">
        <v>2646</v>
      </c>
      <c r="E5" s="18" t="s">
        <v>2642</v>
      </c>
      <c r="F5" s="18" t="s">
        <v>2372</v>
      </c>
      <c r="G5" s="18" t="s">
        <v>2690</v>
      </c>
      <c r="H5" s="16">
        <v>9</v>
      </c>
      <c r="I5" s="16">
        <v>4487</v>
      </c>
      <c r="J5" s="16">
        <v>40383</v>
      </c>
      <c r="L5" s="69">
        <v>4</v>
      </c>
      <c r="O5" t="str">
        <v>Madurai</v>
      </c>
      <c r="P5" t="str">
        <v>Tamil Nadu</v>
      </c>
      <c r="Q5" t="str">
        <v>South</v>
      </c>
      <c r="R5" t="str">
        <v>Stationery</v>
      </c>
      <c r="S5" t="str">
        <v>Ruler</v>
      </c>
      <c r="T5">
        <v>18</v>
      </c>
      <c r="U5">
        <v>3128.59</v>
      </c>
      <c r="V5">
        <v>56314.62</v>
      </c>
    </row>
    <row r="6" spans="1:24" ht="15" thickBot="1">
      <c r="A6" s="63">
        <v>45115</v>
      </c>
      <c r="B6" s="18" t="s">
        <v>2681</v>
      </c>
      <c r="C6" s="18" t="s">
        <v>2392</v>
      </c>
      <c r="D6" s="18" t="s">
        <v>2644</v>
      </c>
      <c r="E6" s="18" t="s">
        <v>2641</v>
      </c>
      <c r="F6" s="18" t="s">
        <v>2661</v>
      </c>
      <c r="G6" s="18" t="s">
        <v>2691</v>
      </c>
      <c r="H6" s="16">
        <v>17</v>
      </c>
      <c r="I6" s="16">
        <v>1240.77</v>
      </c>
      <c r="J6" s="16">
        <v>21093.09</v>
      </c>
      <c r="O6" t="str">
        <v>Chennai</v>
      </c>
      <c r="P6" t="str">
        <v>Tamil Nadu</v>
      </c>
      <c r="Q6" t="str">
        <v>South</v>
      </c>
      <c r="R6" t="str">
        <v>Furniture</v>
      </c>
      <c r="S6" t="str">
        <v>Table</v>
      </c>
      <c r="T6">
        <v>10</v>
      </c>
      <c r="U6">
        <v>2754.3</v>
      </c>
      <c r="V6">
        <v>27543</v>
      </c>
    </row>
    <row r="7" spans="1:24" ht="15" thickBot="1">
      <c r="A7" s="16" t="s">
        <v>2519</v>
      </c>
      <c r="B7" s="18" t="s">
        <v>2682</v>
      </c>
      <c r="C7" s="18" t="s">
        <v>2650</v>
      </c>
      <c r="D7" s="18" t="s">
        <v>2646</v>
      </c>
      <c r="E7" s="18" t="s">
        <v>2642</v>
      </c>
      <c r="F7" s="18" t="s">
        <v>2374</v>
      </c>
      <c r="G7" s="18" t="s">
        <v>2692</v>
      </c>
      <c r="H7" s="16">
        <v>7</v>
      </c>
      <c r="I7" s="16">
        <v>4772.29</v>
      </c>
      <c r="J7" s="16">
        <v>33406.03</v>
      </c>
      <c r="O7" t="str">
        <v>Coimbatore</v>
      </c>
      <c r="P7" t="str">
        <v>Tamil Nadu</v>
      </c>
      <c r="Q7" t="str">
        <v>South</v>
      </c>
      <c r="R7" t="str">
        <v>Stationery</v>
      </c>
      <c r="S7" t="str">
        <v>Ruler</v>
      </c>
      <c r="T7">
        <v>18</v>
      </c>
      <c r="U7">
        <v>698.42</v>
      </c>
      <c r="V7">
        <v>12571.56</v>
      </c>
    </row>
    <row r="8" spans="1:24" ht="15" thickBot="1">
      <c r="A8" s="63">
        <v>44931</v>
      </c>
      <c r="B8" s="18" t="s">
        <v>2683</v>
      </c>
      <c r="C8" s="18" t="s">
        <v>2649</v>
      </c>
      <c r="D8" s="18" t="s">
        <v>2645</v>
      </c>
      <c r="E8" s="18" t="s">
        <v>2642</v>
      </c>
      <c r="F8" s="18" t="s">
        <v>2370</v>
      </c>
      <c r="G8" s="18" t="s">
        <v>1335</v>
      </c>
      <c r="H8" s="16">
        <v>5</v>
      </c>
      <c r="I8" s="16">
        <v>2196.9899999999998</v>
      </c>
      <c r="J8" s="16">
        <v>10984.95</v>
      </c>
      <c r="O8" t="str">
        <v>Chennai</v>
      </c>
      <c r="P8" t="str">
        <v>Tamil Nadu</v>
      </c>
      <c r="Q8" t="str">
        <v>South</v>
      </c>
      <c r="R8" t="str">
        <v>Groceries</v>
      </c>
      <c r="S8" t="str">
        <v>Sugar</v>
      </c>
      <c r="T8">
        <v>15</v>
      </c>
      <c r="U8">
        <v>3368.77</v>
      </c>
      <c r="V8">
        <v>50531.55</v>
      </c>
    </row>
    <row r="9" spans="1:24" ht="15" thickBot="1">
      <c r="A9" s="16" t="s">
        <v>2519</v>
      </c>
      <c r="B9" s="18" t="s">
        <v>2684</v>
      </c>
      <c r="C9" s="18" t="s">
        <v>2656</v>
      </c>
      <c r="D9" s="18" t="s">
        <v>2648</v>
      </c>
      <c r="E9" s="18" t="s">
        <v>2641</v>
      </c>
      <c r="F9" s="18" t="s">
        <v>2372</v>
      </c>
      <c r="G9" s="18" t="s">
        <v>2690</v>
      </c>
      <c r="H9" s="16">
        <v>5</v>
      </c>
      <c r="I9" s="16">
        <v>967.6</v>
      </c>
      <c r="J9" s="16">
        <v>4838</v>
      </c>
      <c r="O9" t="str">
        <v>Coimbatore</v>
      </c>
      <c r="P9" t="str">
        <v>Tamil Nadu</v>
      </c>
      <c r="Q9" t="str">
        <v>South</v>
      </c>
      <c r="R9" t="str">
        <v>Clothing</v>
      </c>
      <c r="S9" t="str">
        <v>Pants</v>
      </c>
      <c r="T9">
        <v>4</v>
      </c>
      <c r="U9">
        <v>791.28</v>
      </c>
      <c r="V9">
        <v>3165.12</v>
      </c>
    </row>
    <row r="10" spans="1:24" ht="15" thickBot="1">
      <c r="A10" s="16" t="s">
        <v>2624</v>
      </c>
      <c r="B10" s="18" t="s">
        <v>2679</v>
      </c>
      <c r="C10" s="18" t="s">
        <v>2651</v>
      </c>
      <c r="D10" s="18" t="s">
        <v>2646</v>
      </c>
      <c r="E10" s="18" t="s">
        <v>2642</v>
      </c>
      <c r="F10" s="18" t="s">
        <v>2374</v>
      </c>
      <c r="G10" s="18" t="s">
        <v>2689</v>
      </c>
      <c r="H10" s="16">
        <v>18</v>
      </c>
      <c r="I10" s="16">
        <v>3128.59</v>
      </c>
      <c r="J10" s="16">
        <v>56314.62</v>
      </c>
      <c r="O10" t="str">
        <v>Madurai</v>
      </c>
      <c r="P10" t="str">
        <v>Tamil Nadu</v>
      </c>
      <c r="Q10" t="str">
        <v>South</v>
      </c>
      <c r="R10" t="str">
        <v>Clothing</v>
      </c>
      <c r="S10" t="str">
        <v>Jacket</v>
      </c>
      <c r="T10">
        <v>19</v>
      </c>
      <c r="U10">
        <v>1343.6</v>
      </c>
      <c r="V10">
        <v>25528.400000000001</v>
      </c>
    </row>
    <row r="11" spans="1:24" ht="15" thickBot="1">
      <c r="A11" s="16" t="s">
        <v>2468</v>
      </c>
      <c r="B11" s="18" t="s">
        <v>2680</v>
      </c>
      <c r="C11" s="18" t="s">
        <v>2650</v>
      </c>
      <c r="D11" s="18" t="s">
        <v>2646</v>
      </c>
      <c r="E11" s="18" t="s">
        <v>2642</v>
      </c>
      <c r="F11" s="18" t="s">
        <v>2373</v>
      </c>
      <c r="G11" s="18" t="s">
        <v>2688</v>
      </c>
      <c r="H11" s="16">
        <v>10</v>
      </c>
      <c r="I11" s="16">
        <v>2754.3</v>
      </c>
      <c r="J11" s="16">
        <v>27543</v>
      </c>
      <c r="O11" t="str">
        <v>Chennai</v>
      </c>
      <c r="P11" t="str">
        <v>Tamil Nadu</v>
      </c>
      <c r="Q11" t="str">
        <v>South</v>
      </c>
      <c r="R11" t="str">
        <v>Stationery</v>
      </c>
      <c r="S11" t="str">
        <v>Pen</v>
      </c>
      <c r="T11">
        <v>9</v>
      </c>
      <c r="U11">
        <v>3892.79</v>
      </c>
      <c r="V11">
        <v>35035.11</v>
      </c>
    </row>
    <row r="12" spans="1:24" ht="15" thickBot="1">
      <c r="A12" s="16" t="s">
        <v>2444</v>
      </c>
      <c r="B12" s="18" t="s">
        <v>2679</v>
      </c>
      <c r="C12" s="18" t="s">
        <v>2656</v>
      </c>
      <c r="D12" s="18" t="s">
        <v>2648</v>
      </c>
      <c r="E12" s="18" t="s">
        <v>2641</v>
      </c>
      <c r="F12" s="18" t="s">
        <v>2370</v>
      </c>
      <c r="G12" s="18" t="s">
        <v>1336</v>
      </c>
      <c r="H12" s="16">
        <v>19</v>
      </c>
      <c r="I12" s="16">
        <v>4896.3100000000004</v>
      </c>
      <c r="J12" s="16">
        <v>93029.89</v>
      </c>
      <c r="O12" t="str">
        <v>Chennai</v>
      </c>
      <c r="P12" t="str">
        <v>Tamil Nadu</v>
      </c>
      <c r="Q12" t="str">
        <v>South</v>
      </c>
      <c r="R12" t="str">
        <v>Electronics</v>
      </c>
      <c r="S12" t="str">
        <v>Tablet</v>
      </c>
      <c r="T12">
        <v>7</v>
      </c>
      <c r="U12">
        <v>4988.71</v>
      </c>
      <c r="V12">
        <v>34920.97</v>
      </c>
    </row>
    <row r="13" spans="1:24" ht="15" thickBot="1">
      <c r="A13" s="16" t="s">
        <v>2537</v>
      </c>
      <c r="B13" s="18" t="s">
        <v>2683</v>
      </c>
      <c r="C13" s="18" t="s">
        <v>2649</v>
      </c>
      <c r="D13" s="18" t="s">
        <v>2645</v>
      </c>
      <c r="E13" s="18" t="s">
        <v>2642</v>
      </c>
      <c r="F13" s="18" t="s">
        <v>2372</v>
      </c>
      <c r="G13" s="18" t="s">
        <v>2693</v>
      </c>
      <c r="H13" s="16">
        <v>19</v>
      </c>
      <c r="I13" s="16">
        <v>4562.0200000000004</v>
      </c>
      <c r="J13" s="16">
        <v>86678.38</v>
      </c>
      <c r="O13" t="str">
        <v>Chennai</v>
      </c>
      <c r="P13" t="str">
        <v>Tamil Nadu</v>
      </c>
      <c r="Q13" t="str">
        <v>South</v>
      </c>
      <c r="R13" t="str">
        <v>Furniture</v>
      </c>
      <c r="S13" t="str">
        <v>Sofa</v>
      </c>
      <c r="T13">
        <v>3</v>
      </c>
      <c r="U13">
        <v>3613.98</v>
      </c>
      <c r="V13">
        <v>10841.94</v>
      </c>
    </row>
    <row r="14" spans="1:24" ht="15" thickBot="1">
      <c r="A14" s="63">
        <v>45261</v>
      </c>
      <c r="B14" s="18" t="s">
        <v>2682</v>
      </c>
      <c r="C14" s="18" t="s">
        <v>2392</v>
      </c>
      <c r="D14" s="18" t="s">
        <v>2644</v>
      </c>
      <c r="E14" s="18" t="s">
        <v>2641</v>
      </c>
      <c r="F14" s="18" t="s">
        <v>2374</v>
      </c>
      <c r="G14" s="18" t="s">
        <v>2692</v>
      </c>
      <c r="H14" s="16">
        <v>6</v>
      </c>
      <c r="I14" s="16">
        <v>4231.7700000000004</v>
      </c>
      <c r="J14" s="16">
        <v>25390.62</v>
      </c>
      <c r="O14" t="str">
        <v>Madurai</v>
      </c>
      <c r="P14" t="str">
        <v>Tamil Nadu</v>
      </c>
      <c r="Q14" t="str">
        <v>South</v>
      </c>
      <c r="R14" t="str">
        <v>Groceries</v>
      </c>
      <c r="S14" t="str">
        <v>Lentils</v>
      </c>
      <c r="T14">
        <v>13</v>
      </c>
      <c r="U14">
        <v>646.63</v>
      </c>
      <c r="V14">
        <v>8406.19</v>
      </c>
    </row>
    <row r="15" spans="1:24" ht="15" thickBot="1">
      <c r="A15" s="16" t="s">
        <v>2497</v>
      </c>
      <c r="B15" s="18" t="s">
        <v>2685</v>
      </c>
      <c r="C15" s="18" t="s">
        <v>2656</v>
      </c>
      <c r="D15" s="18" t="s">
        <v>2648</v>
      </c>
      <c r="E15" s="18" t="s">
        <v>2641</v>
      </c>
      <c r="F15" s="18" t="s">
        <v>2372</v>
      </c>
      <c r="G15" s="18" t="s">
        <v>2694</v>
      </c>
      <c r="H15" s="16">
        <v>20</v>
      </c>
      <c r="I15" s="16">
        <v>1027.53</v>
      </c>
      <c r="J15" s="16">
        <v>20550.599999999999</v>
      </c>
      <c r="O15" t="str">
        <v>Madurai</v>
      </c>
      <c r="P15" t="str">
        <v>Tamil Nadu</v>
      </c>
      <c r="Q15" t="str">
        <v>South</v>
      </c>
      <c r="R15" t="str">
        <v>Clothing</v>
      </c>
      <c r="S15" t="str">
        <v>Dress</v>
      </c>
      <c r="T15">
        <v>15</v>
      </c>
      <c r="U15">
        <v>2194.7199999999998</v>
      </c>
      <c r="V15">
        <v>32920.800000000003</v>
      </c>
    </row>
    <row r="16" spans="1:24" ht="15" thickBot="1">
      <c r="A16" s="16" t="s">
        <v>2599</v>
      </c>
      <c r="B16" s="18" t="s">
        <v>2686</v>
      </c>
      <c r="C16" s="18" t="s">
        <v>2653</v>
      </c>
      <c r="D16" s="18" t="s">
        <v>2644</v>
      </c>
      <c r="E16" s="18" t="s">
        <v>2641</v>
      </c>
      <c r="F16" s="18" t="s">
        <v>2372</v>
      </c>
      <c r="G16" s="18" t="s">
        <v>2693</v>
      </c>
      <c r="H16" s="16">
        <v>7</v>
      </c>
      <c r="I16" s="16">
        <v>1257.3399999999999</v>
      </c>
      <c r="J16" s="16">
        <v>8801.3799999999992</v>
      </c>
      <c r="O16" t="str">
        <v>Madurai</v>
      </c>
      <c r="P16" t="str">
        <v>Tamil Nadu</v>
      </c>
      <c r="Q16" t="str">
        <v>South</v>
      </c>
      <c r="R16" t="str">
        <v>Electronics</v>
      </c>
      <c r="S16" t="str">
        <v>Tablet</v>
      </c>
      <c r="T16">
        <v>10</v>
      </c>
      <c r="U16">
        <v>2008.29</v>
      </c>
      <c r="V16">
        <v>20082.900000000001</v>
      </c>
    </row>
    <row r="17" spans="1:22" ht="15" thickBot="1">
      <c r="A17" s="16" t="s">
        <v>2506</v>
      </c>
      <c r="B17" s="18" t="s">
        <v>2683</v>
      </c>
      <c r="C17" s="18" t="s">
        <v>2660</v>
      </c>
      <c r="D17" s="18" t="s">
        <v>2647</v>
      </c>
      <c r="E17" s="18" t="s">
        <v>2643</v>
      </c>
      <c r="F17" s="18" t="s">
        <v>2372</v>
      </c>
      <c r="G17" s="18" t="s">
        <v>2694</v>
      </c>
      <c r="H17" s="16">
        <v>9</v>
      </c>
      <c r="I17" s="16">
        <v>2634.14</v>
      </c>
      <c r="J17" s="16">
        <v>23707.26</v>
      </c>
      <c r="O17" t="str">
        <v>Coimbatore</v>
      </c>
      <c r="P17" t="str">
        <v>Tamil Nadu</v>
      </c>
      <c r="Q17" t="str">
        <v>South</v>
      </c>
      <c r="R17" t="str">
        <v>Clothing</v>
      </c>
      <c r="S17" t="str">
        <v>Shirt</v>
      </c>
      <c r="T17">
        <v>15</v>
      </c>
      <c r="U17">
        <v>2158.2199999999998</v>
      </c>
      <c r="V17">
        <v>32373.3</v>
      </c>
    </row>
    <row r="18" spans="1:22" ht="15" thickBot="1">
      <c r="A18" s="63">
        <v>44963</v>
      </c>
      <c r="B18" s="18" t="s">
        <v>2681</v>
      </c>
      <c r="C18" s="18" t="s">
        <v>2393</v>
      </c>
      <c r="D18" s="18" t="s">
        <v>2644</v>
      </c>
      <c r="E18" s="18" t="s">
        <v>2641</v>
      </c>
      <c r="F18" s="18" t="s">
        <v>2373</v>
      </c>
      <c r="G18" s="18" t="s">
        <v>2688</v>
      </c>
      <c r="H18" s="16">
        <v>11</v>
      </c>
      <c r="I18" s="16">
        <v>4509.49</v>
      </c>
      <c r="J18" s="16">
        <v>49604.39</v>
      </c>
      <c r="O18" t="str">
        <v>Coimbatore</v>
      </c>
      <c r="P18" t="str">
        <v>Tamil Nadu</v>
      </c>
      <c r="Q18" t="str">
        <v>South</v>
      </c>
      <c r="R18" t="str">
        <v>Furniture</v>
      </c>
      <c r="S18" t="str">
        <v>Sofa</v>
      </c>
      <c r="T18">
        <v>8</v>
      </c>
      <c r="U18">
        <v>1990</v>
      </c>
      <c r="V18">
        <v>15920</v>
      </c>
    </row>
    <row r="19" spans="1:22" ht="15" thickBot="1">
      <c r="A19" s="16" t="s">
        <v>2514</v>
      </c>
      <c r="B19" s="18" t="s">
        <v>2682</v>
      </c>
      <c r="C19" s="18" t="s">
        <v>2396</v>
      </c>
      <c r="D19" s="18" t="s">
        <v>2648</v>
      </c>
      <c r="E19" s="18" t="s">
        <v>2641</v>
      </c>
      <c r="F19" s="18" t="s">
        <v>2661</v>
      </c>
      <c r="G19" s="18" t="s">
        <v>2695</v>
      </c>
      <c r="H19" s="16">
        <v>3</v>
      </c>
      <c r="I19" s="16">
        <v>2738.83</v>
      </c>
      <c r="J19" s="16">
        <v>8216.49</v>
      </c>
      <c r="O19" t="str">
        <v>Madurai</v>
      </c>
      <c r="P19" t="str">
        <v>Tamil Nadu</v>
      </c>
      <c r="Q19" t="str">
        <v>South</v>
      </c>
      <c r="R19" t="str">
        <v>Electronics</v>
      </c>
      <c r="S19" t="str">
        <v>Headphones</v>
      </c>
      <c r="T19">
        <v>20</v>
      </c>
      <c r="U19">
        <v>4397.46</v>
      </c>
      <c r="V19">
        <v>87949.2</v>
      </c>
    </row>
    <row r="20" spans="1:22" ht="15" thickBot="1">
      <c r="A20" s="16" t="s">
        <v>2481</v>
      </c>
      <c r="B20" s="18" t="s">
        <v>2682</v>
      </c>
      <c r="C20" s="18" t="s">
        <v>2653</v>
      </c>
      <c r="D20" s="18" t="s">
        <v>2644</v>
      </c>
      <c r="E20" s="18" t="s">
        <v>2641</v>
      </c>
      <c r="F20" s="18" t="s">
        <v>2372</v>
      </c>
      <c r="G20" s="18" t="s">
        <v>2690</v>
      </c>
      <c r="H20" s="16">
        <v>10</v>
      </c>
      <c r="I20" s="16">
        <v>4247.74</v>
      </c>
      <c r="J20" s="16">
        <v>42477.4</v>
      </c>
      <c r="O20" t="str">
        <v>Coimbatore</v>
      </c>
      <c r="P20" t="str">
        <v>Tamil Nadu</v>
      </c>
      <c r="Q20" t="str">
        <v>South</v>
      </c>
      <c r="R20" t="str">
        <v>Groceries</v>
      </c>
      <c r="S20" t="str">
        <v>Oil</v>
      </c>
      <c r="T20">
        <v>13</v>
      </c>
      <c r="U20">
        <v>4087.03</v>
      </c>
      <c r="V20">
        <v>53131.39</v>
      </c>
    </row>
    <row r="21" spans="1:22" ht="15" thickBot="1">
      <c r="A21" s="16" t="s">
        <v>2444</v>
      </c>
      <c r="B21" s="18" t="s">
        <v>2680</v>
      </c>
      <c r="C21" s="18" t="s">
        <v>2649</v>
      </c>
      <c r="D21" s="18" t="s">
        <v>2645</v>
      </c>
      <c r="E21" s="18" t="s">
        <v>2642</v>
      </c>
      <c r="F21" s="18" t="s">
        <v>2374</v>
      </c>
      <c r="G21" s="18" t="s">
        <v>2692</v>
      </c>
      <c r="H21" s="16">
        <v>3</v>
      </c>
      <c r="I21" s="16">
        <v>1133.19</v>
      </c>
      <c r="J21" s="16">
        <v>3399.57</v>
      </c>
      <c r="O21" t="str">
        <v>Coimbatore</v>
      </c>
      <c r="P21" t="str">
        <v>Tamil Nadu</v>
      </c>
      <c r="Q21" t="str">
        <v>South</v>
      </c>
      <c r="R21" t="str">
        <v>Groceries</v>
      </c>
      <c r="S21" t="str">
        <v>Lentils</v>
      </c>
      <c r="T21">
        <v>16</v>
      </c>
      <c r="U21">
        <v>827.8</v>
      </c>
      <c r="V21">
        <v>13244.8</v>
      </c>
    </row>
    <row r="22" spans="1:22" ht="15" thickBot="1">
      <c r="A22" s="16" t="s">
        <v>2526</v>
      </c>
      <c r="B22" s="18" t="s">
        <v>2687</v>
      </c>
      <c r="C22" s="18" t="s">
        <v>2659</v>
      </c>
      <c r="D22" s="18" t="s">
        <v>2647</v>
      </c>
      <c r="E22" s="18" t="s">
        <v>2643</v>
      </c>
      <c r="F22" s="18" t="s">
        <v>2370</v>
      </c>
      <c r="G22" s="18" t="s">
        <v>1336</v>
      </c>
      <c r="H22" s="16">
        <v>6</v>
      </c>
      <c r="I22" s="16">
        <v>623.22</v>
      </c>
      <c r="J22" s="16">
        <v>3739.32</v>
      </c>
      <c r="O22" t="str">
        <v>Chennai</v>
      </c>
      <c r="P22" t="str">
        <v>Tamil Nadu</v>
      </c>
      <c r="Q22" t="str">
        <v>South</v>
      </c>
      <c r="R22" t="str">
        <v>Clothing</v>
      </c>
      <c r="S22" t="str">
        <v>Shirt</v>
      </c>
      <c r="T22">
        <v>10</v>
      </c>
      <c r="U22">
        <v>2469.04</v>
      </c>
      <c r="V22">
        <v>24690.400000000001</v>
      </c>
    </row>
    <row r="23" spans="1:22" ht="15" thickBot="1">
      <c r="A23" s="16" t="s">
        <v>2580</v>
      </c>
      <c r="B23" s="18" t="s">
        <v>2681</v>
      </c>
      <c r="C23" s="18" t="s">
        <v>2654</v>
      </c>
      <c r="D23" s="18" t="s">
        <v>2646</v>
      </c>
      <c r="E23" s="18" t="s">
        <v>2642</v>
      </c>
      <c r="F23" s="18" t="s">
        <v>2374</v>
      </c>
      <c r="G23" s="18" t="s">
        <v>2689</v>
      </c>
      <c r="H23" s="16">
        <v>18</v>
      </c>
      <c r="I23" s="16">
        <v>698.42</v>
      </c>
      <c r="J23" s="16">
        <v>12571.56</v>
      </c>
      <c r="O23" t="str">
        <v>Chennai</v>
      </c>
      <c r="P23" t="str">
        <v>Tamil Nadu</v>
      </c>
      <c r="Q23" t="str">
        <v>South</v>
      </c>
      <c r="R23" t="str">
        <v>Stationery</v>
      </c>
      <c r="S23" t="str">
        <v>Ruler</v>
      </c>
      <c r="T23">
        <v>12</v>
      </c>
      <c r="U23">
        <v>2127.2800000000002</v>
      </c>
      <c r="V23">
        <v>25527.360000000001</v>
      </c>
    </row>
    <row r="24" spans="1:22" ht="15" thickBot="1">
      <c r="A24" s="63">
        <v>45089</v>
      </c>
      <c r="B24" s="18" t="s">
        <v>2684</v>
      </c>
      <c r="C24" s="18" t="s">
        <v>2655</v>
      </c>
      <c r="D24" s="18" t="s">
        <v>2645</v>
      </c>
      <c r="E24" s="18" t="s">
        <v>2642</v>
      </c>
      <c r="F24" s="18" t="s">
        <v>2661</v>
      </c>
      <c r="G24" s="18" t="s">
        <v>2696</v>
      </c>
      <c r="H24" s="16">
        <v>19</v>
      </c>
      <c r="I24" s="16">
        <v>2494.11</v>
      </c>
      <c r="J24" s="16">
        <v>47388.09</v>
      </c>
      <c r="O24" t="str">
        <v>Chennai</v>
      </c>
      <c r="P24" t="str">
        <v>Tamil Nadu</v>
      </c>
      <c r="Q24" t="str">
        <v>South</v>
      </c>
      <c r="R24" t="str">
        <v>Electronics</v>
      </c>
      <c r="S24" t="str">
        <v>Laptop</v>
      </c>
      <c r="T24">
        <v>1</v>
      </c>
      <c r="U24">
        <v>1811.76</v>
      </c>
      <c r="V24">
        <v>1811.76</v>
      </c>
    </row>
    <row r="25" spans="1:22" ht="15" thickBot="1">
      <c r="A25" s="16" t="s">
        <v>2433</v>
      </c>
      <c r="B25" s="18" t="s">
        <v>2683</v>
      </c>
      <c r="C25" s="18" t="s">
        <v>2650</v>
      </c>
      <c r="D25" s="18" t="s">
        <v>2646</v>
      </c>
      <c r="E25" s="18" t="s">
        <v>2642</v>
      </c>
      <c r="F25" s="18" t="s">
        <v>2661</v>
      </c>
      <c r="G25" s="18" t="s">
        <v>2696</v>
      </c>
      <c r="H25" s="16">
        <v>15</v>
      </c>
      <c r="I25" s="16">
        <v>3368.77</v>
      </c>
      <c r="J25" s="16">
        <v>50531.55</v>
      </c>
      <c r="O25" t="str">
        <v>Madurai</v>
      </c>
      <c r="P25" t="str">
        <v>Tamil Nadu</v>
      </c>
      <c r="Q25" t="str">
        <v>South</v>
      </c>
      <c r="R25" t="str">
        <v>Furniture</v>
      </c>
      <c r="S25" t="str">
        <v>Chair</v>
      </c>
      <c r="T25">
        <v>3</v>
      </c>
      <c r="U25">
        <v>4027.17</v>
      </c>
      <c r="V25">
        <v>12081.51</v>
      </c>
    </row>
    <row r="26" spans="1:22" ht="15" thickBot="1">
      <c r="A26" s="16" t="s">
        <v>2521</v>
      </c>
      <c r="B26" s="18" t="s">
        <v>2680</v>
      </c>
      <c r="C26" s="18" t="s">
        <v>2649</v>
      </c>
      <c r="D26" s="18" t="s">
        <v>2645</v>
      </c>
      <c r="E26" s="18" t="s">
        <v>2642</v>
      </c>
      <c r="F26" s="18" t="s">
        <v>2373</v>
      </c>
      <c r="G26" s="18" t="s">
        <v>2697</v>
      </c>
      <c r="H26" s="16">
        <v>2</v>
      </c>
      <c r="I26" s="16">
        <v>962.28</v>
      </c>
      <c r="J26" s="16">
        <v>1924.56</v>
      </c>
      <c r="O26" t="str">
        <v>Chennai</v>
      </c>
      <c r="P26" t="str">
        <v>Tamil Nadu</v>
      </c>
      <c r="Q26" t="str">
        <v>South</v>
      </c>
      <c r="R26" t="str">
        <v>Groceries</v>
      </c>
      <c r="S26" t="str">
        <v>Sugar</v>
      </c>
      <c r="T26">
        <v>20</v>
      </c>
      <c r="U26">
        <v>4072.4</v>
      </c>
      <c r="V26">
        <v>81448</v>
      </c>
    </row>
    <row r="27" spans="1:22" ht="15" thickBot="1">
      <c r="A27" s="63">
        <v>44930</v>
      </c>
      <c r="B27" s="18" t="s">
        <v>2687</v>
      </c>
      <c r="C27" s="18" t="s">
        <v>2393</v>
      </c>
      <c r="D27" s="18" t="s">
        <v>2644</v>
      </c>
      <c r="E27" s="18" t="s">
        <v>2641</v>
      </c>
      <c r="F27" s="18" t="s">
        <v>2372</v>
      </c>
      <c r="G27" s="18" t="s">
        <v>2694</v>
      </c>
      <c r="H27" s="16">
        <v>19</v>
      </c>
      <c r="I27" s="16">
        <v>1065.27</v>
      </c>
      <c r="J27" s="16">
        <v>20240.13</v>
      </c>
      <c r="O27" t="str">
        <v>Madurai</v>
      </c>
      <c r="P27" t="str">
        <v>Tamil Nadu</v>
      </c>
      <c r="Q27" t="str">
        <v>South</v>
      </c>
      <c r="R27" t="str">
        <v>Furniture</v>
      </c>
      <c r="S27" t="str">
        <v>Chair</v>
      </c>
      <c r="T27">
        <v>8</v>
      </c>
      <c r="U27">
        <v>2986.89</v>
      </c>
      <c r="V27">
        <v>23895.119999999999</v>
      </c>
    </row>
    <row r="28" spans="1:22" ht="15" thickBot="1">
      <c r="A28" s="16" t="s">
        <v>2666</v>
      </c>
      <c r="B28" s="18" t="s">
        <v>2687</v>
      </c>
      <c r="C28" s="18" t="s">
        <v>2656</v>
      </c>
      <c r="D28" s="18" t="s">
        <v>2648</v>
      </c>
      <c r="E28" s="18" t="s">
        <v>2641</v>
      </c>
      <c r="F28" s="18" t="s">
        <v>2661</v>
      </c>
      <c r="G28" s="18" t="s">
        <v>2695</v>
      </c>
      <c r="H28" s="16">
        <v>10</v>
      </c>
      <c r="I28" s="16">
        <v>4507.62</v>
      </c>
      <c r="J28" s="16">
        <v>45076.2</v>
      </c>
      <c r="O28" t="str">
        <v>Coimbatore</v>
      </c>
      <c r="P28" t="str">
        <v>Tamil Nadu</v>
      </c>
      <c r="Q28" t="str">
        <v>South</v>
      </c>
      <c r="R28" t="str">
        <v>Furniture</v>
      </c>
      <c r="S28" t="str">
        <v>Bed</v>
      </c>
      <c r="T28">
        <v>6</v>
      </c>
      <c r="U28">
        <v>1750.35</v>
      </c>
      <c r="V28">
        <v>10502.1</v>
      </c>
    </row>
    <row r="29" spans="1:22" ht="15" thickBot="1">
      <c r="A29" s="16" t="s">
        <v>2532</v>
      </c>
      <c r="B29" s="18" t="s">
        <v>2681</v>
      </c>
      <c r="C29" s="18" t="s">
        <v>2659</v>
      </c>
      <c r="D29" s="18" t="s">
        <v>2647</v>
      </c>
      <c r="E29" s="18" t="s">
        <v>2643</v>
      </c>
      <c r="F29" s="18" t="s">
        <v>2372</v>
      </c>
      <c r="G29" s="18" t="s">
        <v>2693</v>
      </c>
      <c r="H29" s="16">
        <v>4</v>
      </c>
      <c r="I29" s="16">
        <v>4373.75</v>
      </c>
      <c r="J29" s="16">
        <v>17495</v>
      </c>
      <c r="O29" t="str">
        <v>Coimbatore</v>
      </c>
      <c r="P29" t="str">
        <v>Tamil Nadu</v>
      </c>
      <c r="Q29" t="str">
        <v>South</v>
      </c>
      <c r="R29" t="str">
        <v>Groceries</v>
      </c>
      <c r="S29" t="str">
        <v>Lentils</v>
      </c>
      <c r="T29">
        <v>6</v>
      </c>
      <c r="U29">
        <v>1105.03</v>
      </c>
      <c r="V29">
        <v>6630.18</v>
      </c>
    </row>
    <row r="30" spans="1:22" ht="15" thickBot="1">
      <c r="A30" s="16" t="s">
        <v>2503</v>
      </c>
      <c r="B30" s="18" t="s">
        <v>2685</v>
      </c>
      <c r="C30" s="18" t="s">
        <v>2654</v>
      </c>
      <c r="D30" s="18" t="s">
        <v>2646</v>
      </c>
      <c r="E30" s="18" t="s">
        <v>2642</v>
      </c>
      <c r="F30" s="18" t="s">
        <v>2372</v>
      </c>
      <c r="G30" s="18" t="s">
        <v>2693</v>
      </c>
      <c r="H30" s="16">
        <v>4</v>
      </c>
      <c r="I30" s="16">
        <v>791.28</v>
      </c>
      <c r="J30" s="16">
        <v>3165.12</v>
      </c>
      <c r="O30" t="str">
        <v>Coimbatore</v>
      </c>
      <c r="P30" t="str">
        <v>Tamil Nadu</v>
      </c>
      <c r="Q30" t="str">
        <v>South</v>
      </c>
      <c r="R30" t="str">
        <v>Furniture</v>
      </c>
      <c r="S30" t="str">
        <v>Table</v>
      </c>
      <c r="T30">
        <v>17</v>
      </c>
      <c r="U30">
        <v>1801.69</v>
      </c>
      <c r="V30">
        <v>30628.73</v>
      </c>
    </row>
    <row r="31" spans="1:22" ht="15" thickBot="1">
      <c r="A31" s="63">
        <v>45082</v>
      </c>
      <c r="B31" s="18" t="s">
        <v>2684</v>
      </c>
      <c r="C31" s="18" t="s">
        <v>2649</v>
      </c>
      <c r="D31" s="18" t="s">
        <v>2645</v>
      </c>
      <c r="E31" s="18" t="s">
        <v>2642</v>
      </c>
      <c r="F31" s="18" t="s">
        <v>2661</v>
      </c>
      <c r="G31" s="18" t="s">
        <v>2691</v>
      </c>
      <c r="H31" s="16">
        <v>14</v>
      </c>
      <c r="I31" s="16">
        <v>4868.33</v>
      </c>
      <c r="J31" s="16">
        <v>68156.62</v>
      </c>
      <c r="O31" t="str">
        <v>Chennai</v>
      </c>
      <c r="P31" t="str">
        <v>Tamil Nadu</v>
      </c>
      <c r="Q31" t="str">
        <v>South</v>
      </c>
      <c r="R31" t="str">
        <v>Stationery</v>
      </c>
      <c r="S31" t="str">
        <v>Ruler</v>
      </c>
      <c r="T31">
        <v>14</v>
      </c>
      <c r="U31">
        <v>1410.91</v>
      </c>
      <c r="V31">
        <v>19752.740000000002</v>
      </c>
    </row>
    <row r="32" spans="1:22" ht="15" thickBot="1">
      <c r="A32" s="16" t="s">
        <v>2506</v>
      </c>
      <c r="B32" s="18" t="s">
        <v>2683</v>
      </c>
      <c r="C32" s="18" t="s">
        <v>2660</v>
      </c>
      <c r="D32" s="18" t="s">
        <v>2647</v>
      </c>
      <c r="E32" s="18" t="s">
        <v>2643</v>
      </c>
      <c r="F32" s="18" t="s">
        <v>2372</v>
      </c>
      <c r="G32" s="18" t="s">
        <v>2694</v>
      </c>
      <c r="H32" s="16">
        <v>12</v>
      </c>
      <c r="I32" s="16">
        <v>1958.77</v>
      </c>
      <c r="J32" s="16">
        <v>23505.24</v>
      </c>
      <c r="O32" t="str">
        <v>Chennai</v>
      </c>
      <c r="P32" t="str">
        <v>Tamil Nadu</v>
      </c>
      <c r="Q32" t="str">
        <v>South</v>
      </c>
      <c r="R32" t="str">
        <v>Stationery</v>
      </c>
      <c r="S32" t="str">
        <v>Eraser</v>
      </c>
      <c r="T32">
        <v>14</v>
      </c>
      <c r="U32">
        <v>3507.25</v>
      </c>
      <c r="V32">
        <v>49101.5</v>
      </c>
    </row>
    <row r="33" spans="1:22" ht="15" thickBot="1">
      <c r="A33" s="16" t="s">
        <v>2484</v>
      </c>
      <c r="B33" s="18" t="s">
        <v>2680</v>
      </c>
      <c r="C33" s="18" t="s">
        <v>2393</v>
      </c>
      <c r="D33" s="18" t="s">
        <v>2644</v>
      </c>
      <c r="E33" s="18" t="s">
        <v>2641</v>
      </c>
      <c r="F33" s="18" t="s">
        <v>2374</v>
      </c>
      <c r="G33" s="18" t="s">
        <v>2692</v>
      </c>
      <c r="H33" s="16">
        <v>10</v>
      </c>
      <c r="I33" s="16">
        <v>3690.75</v>
      </c>
      <c r="J33" s="16">
        <v>36907.5</v>
      </c>
      <c r="O33" t="str">
        <v>Coimbatore</v>
      </c>
      <c r="P33" t="str">
        <v>Tamil Nadu</v>
      </c>
      <c r="Q33" t="str">
        <v>South</v>
      </c>
      <c r="R33" t="str">
        <v>Furniture</v>
      </c>
      <c r="S33" t="str">
        <v>Table</v>
      </c>
      <c r="T33">
        <v>18</v>
      </c>
      <c r="U33">
        <v>4937.99</v>
      </c>
      <c r="V33">
        <v>88883.82</v>
      </c>
    </row>
    <row r="34" spans="1:22" ht="15" thickBot="1">
      <c r="A34" s="16" t="s">
        <v>2565</v>
      </c>
      <c r="B34" s="18" t="s">
        <v>2680</v>
      </c>
      <c r="C34" s="18" t="s">
        <v>2656</v>
      </c>
      <c r="D34" s="18" t="s">
        <v>2648</v>
      </c>
      <c r="E34" s="18" t="s">
        <v>2641</v>
      </c>
      <c r="F34" s="18" t="s">
        <v>2374</v>
      </c>
      <c r="G34" s="18" t="s">
        <v>2692</v>
      </c>
      <c r="H34" s="16">
        <v>17</v>
      </c>
      <c r="I34" s="16">
        <v>1037.05</v>
      </c>
      <c r="J34" s="16">
        <v>17629.849999999999</v>
      </c>
      <c r="O34" t="str">
        <v>Coimbatore</v>
      </c>
      <c r="P34" t="str">
        <v>Tamil Nadu</v>
      </c>
      <c r="Q34" t="str">
        <v>South</v>
      </c>
      <c r="R34" t="str">
        <v>Furniture</v>
      </c>
      <c r="S34" t="str">
        <v>Sofa</v>
      </c>
      <c r="T34">
        <v>17</v>
      </c>
      <c r="U34">
        <v>4415.8500000000004</v>
      </c>
      <c r="V34">
        <v>75069.45</v>
      </c>
    </row>
    <row r="35" spans="1:22" ht="15" thickBot="1">
      <c r="A35" s="63">
        <v>45231</v>
      </c>
      <c r="B35" s="18" t="s">
        <v>2686</v>
      </c>
      <c r="C35" s="18" t="s">
        <v>2655</v>
      </c>
      <c r="D35" s="18" t="s">
        <v>2645</v>
      </c>
      <c r="E35" s="18" t="s">
        <v>2642</v>
      </c>
      <c r="F35" s="18" t="s">
        <v>2661</v>
      </c>
      <c r="G35" s="18" t="s">
        <v>2698</v>
      </c>
      <c r="H35" s="16">
        <v>17</v>
      </c>
      <c r="I35" s="16">
        <v>2215.5500000000002</v>
      </c>
      <c r="J35" s="16">
        <v>37664.35</v>
      </c>
      <c r="O35" t="str">
        <v>Coimbatore</v>
      </c>
      <c r="P35" t="str">
        <v>Tamil Nadu</v>
      </c>
      <c r="Q35" t="str">
        <v>South</v>
      </c>
      <c r="R35" t="str">
        <v>Stationery</v>
      </c>
      <c r="S35" t="str">
        <v>Pen</v>
      </c>
      <c r="T35">
        <v>10</v>
      </c>
      <c r="U35">
        <v>3776.8</v>
      </c>
      <c r="V35">
        <v>37768</v>
      </c>
    </row>
    <row r="36" spans="1:22" ht="15" thickBot="1">
      <c r="A36" s="16" t="s">
        <v>2435</v>
      </c>
      <c r="B36" s="18" t="s">
        <v>2686</v>
      </c>
      <c r="C36" s="18" t="s">
        <v>2651</v>
      </c>
      <c r="D36" s="18" t="s">
        <v>2646</v>
      </c>
      <c r="E36" s="18" t="s">
        <v>2642</v>
      </c>
      <c r="F36" s="18" t="s">
        <v>2372</v>
      </c>
      <c r="G36" s="18" t="s">
        <v>2699</v>
      </c>
      <c r="H36" s="16">
        <v>19</v>
      </c>
      <c r="I36" s="16">
        <v>1343.6</v>
      </c>
      <c r="J36" s="16">
        <v>25528.400000000001</v>
      </c>
      <c r="O36" t="str">
        <v>Madurai</v>
      </c>
      <c r="P36" t="str">
        <v>Tamil Nadu</v>
      </c>
      <c r="Q36" t="str">
        <v>South</v>
      </c>
      <c r="R36" t="str">
        <v>Clothing</v>
      </c>
      <c r="S36" t="str">
        <v>Shirt</v>
      </c>
      <c r="T36">
        <v>8</v>
      </c>
      <c r="U36">
        <v>1421.21</v>
      </c>
      <c r="V36">
        <v>11369.68</v>
      </c>
    </row>
    <row r="37" spans="1:22" ht="15" thickBot="1">
      <c r="A37" s="63">
        <v>45204</v>
      </c>
      <c r="B37" s="18" t="s">
        <v>2686</v>
      </c>
      <c r="C37" s="18" t="s">
        <v>2653</v>
      </c>
      <c r="D37" s="18" t="s">
        <v>2644</v>
      </c>
      <c r="E37" s="18" t="s">
        <v>2641</v>
      </c>
      <c r="F37" s="18" t="s">
        <v>2661</v>
      </c>
      <c r="G37" s="18" t="s">
        <v>2691</v>
      </c>
      <c r="H37" s="16">
        <v>8</v>
      </c>
      <c r="I37" s="16">
        <v>4455.43</v>
      </c>
      <c r="J37" s="16">
        <v>35643.440000000002</v>
      </c>
      <c r="O37" t="str">
        <v>Chennai</v>
      </c>
      <c r="P37" t="str">
        <v>Tamil Nadu</v>
      </c>
      <c r="Q37" t="str">
        <v>South</v>
      </c>
      <c r="R37" t="str">
        <v>Furniture</v>
      </c>
      <c r="S37" t="str">
        <v>Chair</v>
      </c>
      <c r="T37">
        <v>3</v>
      </c>
      <c r="U37">
        <v>4359.8999999999996</v>
      </c>
      <c r="V37">
        <v>13079.7</v>
      </c>
    </row>
    <row r="38" spans="1:22" ht="15" thickBot="1">
      <c r="A38" s="16" t="s">
        <v>2522</v>
      </c>
      <c r="B38" s="18" t="s">
        <v>2684</v>
      </c>
      <c r="C38" s="18" t="s">
        <v>2650</v>
      </c>
      <c r="D38" s="18" t="s">
        <v>2646</v>
      </c>
      <c r="E38" s="18" t="s">
        <v>2642</v>
      </c>
      <c r="F38" s="18" t="s">
        <v>2374</v>
      </c>
      <c r="G38" s="18" t="s">
        <v>2700</v>
      </c>
      <c r="H38" s="16">
        <v>9</v>
      </c>
      <c r="I38" s="16">
        <v>3892.79</v>
      </c>
      <c r="J38" s="16">
        <v>35035.11</v>
      </c>
      <c r="O38" t="str">
        <v>Coimbatore</v>
      </c>
      <c r="P38" t="str">
        <v>Tamil Nadu</v>
      </c>
      <c r="Q38" t="str">
        <v>South</v>
      </c>
      <c r="R38" t="str">
        <v>Groceries</v>
      </c>
      <c r="S38" t="str">
        <v>Lentils</v>
      </c>
      <c r="T38">
        <v>19</v>
      </c>
      <c r="U38">
        <v>1441.02</v>
      </c>
      <c r="V38">
        <v>27379.38</v>
      </c>
    </row>
    <row r="39" spans="1:22" ht="15" thickBot="1">
      <c r="A39" s="63">
        <v>45089</v>
      </c>
      <c r="B39" s="18" t="s">
        <v>2684</v>
      </c>
      <c r="C39" s="18" t="s">
        <v>2659</v>
      </c>
      <c r="D39" s="18" t="s">
        <v>2647</v>
      </c>
      <c r="E39" s="18" t="s">
        <v>2643</v>
      </c>
      <c r="F39" s="18" t="s">
        <v>2370</v>
      </c>
      <c r="G39" s="18" t="s">
        <v>1336</v>
      </c>
      <c r="H39" s="16">
        <v>9</v>
      </c>
      <c r="I39" s="16">
        <v>4618.59</v>
      </c>
      <c r="J39" s="16">
        <v>41567.31</v>
      </c>
      <c r="O39" t="str">
        <v>Chennai</v>
      </c>
      <c r="P39" t="str">
        <v>Tamil Nadu</v>
      </c>
      <c r="Q39" t="str">
        <v>South</v>
      </c>
      <c r="R39" t="str">
        <v>Furniture</v>
      </c>
      <c r="S39" t="str">
        <v>Sofa</v>
      </c>
      <c r="T39">
        <v>19</v>
      </c>
      <c r="U39">
        <v>618.02</v>
      </c>
      <c r="V39">
        <v>11742.38</v>
      </c>
    </row>
    <row r="40" spans="1:22" ht="15" thickBot="1">
      <c r="A40" s="16" t="s">
        <v>2538</v>
      </c>
      <c r="B40" s="18" t="s">
        <v>2685</v>
      </c>
      <c r="C40" s="18" t="s">
        <v>2655</v>
      </c>
      <c r="D40" s="18" t="s">
        <v>2645</v>
      </c>
      <c r="E40" s="18" t="s">
        <v>2642</v>
      </c>
      <c r="F40" s="18" t="s">
        <v>2372</v>
      </c>
      <c r="G40" s="18" t="s">
        <v>2699</v>
      </c>
      <c r="H40" s="16">
        <v>11</v>
      </c>
      <c r="I40" s="16">
        <v>3385.93</v>
      </c>
      <c r="J40" s="16">
        <v>37245.230000000003</v>
      </c>
      <c r="O40" t="str">
        <v>Madurai</v>
      </c>
      <c r="P40" t="str">
        <v>Tamil Nadu</v>
      </c>
      <c r="Q40" t="str">
        <v>South</v>
      </c>
      <c r="R40" t="str">
        <v>Electronics</v>
      </c>
      <c r="S40" t="str">
        <v>Headphones</v>
      </c>
      <c r="T40">
        <v>16</v>
      </c>
      <c r="U40">
        <v>1870.47</v>
      </c>
      <c r="V40">
        <v>29927.52</v>
      </c>
    </row>
    <row r="41" spans="1:22" ht="15" thickBot="1">
      <c r="A41" s="16" t="s">
        <v>2536</v>
      </c>
      <c r="B41" s="18" t="s">
        <v>2684</v>
      </c>
      <c r="C41" s="18" t="s">
        <v>2656</v>
      </c>
      <c r="D41" s="18" t="s">
        <v>2648</v>
      </c>
      <c r="E41" s="18" t="s">
        <v>2641</v>
      </c>
      <c r="F41" s="18" t="s">
        <v>2374</v>
      </c>
      <c r="G41" s="18" t="s">
        <v>2692</v>
      </c>
      <c r="H41" s="16">
        <v>14</v>
      </c>
      <c r="I41" s="16">
        <v>2452.98</v>
      </c>
      <c r="J41" s="16">
        <v>34341.72</v>
      </c>
      <c r="O41" t="str">
        <v>Coimbatore</v>
      </c>
      <c r="P41" t="str">
        <v>Tamil Nadu</v>
      </c>
      <c r="Q41" t="str">
        <v>South</v>
      </c>
      <c r="R41" t="str">
        <v>Furniture</v>
      </c>
      <c r="S41" t="str">
        <v>Sofa</v>
      </c>
      <c r="T41">
        <v>10</v>
      </c>
      <c r="U41">
        <v>1229.56</v>
      </c>
      <c r="V41">
        <v>12295.6</v>
      </c>
    </row>
    <row r="42" spans="1:22" ht="15" thickBot="1">
      <c r="A42" s="63">
        <v>45024</v>
      </c>
      <c r="B42" s="18" t="s">
        <v>2678</v>
      </c>
      <c r="C42" s="18" t="s">
        <v>2658</v>
      </c>
      <c r="D42" s="18" t="s">
        <v>2645</v>
      </c>
      <c r="E42" s="18" t="s">
        <v>2642</v>
      </c>
      <c r="F42" s="18" t="s">
        <v>2370</v>
      </c>
      <c r="G42" s="18" t="s">
        <v>1335</v>
      </c>
      <c r="H42" s="16">
        <v>16</v>
      </c>
      <c r="I42" s="16">
        <v>695.96</v>
      </c>
      <c r="J42" s="16">
        <v>11135.36</v>
      </c>
      <c r="O42" t="str">
        <v>Coimbatore</v>
      </c>
      <c r="P42" t="str">
        <v>Tamil Nadu</v>
      </c>
      <c r="Q42" t="str">
        <v>South</v>
      </c>
      <c r="R42" t="str">
        <v>Clothing</v>
      </c>
      <c r="S42" t="str">
        <v>Jacket</v>
      </c>
      <c r="T42">
        <v>7</v>
      </c>
      <c r="U42">
        <v>3911.96</v>
      </c>
      <c r="V42">
        <v>27383.72</v>
      </c>
    </row>
    <row r="43" spans="1:22" ht="15" thickBot="1">
      <c r="A43" s="63">
        <v>44929</v>
      </c>
      <c r="B43" s="18" t="s">
        <v>2681</v>
      </c>
      <c r="C43" s="18" t="s">
        <v>2656</v>
      </c>
      <c r="D43" s="18" t="s">
        <v>2648</v>
      </c>
      <c r="E43" s="18" t="s">
        <v>2641</v>
      </c>
      <c r="F43" s="18" t="s">
        <v>2370</v>
      </c>
      <c r="G43" s="18" t="s">
        <v>2701</v>
      </c>
      <c r="H43" s="16">
        <v>1</v>
      </c>
      <c r="I43" s="16">
        <v>1979.54</v>
      </c>
      <c r="J43" s="16">
        <v>1979.54</v>
      </c>
      <c r="O43" t="str">
        <v>Coimbatore</v>
      </c>
      <c r="P43" t="str">
        <v>Tamil Nadu</v>
      </c>
      <c r="Q43" t="str">
        <v>South</v>
      </c>
      <c r="R43" t="str">
        <v>Furniture</v>
      </c>
      <c r="S43" t="str">
        <v>Chair</v>
      </c>
      <c r="T43">
        <v>20</v>
      </c>
      <c r="U43">
        <v>2449.44</v>
      </c>
      <c r="V43">
        <v>48988.800000000003</v>
      </c>
    </row>
    <row r="44" spans="1:22" ht="15" thickBot="1">
      <c r="A44" s="16" t="s">
        <v>2561</v>
      </c>
      <c r="B44" s="18" t="s">
        <v>2683</v>
      </c>
      <c r="C44" s="18" t="s">
        <v>2659</v>
      </c>
      <c r="D44" s="18" t="s">
        <v>2647</v>
      </c>
      <c r="E44" s="18" t="s">
        <v>2643</v>
      </c>
      <c r="F44" s="18" t="s">
        <v>2374</v>
      </c>
      <c r="G44" s="18" t="s">
        <v>2689</v>
      </c>
      <c r="H44" s="16">
        <v>9</v>
      </c>
      <c r="I44" s="16">
        <v>3727.82</v>
      </c>
      <c r="J44" s="16">
        <v>33550.379999999997</v>
      </c>
      <c r="O44" t="str">
        <v>Chennai</v>
      </c>
      <c r="P44" t="str">
        <v>Tamil Nadu</v>
      </c>
      <c r="Q44" t="str">
        <v>South</v>
      </c>
      <c r="R44" t="str">
        <v>Electronics</v>
      </c>
      <c r="S44" t="str">
        <v>Laptop</v>
      </c>
      <c r="T44">
        <v>6</v>
      </c>
      <c r="U44">
        <v>2862.86</v>
      </c>
      <c r="V44">
        <v>17177.16</v>
      </c>
    </row>
    <row r="45" spans="1:22" ht="15" thickBot="1">
      <c r="A45" s="16" t="s">
        <v>2540</v>
      </c>
      <c r="B45" s="18" t="s">
        <v>2678</v>
      </c>
      <c r="C45" s="18" t="s">
        <v>2396</v>
      </c>
      <c r="D45" s="18" t="s">
        <v>2648</v>
      </c>
      <c r="E45" s="18" t="s">
        <v>2641</v>
      </c>
      <c r="F45" s="18" t="s">
        <v>2661</v>
      </c>
      <c r="G45" s="18" t="s">
        <v>2698</v>
      </c>
      <c r="H45" s="16">
        <v>1</v>
      </c>
      <c r="I45" s="16">
        <v>1495.61</v>
      </c>
      <c r="J45" s="16">
        <v>1495.61</v>
      </c>
      <c r="O45" t="str">
        <v>Chennai</v>
      </c>
      <c r="P45" t="str">
        <v>Tamil Nadu</v>
      </c>
      <c r="Q45" t="str">
        <v>South</v>
      </c>
      <c r="R45" t="str">
        <v>Stationery</v>
      </c>
      <c r="S45" t="str">
        <v>Ruler</v>
      </c>
      <c r="T45">
        <v>4</v>
      </c>
      <c r="U45">
        <v>4795.3999999999996</v>
      </c>
      <c r="V45">
        <v>19181.599999999999</v>
      </c>
    </row>
    <row r="46" spans="1:22" ht="15" thickBot="1">
      <c r="A46" s="16" t="s">
        <v>2628</v>
      </c>
      <c r="B46" s="18" t="s">
        <v>2685</v>
      </c>
      <c r="C46" s="18" t="s">
        <v>2392</v>
      </c>
      <c r="D46" s="18" t="s">
        <v>2644</v>
      </c>
      <c r="E46" s="18" t="s">
        <v>2641</v>
      </c>
      <c r="F46" s="18" t="s">
        <v>2372</v>
      </c>
      <c r="G46" s="18" t="s">
        <v>2693</v>
      </c>
      <c r="H46" s="16">
        <v>18</v>
      </c>
      <c r="I46" s="16">
        <v>1928.15</v>
      </c>
      <c r="J46" s="16">
        <v>34706.699999999997</v>
      </c>
      <c r="O46" t="str">
        <v>Chennai</v>
      </c>
      <c r="P46" t="str">
        <v>Tamil Nadu</v>
      </c>
      <c r="Q46" t="str">
        <v>South</v>
      </c>
      <c r="R46" t="str">
        <v>Furniture</v>
      </c>
      <c r="S46" t="str">
        <v>Chair</v>
      </c>
      <c r="T46">
        <v>13</v>
      </c>
      <c r="U46">
        <v>1330.85</v>
      </c>
      <c r="V46">
        <v>17301.05</v>
      </c>
    </row>
    <row r="47" spans="1:22" ht="15" thickBot="1">
      <c r="A47" s="63">
        <v>45019</v>
      </c>
      <c r="B47" s="18" t="s">
        <v>2682</v>
      </c>
      <c r="C47" s="18" t="s">
        <v>2392</v>
      </c>
      <c r="D47" s="18" t="s">
        <v>2644</v>
      </c>
      <c r="E47" s="18" t="s">
        <v>2641</v>
      </c>
      <c r="F47" s="18" t="s">
        <v>2374</v>
      </c>
      <c r="G47" s="18" t="s">
        <v>2692</v>
      </c>
      <c r="H47" s="16">
        <v>1</v>
      </c>
      <c r="I47" s="16">
        <v>4192.3900000000003</v>
      </c>
      <c r="J47" s="16">
        <v>4192.3900000000003</v>
      </c>
      <c r="O47" t="str">
        <v>Coimbatore</v>
      </c>
      <c r="P47" t="str">
        <v>Tamil Nadu</v>
      </c>
      <c r="Q47" t="str">
        <v>South</v>
      </c>
      <c r="R47" t="str">
        <v>Stationery</v>
      </c>
      <c r="S47" t="str">
        <v>Eraser</v>
      </c>
      <c r="T47">
        <v>15</v>
      </c>
      <c r="U47">
        <v>4599.74</v>
      </c>
      <c r="V47">
        <v>68996.100000000006</v>
      </c>
    </row>
    <row r="48" spans="1:22" ht="15" thickBot="1">
      <c r="A48" s="63">
        <v>45018</v>
      </c>
      <c r="B48" s="18" t="s">
        <v>2685</v>
      </c>
      <c r="C48" s="18" t="s">
        <v>2650</v>
      </c>
      <c r="D48" s="18" t="s">
        <v>2646</v>
      </c>
      <c r="E48" s="18" t="s">
        <v>2642</v>
      </c>
      <c r="F48" s="18" t="s">
        <v>2370</v>
      </c>
      <c r="G48" s="18" t="s">
        <v>2702</v>
      </c>
      <c r="H48" s="16">
        <v>7</v>
      </c>
      <c r="I48" s="16">
        <v>4988.71</v>
      </c>
      <c r="J48" s="16">
        <v>34920.97</v>
      </c>
      <c r="O48" t="str">
        <v>Madurai</v>
      </c>
      <c r="P48" t="str">
        <v>Tamil Nadu</v>
      </c>
      <c r="Q48" t="str">
        <v>South</v>
      </c>
      <c r="R48" t="str">
        <v>Clothing</v>
      </c>
      <c r="S48" t="str">
        <v>Pants</v>
      </c>
      <c r="T48">
        <v>13</v>
      </c>
      <c r="U48">
        <v>739.6</v>
      </c>
      <c r="V48">
        <v>9614.7999999999993</v>
      </c>
    </row>
    <row r="49" spans="1:22" ht="15" thickBot="1">
      <c r="A49" s="16" t="s">
        <v>2569</v>
      </c>
      <c r="B49" s="18" t="s">
        <v>2684</v>
      </c>
      <c r="C49" s="18" t="s">
        <v>2655</v>
      </c>
      <c r="D49" s="18" t="s">
        <v>2645</v>
      </c>
      <c r="E49" s="18" t="s">
        <v>2642</v>
      </c>
      <c r="F49" s="18" t="s">
        <v>2372</v>
      </c>
      <c r="G49" s="18" t="s">
        <v>2693</v>
      </c>
      <c r="H49" s="16">
        <v>9</v>
      </c>
      <c r="I49" s="16">
        <v>1328.13</v>
      </c>
      <c r="J49" s="16">
        <v>11953.17</v>
      </c>
      <c r="O49" t="str">
        <v>Coimbatore</v>
      </c>
      <c r="P49" t="str">
        <v>Tamil Nadu</v>
      </c>
      <c r="Q49" t="str">
        <v>South</v>
      </c>
      <c r="R49" t="str">
        <v>Groceries</v>
      </c>
      <c r="S49" t="str">
        <v>Lentils</v>
      </c>
      <c r="T49">
        <v>20</v>
      </c>
      <c r="U49">
        <v>2295.08</v>
      </c>
      <c r="V49">
        <v>45901.599999999999</v>
      </c>
    </row>
    <row r="50" spans="1:22" ht="15" thickBot="1">
      <c r="A50" s="16" t="s">
        <v>2667</v>
      </c>
      <c r="B50" s="18" t="s">
        <v>2685</v>
      </c>
      <c r="C50" s="18" t="s">
        <v>2393</v>
      </c>
      <c r="D50" s="18" t="s">
        <v>2644</v>
      </c>
      <c r="E50" s="18" t="s">
        <v>2641</v>
      </c>
      <c r="F50" s="18" t="s">
        <v>2373</v>
      </c>
      <c r="G50" s="18" t="s">
        <v>2703</v>
      </c>
      <c r="H50" s="16">
        <v>9</v>
      </c>
      <c r="I50" s="16">
        <v>722.44</v>
      </c>
      <c r="J50" s="16">
        <v>6501.96</v>
      </c>
      <c r="O50" t="str">
        <v>Madurai</v>
      </c>
      <c r="P50" t="str">
        <v>Tamil Nadu</v>
      </c>
      <c r="Q50" t="str">
        <v>South</v>
      </c>
      <c r="R50" t="str">
        <v>Furniture</v>
      </c>
      <c r="S50" t="str">
        <v>Table</v>
      </c>
      <c r="T50">
        <v>8</v>
      </c>
      <c r="U50">
        <v>3279.33</v>
      </c>
      <c r="V50">
        <v>26234.639999999999</v>
      </c>
    </row>
    <row r="51" spans="1:22" ht="15" thickBot="1">
      <c r="A51" s="16" t="s">
        <v>2560</v>
      </c>
      <c r="B51" s="18" t="s">
        <v>2680</v>
      </c>
      <c r="C51" s="18" t="s">
        <v>2653</v>
      </c>
      <c r="D51" s="18" t="s">
        <v>2644</v>
      </c>
      <c r="E51" s="18" t="s">
        <v>2641</v>
      </c>
      <c r="F51" s="18" t="s">
        <v>2372</v>
      </c>
      <c r="G51" s="18" t="s">
        <v>2693</v>
      </c>
      <c r="H51" s="16">
        <v>2</v>
      </c>
      <c r="I51" s="16">
        <v>4726.0600000000004</v>
      </c>
      <c r="J51" s="16">
        <v>9452.1200000000008</v>
      </c>
      <c r="O51" t="str">
        <v>Madurai</v>
      </c>
      <c r="P51" t="str">
        <v>Tamil Nadu</v>
      </c>
      <c r="Q51" t="str">
        <v>South</v>
      </c>
      <c r="R51" t="str">
        <v>Electronics</v>
      </c>
      <c r="S51" t="str">
        <v>Headphones</v>
      </c>
      <c r="T51">
        <v>10</v>
      </c>
      <c r="U51">
        <v>2515.54</v>
      </c>
      <c r="V51">
        <v>25155.4</v>
      </c>
    </row>
    <row r="52" spans="1:22" ht="15" thickBot="1">
      <c r="A52" s="63">
        <v>45079</v>
      </c>
      <c r="B52" s="18" t="s">
        <v>2684</v>
      </c>
      <c r="C52" s="18" t="s">
        <v>2658</v>
      </c>
      <c r="D52" s="18" t="s">
        <v>2645</v>
      </c>
      <c r="E52" s="18" t="s">
        <v>2642</v>
      </c>
      <c r="F52" s="18" t="s">
        <v>2372</v>
      </c>
      <c r="G52" s="18" t="s">
        <v>2694</v>
      </c>
      <c r="H52" s="16">
        <v>3</v>
      </c>
      <c r="I52" s="16">
        <v>2263.4699999999998</v>
      </c>
      <c r="J52" s="16">
        <v>6790.41</v>
      </c>
      <c r="O52" t="str">
        <v>Coimbatore</v>
      </c>
      <c r="P52" t="str">
        <v>Tamil Nadu</v>
      </c>
      <c r="Q52" t="str">
        <v>South</v>
      </c>
      <c r="R52" t="str">
        <v>Groceries</v>
      </c>
      <c r="S52" t="str">
        <v>Oil</v>
      </c>
      <c r="T52">
        <v>16</v>
      </c>
      <c r="U52">
        <v>4047.21</v>
      </c>
      <c r="V52">
        <v>64755.360000000001</v>
      </c>
    </row>
    <row r="53" spans="1:22" ht="15" thickBot="1">
      <c r="A53" s="16" t="s">
        <v>2478</v>
      </c>
      <c r="B53" s="18" t="s">
        <v>2680</v>
      </c>
      <c r="C53" s="18" t="s">
        <v>2649</v>
      </c>
      <c r="D53" s="18" t="s">
        <v>2645</v>
      </c>
      <c r="E53" s="18" t="s">
        <v>2642</v>
      </c>
      <c r="F53" s="18" t="s">
        <v>2373</v>
      </c>
      <c r="G53" s="18" t="s">
        <v>2697</v>
      </c>
      <c r="H53" s="16">
        <v>20</v>
      </c>
      <c r="I53" s="16">
        <v>4365.58</v>
      </c>
      <c r="J53" s="16">
        <v>87311.6</v>
      </c>
      <c r="O53" t="str">
        <v>Chennai</v>
      </c>
      <c r="P53" t="str">
        <v>Tamil Nadu</v>
      </c>
      <c r="Q53" t="str">
        <v>South</v>
      </c>
      <c r="R53" t="str">
        <v>Clothing</v>
      </c>
      <c r="S53" t="str">
        <v>Jacket</v>
      </c>
      <c r="T53">
        <v>13</v>
      </c>
      <c r="U53">
        <v>1406.82</v>
      </c>
      <c r="V53">
        <v>18288.66</v>
      </c>
    </row>
    <row r="54" spans="1:22" ht="15" thickBot="1">
      <c r="A54" s="16" t="s">
        <v>2530</v>
      </c>
      <c r="B54" s="18" t="s">
        <v>2686</v>
      </c>
      <c r="C54" s="18" t="s">
        <v>2652</v>
      </c>
      <c r="D54" s="18" t="s">
        <v>2647</v>
      </c>
      <c r="E54" s="18" t="s">
        <v>2643</v>
      </c>
      <c r="F54" s="18" t="s">
        <v>2370</v>
      </c>
      <c r="G54" s="18" t="s">
        <v>1335</v>
      </c>
      <c r="H54" s="16">
        <v>20</v>
      </c>
      <c r="I54" s="16">
        <v>3925.65</v>
      </c>
      <c r="J54" s="16">
        <v>78513</v>
      </c>
      <c r="O54" t="str">
        <v>Coimbatore</v>
      </c>
      <c r="P54" t="str">
        <v>Tamil Nadu</v>
      </c>
      <c r="Q54" t="str">
        <v>South</v>
      </c>
      <c r="R54" t="str">
        <v>Groceries</v>
      </c>
      <c r="S54" t="str">
        <v>Oil</v>
      </c>
      <c r="T54">
        <v>3</v>
      </c>
      <c r="U54">
        <v>4931.6899999999996</v>
      </c>
      <c r="V54">
        <v>14795.07</v>
      </c>
    </row>
    <row r="55" spans="1:22" ht="15" thickBot="1">
      <c r="A55" s="63">
        <v>44995</v>
      </c>
      <c r="B55" s="18" t="s">
        <v>2679</v>
      </c>
      <c r="C55" s="18" t="s">
        <v>2650</v>
      </c>
      <c r="D55" s="18" t="s">
        <v>2646</v>
      </c>
      <c r="E55" s="18" t="s">
        <v>2642</v>
      </c>
      <c r="F55" s="18" t="s">
        <v>2373</v>
      </c>
      <c r="G55" s="18" t="s">
        <v>2703</v>
      </c>
      <c r="H55" s="16">
        <v>3</v>
      </c>
      <c r="I55" s="16">
        <v>3613.98</v>
      </c>
      <c r="J55" s="16">
        <v>10841.94</v>
      </c>
      <c r="O55" t="str">
        <v>Madurai</v>
      </c>
      <c r="P55" t="str">
        <v>Tamil Nadu</v>
      </c>
      <c r="Q55" t="str">
        <v>South</v>
      </c>
      <c r="R55" t="str">
        <v>Electronics</v>
      </c>
      <c r="S55" t="str">
        <v>Tablet</v>
      </c>
      <c r="T55">
        <v>8</v>
      </c>
      <c r="U55">
        <v>528.92999999999995</v>
      </c>
      <c r="V55">
        <v>4231.4399999999996</v>
      </c>
    </row>
    <row r="56" spans="1:22" ht="15" thickBot="1">
      <c r="A56" s="63">
        <v>45236</v>
      </c>
      <c r="B56" s="18" t="s">
        <v>2685</v>
      </c>
      <c r="C56" s="18" t="s">
        <v>2392</v>
      </c>
      <c r="D56" s="18" t="s">
        <v>2644</v>
      </c>
      <c r="E56" s="18" t="s">
        <v>2641</v>
      </c>
      <c r="F56" s="18" t="s">
        <v>2374</v>
      </c>
      <c r="G56" s="18" t="s">
        <v>2700</v>
      </c>
      <c r="H56" s="16">
        <v>7</v>
      </c>
      <c r="I56" s="16">
        <v>2483.54</v>
      </c>
      <c r="J56" s="16">
        <v>17384.78</v>
      </c>
      <c r="O56" t="str">
        <v>Coimbatore</v>
      </c>
      <c r="P56" t="str">
        <v>Tamil Nadu</v>
      </c>
      <c r="Q56" t="str">
        <v>South</v>
      </c>
      <c r="R56" t="str">
        <v>Groceries</v>
      </c>
      <c r="S56" t="str">
        <v>Rice</v>
      </c>
      <c r="T56">
        <v>11</v>
      </c>
      <c r="U56">
        <v>1527.71</v>
      </c>
      <c r="V56">
        <v>16804.810000000001</v>
      </c>
    </row>
    <row r="57" spans="1:22" ht="15" thickBot="1">
      <c r="A57" s="63">
        <v>44967</v>
      </c>
      <c r="B57" s="18" t="s">
        <v>2682</v>
      </c>
      <c r="C57" s="18" t="s">
        <v>2660</v>
      </c>
      <c r="D57" s="18" t="s">
        <v>2647</v>
      </c>
      <c r="E57" s="18" t="s">
        <v>2643</v>
      </c>
      <c r="F57" s="18" t="s">
        <v>2373</v>
      </c>
      <c r="G57" s="18" t="s">
        <v>2703</v>
      </c>
      <c r="H57" s="16">
        <v>14</v>
      </c>
      <c r="I57" s="16">
        <v>2145.21</v>
      </c>
      <c r="J57" s="16">
        <v>30032.94</v>
      </c>
      <c r="O57" t="str">
        <v>Madurai</v>
      </c>
      <c r="P57" t="str">
        <v>Tamil Nadu</v>
      </c>
      <c r="Q57" t="str">
        <v>South</v>
      </c>
      <c r="R57" t="str">
        <v>Electronics</v>
      </c>
      <c r="S57" t="str">
        <v>Headphones</v>
      </c>
      <c r="T57">
        <v>17</v>
      </c>
      <c r="U57">
        <v>1336.86</v>
      </c>
      <c r="V57">
        <v>22726.62</v>
      </c>
    </row>
    <row r="58" spans="1:22" ht="15" thickBot="1">
      <c r="A58" s="16" t="s">
        <v>2547</v>
      </c>
      <c r="B58" s="18" t="s">
        <v>2685</v>
      </c>
      <c r="C58" s="18" t="s">
        <v>2655</v>
      </c>
      <c r="D58" s="18" t="s">
        <v>2645</v>
      </c>
      <c r="E58" s="18" t="s">
        <v>2642</v>
      </c>
      <c r="F58" s="18" t="s">
        <v>2370</v>
      </c>
      <c r="G58" s="18" t="s">
        <v>2701</v>
      </c>
      <c r="H58" s="16">
        <v>8</v>
      </c>
      <c r="I58" s="16">
        <v>4997.45</v>
      </c>
      <c r="J58" s="16">
        <v>39979.599999999999</v>
      </c>
      <c r="O58" t="str">
        <v>Madurai</v>
      </c>
      <c r="P58" t="str">
        <v>Tamil Nadu</v>
      </c>
      <c r="Q58" t="str">
        <v>South</v>
      </c>
      <c r="R58" t="str">
        <v>Furniture</v>
      </c>
      <c r="S58" t="str">
        <v>Chair</v>
      </c>
      <c r="T58">
        <v>5</v>
      </c>
      <c r="U58">
        <v>221.41</v>
      </c>
      <c r="V58">
        <v>1107.05</v>
      </c>
    </row>
    <row r="59" spans="1:22" ht="15" thickBot="1">
      <c r="A59" s="63">
        <v>45176</v>
      </c>
      <c r="B59" s="18" t="s">
        <v>2686</v>
      </c>
      <c r="C59" s="18" t="s">
        <v>2656</v>
      </c>
      <c r="D59" s="18" t="s">
        <v>2648</v>
      </c>
      <c r="E59" s="18" t="s">
        <v>2641</v>
      </c>
      <c r="F59" s="18" t="s">
        <v>2370</v>
      </c>
      <c r="G59" s="18" t="s">
        <v>1336</v>
      </c>
      <c r="H59" s="16">
        <v>3</v>
      </c>
      <c r="I59" s="16">
        <v>1753.98</v>
      </c>
      <c r="J59" s="16">
        <v>5261.94</v>
      </c>
      <c r="O59" t="str">
        <v>Chennai</v>
      </c>
      <c r="P59" t="str">
        <v>Tamil Nadu</v>
      </c>
      <c r="Q59" t="str">
        <v>South</v>
      </c>
      <c r="R59" t="str">
        <v>Clothing</v>
      </c>
      <c r="S59" t="str">
        <v>Jacket</v>
      </c>
      <c r="T59">
        <v>9</v>
      </c>
      <c r="U59">
        <v>4218.3599999999997</v>
      </c>
      <c r="V59">
        <v>37965.24</v>
      </c>
    </row>
    <row r="60" spans="1:22" ht="15" thickBot="1">
      <c r="A60" s="16" t="s">
        <v>2552</v>
      </c>
      <c r="B60" s="18" t="s">
        <v>2683</v>
      </c>
      <c r="C60" s="18" t="s">
        <v>2649</v>
      </c>
      <c r="D60" s="18" t="s">
        <v>2645</v>
      </c>
      <c r="E60" s="18" t="s">
        <v>2642</v>
      </c>
      <c r="F60" s="18" t="s">
        <v>2370</v>
      </c>
      <c r="G60" s="18" t="s">
        <v>2701</v>
      </c>
      <c r="H60" s="16">
        <v>2</v>
      </c>
      <c r="I60" s="16">
        <v>1207.92</v>
      </c>
      <c r="J60" s="16">
        <v>2415.84</v>
      </c>
      <c r="O60" t="str">
        <v>Madurai</v>
      </c>
      <c r="P60" t="str">
        <v>Tamil Nadu</v>
      </c>
      <c r="Q60" t="str">
        <v>South</v>
      </c>
      <c r="R60" t="str">
        <v>Clothing</v>
      </c>
      <c r="S60" t="str">
        <v>Pants</v>
      </c>
      <c r="T60">
        <v>2</v>
      </c>
      <c r="U60">
        <v>1264.68</v>
      </c>
      <c r="V60">
        <v>2529.36</v>
      </c>
    </row>
    <row r="61" spans="1:22" ht="15" thickBot="1">
      <c r="A61" s="63">
        <v>45202</v>
      </c>
      <c r="B61" s="18" t="s">
        <v>2681</v>
      </c>
      <c r="C61" s="18" t="s">
        <v>2393</v>
      </c>
      <c r="D61" s="18" t="s">
        <v>2644</v>
      </c>
      <c r="E61" s="18" t="s">
        <v>2641</v>
      </c>
      <c r="F61" s="18" t="s">
        <v>2370</v>
      </c>
      <c r="G61" s="18" t="s">
        <v>2702</v>
      </c>
      <c r="H61" s="16">
        <v>13</v>
      </c>
      <c r="I61" s="16">
        <v>4196.33</v>
      </c>
      <c r="J61" s="16">
        <v>54552.29</v>
      </c>
      <c r="O61" t="str">
        <v>Madurai</v>
      </c>
      <c r="P61" t="str">
        <v>Tamil Nadu</v>
      </c>
      <c r="Q61" t="str">
        <v>South</v>
      </c>
      <c r="R61" t="str">
        <v>Groceries</v>
      </c>
      <c r="S61" t="str">
        <v>Sugar</v>
      </c>
      <c r="T61">
        <v>11</v>
      </c>
      <c r="U61">
        <v>4325.83</v>
      </c>
      <c r="V61">
        <v>47584.13</v>
      </c>
    </row>
    <row r="62" spans="1:22" ht="15" thickBot="1">
      <c r="A62" s="63">
        <v>44990</v>
      </c>
      <c r="B62" s="18" t="s">
        <v>2687</v>
      </c>
      <c r="C62" s="18" t="s">
        <v>2657</v>
      </c>
      <c r="D62" s="18" t="s">
        <v>2648</v>
      </c>
      <c r="E62" s="18" t="s">
        <v>2641</v>
      </c>
      <c r="F62" s="18" t="s">
        <v>2374</v>
      </c>
      <c r="G62" s="18" t="s">
        <v>2689</v>
      </c>
      <c r="H62" s="16">
        <v>18</v>
      </c>
      <c r="I62" s="16">
        <v>1310.78</v>
      </c>
      <c r="J62" s="16">
        <v>23594.04</v>
      </c>
      <c r="O62" t="str">
        <v>Coimbatore</v>
      </c>
      <c r="P62" t="str">
        <v>Tamil Nadu</v>
      </c>
      <c r="Q62" t="str">
        <v>South</v>
      </c>
      <c r="R62" t="str">
        <v>Stationery</v>
      </c>
      <c r="S62" t="str">
        <v>Pen</v>
      </c>
      <c r="T62">
        <v>18</v>
      </c>
      <c r="U62">
        <v>4132.6899999999996</v>
      </c>
      <c r="V62">
        <v>74388.42</v>
      </c>
    </row>
    <row r="63" spans="1:22" ht="15" thickBot="1">
      <c r="A63" s="16" t="s">
        <v>2550</v>
      </c>
      <c r="B63" s="18" t="s">
        <v>2686</v>
      </c>
      <c r="C63" s="18" t="s">
        <v>2393</v>
      </c>
      <c r="D63" s="18" t="s">
        <v>2644</v>
      </c>
      <c r="E63" s="18" t="s">
        <v>2641</v>
      </c>
      <c r="F63" s="18" t="s">
        <v>2373</v>
      </c>
      <c r="G63" s="18" t="s">
        <v>2703</v>
      </c>
      <c r="H63" s="16">
        <v>20</v>
      </c>
      <c r="I63" s="16">
        <v>2142.9</v>
      </c>
      <c r="J63" s="16">
        <v>42858</v>
      </c>
      <c r="O63" t="str">
        <v>Madurai</v>
      </c>
      <c r="P63" t="str">
        <v>Tamil Nadu</v>
      </c>
      <c r="Q63" t="str">
        <v>South</v>
      </c>
      <c r="R63" t="str">
        <v>Electronics</v>
      </c>
      <c r="S63" t="str">
        <v>Smartphone</v>
      </c>
      <c r="T63">
        <v>7</v>
      </c>
      <c r="U63">
        <v>1557.83</v>
      </c>
      <c r="V63">
        <v>10904.81</v>
      </c>
    </row>
    <row r="64" spans="1:22" ht="15" thickBot="1">
      <c r="A64" s="63">
        <v>44997</v>
      </c>
      <c r="B64" s="18" t="s">
        <v>2687</v>
      </c>
      <c r="C64" s="18" t="s">
        <v>2652</v>
      </c>
      <c r="D64" s="18" t="s">
        <v>2647</v>
      </c>
      <c r="E64" s="18" t="s">
        <v>2643</v>
      </c>
      <c r="F64" s="18" t="s">
        <v>2370</v>
      </c>
      <c r="G64" s="18" t="s">
        <v>2702</v>
      </c>
      <c r="H64" s="16">
        <v>19</v>
      </c>
      <c r="I64" s="16">
        <v>1359.7</v>
      </c>
      <c r="J64" s="16">
        <v>25834.3</v>
      </c>
      <c r="O64" t="str">
        <v>Chennai</v>
      </c>
      <c r="P64" t="str">
        <v>Tamil Nadu</v>
      </c>
      <c r="Q64" t="str">
        <v>South</v>
      </c>
      <c r="R64" t="str">
        <v>Stationery</v>
      </c>
      <c r="S64" t="str">
        <v>Pen</v>
      </c>
      <c r="T64">
        <v>8</v>
      </c>
      <c r="U64">
        <v>3927.74</v>
      </c>
      <c r="V64">
        <v>31421.919999999998</v>
      </c>
    </row>
    <row r="65" spans="1:22" ht="15" thickBot="1">
      <c r="A65" s="16" t="s">
        <v>2621</v>
      </c>
      <c r="B65" s="18" t="s">
        <v>2678</v>
      </c>
      <c r="C65" s="18" t="s">
        <v>2655</v>
      </c>
      <c r="D65" s="18" t="s">
        <v>2645</v>
      </c>
      <c r="E65" s="18" t="s">
        <v>2642</v>
      </c>
      <c r="F65" s="18" t="s">
        <v>2373</v>
      </c>
      <c r="G65" s="18" t="s">
        <v>2703</v>
      </c>
      <c r="H65" s="16">
        <v>16</v>
      </c>
      <c r="I65" s="16">
        <v>4896.07</v>
      </c>
      <c r="J65" s="16">
        <v>78337.119999999995</v>
      </c>
      <c r="O65" t="str">
        <v>Madurai</v>
      </c>
      <c r="P65" t="str">
        <v>Tamil Nadu</v>
      </c>
      <c r="Q65" t="str">
        <v>South</v>
      </c>
      <c r="R65" t="str">
        <v>Electronics</v>
      </c>
      <c r="S65" t="str">
        <v>Smartphone</v>
      </c>
      <c r="T65">
        <v>6</v>
      </c>
      <c r="U65">
        <v>4086.27</v>
      </c>
      <c r="V65">
        <v>24517.62</v>
      </c>
    </row>
    <row r="66" spans="1:22" ht="15" thickBot="1">
      <c r="A66" s="16" t="s">
        <v>2515</v>
      </c>
      <c r="B66" s="18" t="s">
        <v>2682</v>
      </c>
      <c r="C66" s="18" t="s">
        <v>2658</v>
      </c>
      <c r="D66" s="18" t="s">
        <v>2645</v>
      </c>
      <c r="E66" s="18" t="s">
        <v>2642</v>
      </c>
      <c r="F66" s="18" t="s">
        <v>2374</v>
      </c>
      <c r="G66" s="18" t="s">
        <v>2700</v>
      </c>
      <c r="H66" s="16">
        <v>8</v>
      </c>
      <c r="I66" s="16">
        <v>4216.03</v>
      </c>
      <c r="J66" s="16">
        <v>33728.239999999998</v>
      </c>
      <c r="O66" t="str">
        <v>Madurai</v>
      </c>
      <c r="P66" t="str">
        <v>Tamil Nadu</v>
      </c>
      <c r="Q66" t="str">
        <v>South</v>
      </c>
      <c r="R66" t="str">
        <v>Electronics</v>
      </c>
      <c r="S66" t="str">
        <v>Headphones</v>
      </c>
      <c r="T66">
        <v>8</v>
      </c>
      <c r="U66">
        <v>827.02</v>
      </c>
      <c r="V66">
        <v>6616.16</v>
      </c>
    </row>
    <row r="67" spans="1:22" ht="15" thickBot="1">
      <c r="A67" s="63">
        <v>45054</v>
      </c>
      <c r="B67" s="18" t="s">
        <v>2681</v>
      </c>
      <c r="C67" s="18" t="s">
        <v>2393</v>
      </c>
      <c r="D67" s="18" t="s">
        <v>2644</v>
      </c>
      <c r="E67" s="18" t="s">
        <v>2641</v>
      </c>
      <c r="F67" s="18" t="s">
        <v>2661</v>
      </c>
      <c r="G67" s="18" t="s">
        <v>2695</v>
      </c>
      <c r="H67" s="16">
        <v>14</v>
      </c>
      <c r="I67" s="16">
        <v>2134.06</v>
      </c>
      <c r="J67" s="16">
        <v>29876.84</v>
      </c>
      <c r="O67" t="str">
        <v>Madurai</v>
      </c>
      <c r="P67" t="str">
        <v>Tamil Nadu</v>
      </c>
      <c r="Q67" t="str">
        <v>South</v>
      </c>
      <c r="R67" t="str">
        <v>Stationery</v>
      </c>
      <c r="S67" t="str">
        <v>Ruler</v>
      </c>
      <c r="T67">
        <v>8</v>
      </c>
      <c r="U67">
        <v>3043.72</v>
      </c>
      <c r="V67">
        <v>24349.759999999998</v>
      </c>
    </row>
    <row r="68" spans="1:22" ht="15" thickBot="1">
      <c r="A68" s="16" t="s">
        <v>2607</v>
      </c>
      <c r="B68" s="18" t="s">
        <v>2687</v>
      </c>
      <c r="C68" s="18" t="s">
        <v>2660</v>
      </c>
      <c r="D68" s="18" t="s">
        <v>2647</v>
      </c>
      <c r="E68" s="18" t="s">
        <v>2643</v>
      </c>
      <c r="F68" s="18" t="s">
        <v>2373</v>
      </c>
      <c r="G68" s="18" t="s">
        <v>2697</v>
      </c>
      <c r="H68" s="16">
        <v>6</v>
      </c>
      <c r="I68" s="16">
        <v>1523.33</v>
      </c>
      <c r="J68" s="16">
        <v>9139.98</v>
      </c>
      <c r="O68" t="str">
        <v>Chennai</v>
      </c>
      <c r="P68" t="str">
        <v>Tamil Nadu</v>
      </c>
      <c r="Q68" t="str">
        <v>South</v>
      </c>
      <c r="R68" t="str">
        <v>Stationery</v>
      </c>
      <c r="S68" t="str">
        <v>Pen</v>
      </c>
      <c r="T68">
        <v>6</v>
      </c>
      <c r="U68">
        <v>4862.26</v>
      </c>
      <c r="V68">
        <v>29173.56</v>
      </c>
    </row>
    <row r="69" spans="1:22" ht="15" thickBot="1">
      <c r="A69" s="16" t="s">
        <v>2600</v>
      </c>
      <c r="B69" s="18" t="s">
        <v>2680</v>
      </c>
      <c r="C69" s="18" t="s">
        <v>2651</v>
      </c>
      <c r="D69" s="18" t="s">
        <v>2646</v>
      </c>
      <c r="E69" s="18" t="s">
        <v>2642</v>
      </c>
      <c r="F69" s="18" t="s">
        <v>2661</v>
      </c>
      <c r="G69" s="18" t="s">
        <v>2691</v>
      </c>
      <c r="H69" s="16">
        <v>13</v>
      </c>
      <c r="I69" s="16">
        <v>646.63</v>
      </c>
      <c r="J69" s="16">
        <v>8406.19</v>
      </c>
      <c r="O69" t="str">
        <v>Madurai</v>
      </c>
      <c r="P69" t="str">
        <v>Tamil Nadu</v>
      </c>
      <c r="Q69" t="str">
        <v>South</v>
      </c>
      <c r="R69" t="str">
        <v>Clothing</v>
      </c>
      <c r="S69" t="str">
        <v>Pants</v>
      </c>
      <c r="T69">
        <v>17</v>
      </c>
      <c r="U69">
        <v>544.41999999999996</v>
      </c>
      <c r="V69">
        <v>9255.14</v>
      </c>
    </row>
    <row r="70" spans="1:22" ht="15" thickBot="1">
      <c r="A70" s="16" t="s">
        <v>2561</v>
      </c>
      <c r="B70" s="18" t="s">
        <v>2683</v>
      </c>
      <c r="C70" s="18" t="s">
        <v>2655</v>
      </c>
      <c r="D70" s="18" t="s">
        <v>2645</v>
      </c>
      <c r="E70" s="18" t="s">
        <v>2642</v>
      </c>
      <c r="F70" s="18" t="s">
        <v>2374</v>
      </c>
      <c r="G70" s="18" t="s">
        <v>2704</v>
      </c>
      <c r="H70" s="16">
        <v>4</v>
      </c>
      <c r="I70" s="16">
        <v>4965.34</v>
      </c>
      <c r="J70" s="16">
        <v>19861.36</v>
      </c>
      <c r="O70" t="str">
        <v>Chennai</v>
      </c>
      <c r="P70" t="str">
        <v>Tamil Nadu</v>
      </c>
      <c r="Q70" t="str">
        <v>South</v>
      </c>
      <c r="R70" t="str">
        <v>Furniture</v>
      </c>
      <c r="S70" t="str">
        <v>Chair</v>
      </c>
      <c r="T70">
        <v>12</v>
      </c>
      <c r="U70">
        <v>1799.38</v>
      </c>
      <c r="V70">
        <v>21592.560000000001</v>
      </c>
    </row>
    <row r="71" spans="1:22" ht="15" thickBot="1">
      <c r="A71" s="16" t="s">
        <v>2668</v>
      </c>
      <c r="B71" s="18" t="s">
        <v>2685</v>
      </c>
      <c r="C71" s="18" t="s">
        <v>2393</v>
      </c>
      <c r="D71" s="18" t="s">
        <v>2644</v>
      </c>
      <c r="E71" s="18" t="s">
        <v>2641</v>
      </c>
      <c r="F71" s="18" t="s">
        <v>2374</v>
      </c>
      <c r="G71" s="18" t="s">
        <v>2692</v>
      </c>
      <c r="H71" s="16">
        <v>14</v>
      </c>
      <c r="I71" s="16">
        <v>2883.11</v>
      </c>
      <c r="J71" s="16">
        <v>40363.54</v>
      </c>
      <c r="O71" t="str">
        <v>Chennai</v>
      </c>
      <c r="P71" t="str">
        <v>Tamil Nadu</v>
      </c>
      <c r="Q71" t="str">
        <v>South</v>
      </c>
      <c r="R71" t="str">
        <v>Clothing</v>
      </c>
      <c r="S71" t="str">
        <v>Shirt</v>
      </c>
      <c r="T71">
        <v>11</v>
      </c>
      <c r="U71">
        <v>1634.39</v>
      </c>
      <c r="V71">
        <v>17978.29</v>
      </c>
    </row>
    <row r="72" spans="1:22" ht="15" thickBot="1">
      <c r="A72" s="16" t="s">
        <v>2446</v>
      </c>
      <c r="B72" s="18" t="s">
        <v>2682</v>
      </c>
      <c r="C72" s="18" t="s">
        <v>2659</v>
      </c>
      <c r="D72" s="18" t="s">
        <v>2647</v>
      </c>
      <c r="E72" s="18" t="s">
        <v>2643</v>
      </c>
      <c r="F72" s="18" t="s">
        <v>2661</v>
      </c>
      <c r="G72" s="18" t="s">
        <v>2695</v>
      </c>
      <c r="H72" s="16">
        <v>9</v>
      </c>
      <c r="I72" s="16">
        <v>2819.87</v>
      </c>
      <c r="J72" s="16">
        <v>25378.83</v>
      </c>
      <c r="O72" t="str">
        <v>Coimbatore</v>
      </c>
      <c r="P72" t="str">
        <v>Tamil Nadu</v>
      </c>
      <c r="Q72" t="str">
        <v>South</v>
      </c>
      <c r="R72" t="str">
        <v>Furniture</v>
      </c>
      <c r="S72" t="str">
        <v>Bed</v>
      </c>
      <c r="T72">
        <v>8</v>
      </c>
      <c r="U72">
        <v>1807.67</v>
      </c>
      <c r="V72">
        <v>14461.36</v>
      </c>
    </row>
    <row r="73" spans="1:22" ht="15" thickBot="1">
      <c r="A73" s="16" t="s">
        <v>2468</v>
      </c>
      <c r="B73" s="18" t="s">
        <v>2681</v>
      </c>
      <c r="C73" s="18" t="s">
        <v>2392</v>
      </c>
      <c r="D73" s="18" t="s">
        <v>2644</v>
      </c>
      <c r="E73" s="18" t="s">
        <v>2641</v>
      </c>
      <c r="F73" s="18" t="s">
        <v>2372</v>
      </c>
      <c r="G73" s="18" t="s">
        <v>2690</v>
      </c>
      <c r="H73" s="16">
        <v>12</v>
      </c>
      <c r="I73" s="16">
        <v>3961.23</v>
      </c>
      <c r="J73" s="16">
        <v>47534.76</v>
      </c>
      <c r="O73" t="str">
        <v>Coimbatore</v>
      </c>
      <c r="P73" t="str">
        <v>Tamil Nadu</v>
      </c>
      <c r="Q73" t="str">
        <v>South</v>
      </c>
      <c r="R73" t="str">
        <v>Electronics</v>
      </c>
      <c r="S73" t="str">
        <v>Smartphone</v>
      </c>
      <c r="T73">
        <v>2</v>
      </c>
      <c r="U73">
        <v>1195.99</v>
      </c>
      <c r="V73">
        <v>2391.98</v>
      </c>
    </row>
    <row r="74" spans="1:22" ht="15" thickBot="1">
      <c r="A74" s="63">
        <v>44960</v>
      </c>
      <c r="B74" s="18" t="s">
        <v>2683</v>
      </c>
      <c r="C74" s="18" t="s">
        <v>2651</v>
      </c>
      <c r="D74" s="18" t="s">
        <v>2646</v>
      </c>
      <c r="E74" s="18" t="s">
        <v>2642</v>
      </c>
      <c r="F74" s="18" t="s">
        <v>2372</v>
      </c>
      <c r="G74" s="18" t="s">
        <v>2690</v>
      </c>
      <c r="H74" s="16">
        <v>15</v>
      </c>
      <c r="I74" s="16">
        <v>2194.7199999999998</v>
      </c>
      <c r="J74" s="16">
        <v>32920.800000000003</v>
      </c>
      <c r="O74" t="str">
        <v>Chennai</v>
      </c>
      <c r="P74" t="str">
        <v>Tamil Nadu</v>
      </c>
      <c r="Q74" t="str">
        <v>South</v>
      </c>
      <c r="R74" t="str">
        <v>Furniture</v>
      </c>
      <c r="S74" t="str">
        <v>Chair</v>
      </c>
      <c r="T74">
        <v>16</v>
      </c>
      <c r="U74">
        <v>4817.63</v>
      </c>
      <c r="V74">
        <v>77082.080000000002</v>
      </c>
    </row>
    <row r="75" spans="1:22" ht="15" thickBot="1">
      <c r="A75" s="16" t="s">
        <v>2568</v>
      </c>
      <c r="B75" s="18" t="s">
        <v>2682</v>
      </c>
      <c r="C75" s="18" t="s">
        <v>2649</v>
      </c>
      <c r="D75" s="18" t="s">
        <v>2645</v>
      </c>
      <c r="E75" s="18" t="s">
        <v>2642</v>
      </c>
      <c r="F75" s="18" t="s">
        <v>2370</v>
      </c>
      <c r="G75" s="18" t="s">
        <v>2701</v>
      </c>
      <c r="H75" s="16">
        <v>5</v>
      </c>
      <c r="I75" s="16">
        <v>3058.74</v>
      </c>
      <c r="J75" s="16">
        <v>15293.7</v>
      </c>
      <c r="O75" t="str">
        <v>Chennai</v>
      </c>
      <c r="P75" t="str">
        <v>Tamil Nadu</v>
      </c>
      <c r="Q75" t="str">
        <v>South</v>
      </c>
      <c r="R75" t="str">
        <v>Groceries</v>
      </c>
      <c r="S75" t="str">
        <v>Oil</v>
      </c>
      <c r="T75">
        <v>4</v>
      </c>
      <c r="U75">
        <v>2395.66</v>
      </c>
      <c r="V75">
        <v>9582.64</v>
      </c>
    </row>
    <row r="76" spans="1:22" ht="15" thickBot="1">
      <c r="A76" s="63">
        <v>45211</v>
      </c>
      <c r="B76" s="18" t="s">
        <v>2684</v>
      </c>
      <c r="C76" s="18" t="s">
        <v>2392</v>
      </c>
      <c r="D76" s="18" t="s">
        <v>2644</v>
      </c>
      <c r="E76" s="18" t="s">
        <v>2641</v>
      </c>
      <c r="F76" s="18" t="s">
        <v>2372</v>
      </c>
      <c r="G76" s="18" t="s">
        <v>2690</v>
      </c>
      <c r="H76" s="16">
        <v>11</v>
      </c>
      <c r="I76" s="16">
        <v>827.59</v>
      </c>
      <c r="J76" s="16">
        <v>9103.49</v>
      </c>
      <c r="O76" t="str">
        <v>Chennai</v>
      </c>
      <c r="P76" t="str">
        <v>Tamil Nadu</v>
      </c>
      <c r="Q76" t="str">
        <v>South</v>
      </c>
      <c r="R76" t="str">
        <v>Groceries</v>
      </c>
      <c r="S76" t="str">
        <v>Rice</v>
      </c>
      <c r="T76">
        <v>2</v>
      </c>
      <c r="U76">
        <v>591.6</v>
      </c>
      <c r="V76">
        <v>1183.2</v>
      </c>
    </row>
    <row r="77" spans="1:22" ht="15" thickBot="1">
      <c r="A77" s="16" t="s">
        <v>2461</v>
      </c>
      <c r="B77" s="18" t="s">
        <v>2685</v>
      </c>
      <c r="C77" s="18" t="s">
        <v>2651</v>
      </c>
      <c r="D77" s="18" t="s">
        <v>2646</v>
      </c>
      <c r="E77" s="18" t="s">
        <v>2642</v>
      </c>
      <c r="F77" s="18" t="s">
        <v>2370</v>
      </c>
      <c r="G77" s="18" t="s">
        <v>2702</v>
      </c>
      <c r="H77" s="16">
        <v>10</v>
      </c>
      <c r="I77" s="16">
        <v>2008.29</v>
      </c>
      <c r="J77" s="16">
        <v>20082.900000000001</v>
      </c>
      <c r="O77" t="str">
        <v>Madurai</v>
      </c>
      <c r="P77" t="str">
        <v>Tamil Nadu</v>
      </c>
      <c r="Q77" t="str">
        <v>South</v>
      </c>
      <c r="R77" t="str">
        <v>Groceries</v>
      </c>
      <c r="S77" t="str">
        <v>Lentils</v>
      </c>
      <c r="T77">
        <v>13</v>
      </c>
      <c r="U77">
        <v>3574.45</v>
      </c>
      <c r="V77">
        <v>46467.85</v>
      </c>
    </row>
    <row r="78" spans="1:22" ht="15" thickBot="1">
      <c r="A78" s="16" t="s">
        <v>2514</v>
      </c>
      <c r="B78" s="18" t="s">
        <v>2684</v>
      </c>
      <c r="C78" s="18" t="s">
        <v>2396</v>
      </c>
      <c r="D78" s="18" t="s">
        <v>2648</v>
      </c>
      <c r="E78" s="18" t="s">
        <v>2641</v>
      </c>
      <c r="F78" s="18" t="s">
        <v>2372</v>
      </c>
      <c r="G78" s="18" t="s">
        <v>2693</v>
      </c>
      <c r="H78" s="16">
        <v>3</v>
      </c>
      <c r="I78" s="16">
        <v>4157.17</v>
      </c>
      <c r="J78" s="16">
        <v>12471.51</v>
      </c>
      <c r="O78" t="str">
        <v>Chennai</v>
      </c>
      <c r="P78" t="str">
        <v>Tamil Nadu</v>
      </c>
      <c r="Q78" t="str">
        <v>South</v>
      </c>
      <c r="R78" t="str">
        <v>Groceries</v>
      </c>
      <c r="S78" t="str">
        <v>Rice</v>
      </c>
      <c r="T78">
        <v>6</v>
      </c>
      <c r="U78">
        <v>4911.79</v>
      </c>
      <c r="V78">
        <v>29470.74</v>
      </c>
    </row>
    <row r="79" spans="1:22" ht="15" thickBot="1">
      <c r="A79" s="63">
        <v>45109</v>
      </c>
      <c r="B79" s="18" t="s">
        <v>2681</v>
      </c>
      <c r="C79" s="18" t="s">
        <v>2655</v>
      </c>
      <c r="D79" s="18" t="s">
        <v>2645</v>
      </c>
      <c r="E79" s="18" t="s">
        <v>2642</v>
      </c>
      <c r="F79" s="18" t="s">
        <v>2373</v>
      </c>
      <c r="G79" s="18" t="s">
        <v>2705</v>
      </c>
      <c r="H79" s="16">
        <v>19</v>
      </c>
      <c r="I79" s="16">
        <v>2880.28</v>
      </c>
      <c r="J79" s="16">
        <v>54725.32</v>
      </c>
      <c r="O79" t="str">
        <v>Coimbatore</v>
      </c>
      <c r="P79" t="str">
        <v>Tamil Nadu</v>
      </c>
      <c r="Q79" t="str">
        <v>South</v>
      </c>
      <c r="R79" t="str">
        <v>Clothing</v>
      </c>
      <c r="S79" t="str">
        <v>Shirt</v>
      </c>
      <c r="T79">
        <v>11</v>
      </c>
      <c r="U79">
        <v>1286.08</v>
      </c>
      <c r="V79">
        <v>14146.88</v>
      </c>
    </row>
    <row r="80" spans="1:22" ht="15" thickBot="1">
      <c r="A80" s="16" t="s">
        <v>2606</v>
      </c>
      <c r="B80" s="18" t="s">
        <v>2687</v>
      </c>
      <c r="C80" s="18" t="s">
        <v>2656</v>
      </c>
      <c r="D80" s="18" t="s">
        <v>2648</v>
      </c>
      <c r="E80" s="18" t="s">
        <v>2641</v>
      </c>
      <c r="F80" s="18" t="s">
        <v>2370</v>
      </c>
      <c r="G80" s="18" t="s">
        <v>1336</v>
      </c>
      <c r="H80" s="16">
        <v>6</v>
      </c>
      <c r="I80" s="16">
        <v>1212.76</v>
      </c>
      <c r="J80" s="16">
        <v>7276.56</v>
      </c>
      <c r="O80" t="str">
        <v>Coimbatore</v>
      </c>
      <c r="P80" t="str">
        <v>Tamil Nadu</v>
      </c>
      <c r="Q80" t="str">
        <v>South</v>
      </c>
      <c r="R80" t="str">
        <v>Furniture</v>
      </c>
      <c r="S80" t="str">
        <v>Sofa</v>
      </c>
      <c r="T80">
        <v>2</v>
      </c>
      <c r="U80">
        <v>3719.83</v>
      </c>
      <c r="V80">
        <v>7439.66</v>
      </c>
    </row>
    <row r="81" spans="1:22" ht="15" thickBot="1">
      <c r="A81" s="16" t="s">
        <v>2485</v>
      </c>
      <c r="B81" s="18" t="s">
        <v>2682</v>
      </c>
      <c r="C81" s="18" t="s">
        <v>2657</v>
      </c>
      <c r="D81" s="18" t="s">
        <v>2648</v>
      </c>
      <c r="E81" s="18" t="s">
        <v>2641</v>
      </c>
      <c r="F81" s="18" t="s">
        <v>2370</v>
      </c>
      <c r="G81" s="18" t="s">
        <v>2701</v>
      </c>
      <c r="H81" s="16">
        <v>11</v>
      </c>
      <c r="I81" s="16">
        <v>4463.4799999999996</v>
      </c>
      <c r="J81" s="16">
        <v>49098.28</v>
      </c>
      <c r="O81" t="str">
        <v>Madurai</v>
      </c>
      <c r="P81" t="str">
        <v>Tamil Nadu</v>
      </c>
      <c r="Q81" t="str">
        <v>South</v>
      </c>
      <c r="R81" t="str">
        <v>Stationery</v>
      </c>
      <c r="S81" t="str">
        <v>Ruler</v>
      </c>
      <c r="T81">
        <v>5</v>
      </c>
      <c r="U81">
        <v>4715.05</v>
      </c>
      <c r="V81">
        <v>23575.25</v>
      </c>
    </row>
    <row r="82" spans="1:22" ht="15" thickBot="1">
      <c r="A82" s="63">
        <v>45236</v>
      </c>
      <c r="B82" s="18" t="s">
        <v>2685</v>
      </c>
      <c r="C82" s="18" t="s">
        <v>2649</v>
      </c>
      <c r="D82" s="18" t="s">
        <v>2645</v>
      </c>
      <c r="E82" s="18" t="s">
        <v>2642</v>
      </c>
      <c r="F82" s="18" t="s">
        <v>2374</v>
      </c>
      <c r="G82" s="18" t="s">
        <v>2692</v>
      </c>
      <c r="H82" s="16">
        <v>17</v>
      </c>
      <c r="I82" s="16">
        <v>3975.74</v>
      </c>
      <c r="J82" s="16">
        <v>67587.58</v>
      </c>
      <c r="O82" t="str">
        <v>Chennai</v>
      </c>
      <c r="P82" t="str">
        <v>Tamil Nadu</v>
      </c>
      <c r="Q82" t="str">
        <v>South</v>
      </c>
      <c r="R82" t="str">
        <v>Electronics</v>
      </c>
      <c r="S82" t="str">
        <v>Tablet</v>
      </c>
      <c r="T82">
        <v>4</v>
      </c>
      <c r="U82">
        <v>4062.52</v>
      </c>
      <c r="V82">
        <v>16250.08</v>
      </c>
    </row>
    <row r="83" spans="1:22" ht="15" thickBot="1">
      <c r="A83" s="16" t="s">
        <v>2631</v>
      </c>
      <c r="B83" s="18" t="s">
        <v>2678</v>
      </c>
      <c r="C83" s="18" t="s">
        <v>2654</v>
      </c>
      <c r="D83" s="18" t="s">
        <v>2646</v>
      </c>
      <c r="E83" s="18" t="s">
        <v>2642</v>
      </c>
      <c r="F83" s="18" t="s">
        <v>2372</v>
      </c>
      <c r="G83" s="18" t="s">
        <v>2694</v>
      </c>
      <c r="H83" s="16">
        <v>15</v>
      </c>
      <c r="I83" s="16">
        <v>2158.2199999999998</v>
      </c>
      <c r="J83" s="16">
        <v>32373.3</v>
      </c>
      <c r="O83" t="str">
        <v>Coimbatore</v>
      </c>
      <c r="P83" t="str">
        <v>Tamil Nadu</v>
      </c>
      <c r="Q83" t="str">
        <v>South</v>
      </c>
      <c r="R83" t="str">
        <v>Furniture</v>
      </c>
      <c r="S83" t="str">
        <v>Table</v>
      </c>
      <c r="T83">
        <v>3</v>
      </c>
      <c r="U83">
        <v>3276.84</v>
      </c>
      <c r="V83">
        <v>9830.52</v>
      </c>
    </row>
    <row r="84" spans="1:22" ht="15" thickBot="1">
      <c r="A84" s="16" t="s">
        <v>2608</v>
      </c>
      <c r="B84" s="18" t="s">
        <v>2680</v>
      </c>
      <c r="C84" s="18" t="s">
        <v>2396</v>
      </c>
      <c r="D84" s="18" t="s">
        <v>2648</v>
      </c>
      <c r="E84" s="18" t="s">
        <v>2641</v>
      </c>
      <c r="F84" s="18" t="s">
        <v>2372</v>
      </c>
      <c r="G84" s="18" t="s">
        <v>2693</v>
      </c>
      <c r="H84" s="16">
        <v>17</v>
      </c>
      <c r="I84" s="16">
        <v>1720.9</v>
      </c>
      <c r="J84" s="16">
        <v>29255.3</v>
      </c>
      <c r="O84" t="str">
        <v>Coimbatore</v>
      </c>
      <c r="P84" t="str">
        <v>Tamil Nadu</v>
      </c>
      <c r="Q84" t="str">
        <v>South</v>
      </c>
      <c r="R84" t="str">
        <v>Groceries</v>
      </c>
      <c r="S84" t="str">
        <v>Sugar</v>
      </c>
      <c r="T84">
        <v>14</v>
      </c>
      <c r="U84">
        <v>859.79</v>
      </c>
      <c r="V84">
        <v>12037.06</v>
      </c>
    </row>
    <row r="85" spans="1:22" ht="15" thickBot="1">
      <c r="A85" s="16" t="s">
        <v>2471</v>
      </c>
      <c r="B85" s="18" t="s">
        <v>2684</v>
      </c>
      <c r="C85" s="18" t="s">
        <v>2392</v>
      </c>
      <c r="D85" s="18" t="s">
        <v>2644</v>
      </c>
      <c r="E85" s="18" t="s">
        <v>2641</v>
      </c>
      <c r="F85" s="18" t="s">
        <v>2372</v>
      </c>
      <c r="G85" s="18" t="s">
        <v>2690</v>
      </c>
      <c r="H85" s="16">
        <v>11</v>
      </c>
      <c r="I85" s="16">
        <v>3562.92</v>
      </c>
      <c r="J85" s="16">
        <v>39192.120000000003</v>
      </c>
      <c r="O85" t="str">
        <v>Madurai</v>
      </c>
      <c r="P85" t="str">
        <v>Tamil Nadu</v>
      </c>
      <c r="Q85" t="str">
        <v>South</v>
      </c>
      <c r="R85" t="str">
        <v>Furniture</v>
      </c>
      <c r="S85" t="str">
        <v>Bed</v>
      </c>
      <c r="T85">
        <v>11</v>
      </c>
      <c r="U85">
        <v>1673.53</v>
      </c>
      <c r="V85">
        <v>18408.830000000002</v>
      </c>
    </row>
    <row r="86" spans="1:22" ht="15" thickBot="1">
      <c r="A86" s="16" t="s">
        <v>2669</v>
      </c>
      <c r="B86" s="18" t="s">
        <v>2682</v>
      </c>
      <c r="C86" s="18" t="s">
        <v>2392</v>
      </c>
      <c r="D86" s="18" t="s">
        <v>2644</v>
      </c>
      <c r="E86" s="18" t="s">
        <v>2641</v>
      </c>
      <c r="F86" s="18" t="s">
        <v>2374</v>
      </c>
      <c r="G86" s="18" t="s">
        <v>2692</v>
      </c>
      <c r="H86" s="16">
        <v>17</v>
      </c>
      <c r="I86" s="16">
        <v>608.79</v>
      </c>
      <c r="J86" s="16">
        <v>10349.43</v>
      </c>
      <c r="O86" t="str">
        <v>Chennai</v>
      </c>
      <c r="P86" t="str">
        <v>Tamil Nadu</v>
      </c>
      <c r="Q86" t="str">
        <v>South</v>
      </c>
      <c r="R86" t="str">
        <v>Stationery</v>
      </c>
      <c r="S86" t="str">
        <v>Pen</v>
      </c>
      <c r="T86">
        <v>2</v>
      </c>
      <c r="U86">
        <v>2789.92</v>
      </c>
      <c r="V86">
        <v>5579.84</v>
      </c>
    </row>
    <row r="87" spans="1:22" ht="15" thickBot="1">
      <c r="A87" s="16" t="s">
        <v>2569</v>
      </c>
      <c r="B87" s="18" t="s">
        <v>2683</v>
      </c>
      <c r="C87" s="18" t="s">
        <v>2656</v>
      </c>
      <c r="D87" s="18" t="s">
        <v>2648</v>
      </c>
      <c r="E87" s="18" t="s">
        <v>2641</v>
      </c>
      <c r="F87" s="18" t="s">
        <v>2661</v>
      </c>
      <c r="G87" s="18" t="s">
        <v>2691</v>
      </c>
      <c r="H87" s="16">
        <v>20</v>
      </c>
      <c r="I87" s="16">
        <v>4856.17</v>
      </c>
      <c r="J87" s="16">
        <v>97123.4</v>
      </c>
      <c r="O87" t="str">
        <v>Coimbatore</v>
      </c>
      <c r="P87" t="str">
        <v>Tamil Nadu</v>
      </c>
      <c r="Q87" t="str">
        <v>South</v>
      </c>
      <c r="R87" t="str">
        <v>Groceries</v>
      </c>
      <c r="S87" t="str">
        <v>Sugar</v>
      </c>
      <c r="T87">
        <v>13</v>
      </c>
      <c r="U87">
        <v>2526.1999999999998</v>
      </c>
      <c r="V87">
        <v>32840.6</v>
      </c>
    </row>
    <row r="88" spans="1:22" ht="15" thickBot="1">
      <c r="A88" s="16" t="s">
        <v>2600</v>
      </c>
      <c r="B88" s="18" t="s">
        <v>2687</v>
      </c>
      <c r="C88" s="18" t="s">
        <v>2660</v>
      </c>
      <c r="D88" s="18" t="s">
        <v>2647</v>
      </c>
      <c r="E88" s="18" t="s">
        <v>2643</v>
      </c>
      <c r="F88" s="18" t="s">
        <v>2374</v>
      </c>
      <c r="G88" s="18" t="s">
        <v>2689</v>
      </c>
      <c r="H88" s="16">
        <v>12</v>
      </c>
      <c r="I88" s="16">
        <v>4298</v>
      </c>
      <c r="J88" s="16">
        <v>51576</v>
      </c>
      <c r="O88" t="str">
        <v>Madurai</v>
      </c>
      <c r="P88" t="str">
        <v>Tamil Nadu</v>
      </c>
      <c r="Q88" t="str">
        <v>South</v>
      </c>
      <c r="R88" t="str">
        <v>Electronics</v>
      </c>
      <c r="S88" t="str">
        <v>Laptop</v>
      </c>
      <c r="T88">
        <v>11</v>
      </c>
      <c r="U88">
        <v>1995.21</v>
      </c>
      <c r="V88">
        <v>21947.31</v>
      </c>
    </row>
    <row r="89" spans="1:22" ht="15" thickBot="1">
      <c r="A89" s="63">
        <v>45020</v>
      </c>
      <c r="B89" s="18" t="s">
        <v>2682</v>
      </c>
      <c r="C89" s="18" t="s">
        <v>2659</v>
      </c>
      <c r="D89" s="18" t="s">
        <v>2647</v>
      </c>
      <c r="E89" s="18" t="s">
        <v>2643</v>
      </c>
      <c r="F89" s="18" t="s">
        <v>2370</v>
      </c>
      <c r="G89" s="18" t="s">
        <v>2701</v>
      </c>
      <c r="H89" s="16">
        <v>7</v>
      </c>
      <c r="I89" s="16">
        <v>1160.3499999999999</v>
      </c>
      <c r="J89" s="16">
        <v>8122.45</v>
      </c>
      <c r="O89" t="str">
        <v>Chennai</v>
      </c>
      <c r="P89" t="str">
        <v>Tamil Nadu</v>
      </c>
      <c r="Q89" t="str">
        <v>South</v>
      </c>
      <c r="R89" t="str">
        <v>Clothing</v>
      </c>
      <c r="S89" t="str">
        <v>Pants</v>
      </c>
      <c r="T89">
        <v>4</v>
      </c>
      <c r="U89">
        <v>3831.39</v>
      </c>
      <c r="V89">
        <v>15325.56</v>
      </c>
    </row>
    <row r="90" spans="1:22" ht="15" thickBot="1">
      <c r="A90" s="63">
        <v>45115</v>
      </c>
      <c r="B90" s="18" t="s">
        <v>2684</v>
      </c>
      <c r="C90" s="18" t="s">
        <v>2660</v>
      </c>
      <c r="D90" s="18" t="s">
        <v>2647</v>
      </c>
      <c r="E90" s="18" t="s">
        <v>2643</v>
      </c>
      <c r="F90" s="18" t="s">
        <v>2372</v>
      </c>
      <c r="G90" s="18" t="s">
        <v>2693</v>
      </c>
      <c r="H90" s="16">
        <v>3</v>
      </c>
      <c r="I90" s="16">
        <v>2488.34</v>
      </c>
      <c r="J90" s="16">
        <v>7465.02</v>
      </c>
      <c r="O90" t="str">
        <v>Madurai</v>
      </c>
      <c r="P90" t="str">
        <v>Tamil Nadu</v>
      </c>
      <c r="Q90" t="str">
        <v>South</v>
      </c>
      <c r="R90" t="str">
        <v>Groceries</v>
      </c>
      <c r="S90" t="str">
        <v>Lentils</v>
      </c>
      <c r="T90">
        <v>10</v>
      </c>
      <c r="U90">
        <v>3771.5</v>
      </c>
      <c r="V90">
        <v>37715</v>
      </c>
    </row>
    <row r="91" spans="1:22" ht="15" thickBot="1">
      <c r="A91" s="16" t="s">
        <v>2631</v>
      </c>
      <c r="B91" s="18" t="s">
        <v>2680</v>
      </c>
      <c r="C91" s="18" t="s">
        <v>2654</v>
      </c>
      <c r="D91" s="18" t="s">
        <v>2646</v>
      </c>
      <c r="E91" s="18" t="s">
        <v>2642</v>
      </c>
      <c r="F91" s="18" t="s">
        <v>2373</v>
      </c>
      <c r="G91" s="18" t="s">
        <v>2703</v>
      </c>
      <c r="H91" s="16">
        <v>8</v>
      </c>
      <c r="I91" s="16">
        <v>1990</v>
      </c>
      <c r="J91" s="16">
        <v>15920</v>
      </c>
      <c r="O91" t="str">
        <v>Madurai</v>
      </c>
      <c r="P91" t="str">
        <v>Tamil Nadu</v>
      </c>
      <c r="Q91" t="str">
        <v>South</v>
      </c>
      <c r="R91" t="str">
        <v>Clothing</v>
      </c>
      <c r="S91" t="str">
        <v>Shirt</v>
      </c>
      <c r="T91">
        <v>14</v>
      </c>
      <c r="U91">
        <v>3631.62</v>
      </c>
      <c r="V91">
        <v>50842.68</v>
      </c>
    </row>
    <row r="92" spans="1:22" ht="15" thickBot="1">
      <c r="A92" s="16" t="s">
        <v>2445</v>
      </c>
      <c r="B92" s="18" t="s">
        <v>2683</v>
      </c>
      <c r="C92" s="18" t="s">
        <v>2657</v>
      </c>
      <c r="D92" s="18" t="s">
        <v>2648</v>
      </c>
      <c r="E92" s="18" t="s">
        <v>2641</v>
      </c>
      <c r="F92" s="18" t="s">
        <v>2370</v>
      </c>
      <c r="G92" s="18" t="s">
        <v>2701</v>
      </c>
      <c r="H92" s="16">
        <v>20</v>
      </c>
      <c r="I92" s="16">
        <v>2446.21</v>
      </c>
      <c r="J92" s="16">
        <v>48924.2</v>
      </c>
      <c r="O92" t="str">
        <v>Madurai</v>
      </c>
      <c r="P92" t="str">
        <v>Tamil Nadu</v>
      </c>
      <c r="Q92" t="str">
        <v>South</v>
      </c>
      <c r="R92" t="str">
        <v>Clothing</v>
      </c>
      <c r="S92" t="str">
        <v>Jacket</v>
      </c>
      <c r="T92">
        <v>1</v>
      </c>
      <c r="U92">
        <v>1717.6</v>
      </c>
      <c r="V92">
        <v>1717.6</v>
      </c>
    </row>
    <row r="93" spans="1:22" ht="15" thickBot="1">
      <c r="A93" s="16" t="s">
        <v>2670</v>
      </c>
      <c r="B93" s="18" t="s">
        <v>2681</v>
      </c>
      <c r="C93" s="18" t="s">
        <v>2655</v>
      </c>
      <c r="D93" s="18" t="s">
        <v>2645</v>
      </c>
      <c r="E93" s="18" t="s">
        <v>2642</v>
      </c>
      <c r="F93" s="18" t="s">
        <v>2374</v>
      </c>
      <c r="G93" s="18" t="s">
        <v>2704</v>
      </c>
      <c r="H93" s="16">
        <v>11</v>
      </c>
      <c r="I93" s="16">
        <v>1841.84</v>
      </c>
      <c r="J93" s="16">
        <v>20260.240000000002</v>
      </c>
      <c r="O93" t="str">
        <v>Madurai</v>
      </c>
      <c r="P93" t="str">
        <v>Tamil Nadu</v>
      </c>
      <c r="Q93" t="str">
        <v>South</v>
      </c>
      <c r="R93" t="str">
        <v>Groceries</v>
      </c>
      <c r="S93" t="str">
        <v>Sugar</v>
      </c>
      <c r="T93">
        <v>9</v>
      </c>
      <c r="U93">
        <v>3220.44</v>
      </c>
      <c r="V93">
        <v>28983.96</v>
      </c>
    </row>
    <row r="94" spans="1:22" ht="15" thickBot="1">
      <c r="A94" s="63">
        <v>44938</v>
      </c>
      <c r="B94" s="18" t="s">
        <v>2683</v>
      </c>
      <c r="C94" s="18" t="s">
        <v>2652</v>
      </c>
      <c r="D94" s="18" t="s">
        <v>2647</v>
      </c>
      <c r="E94" s="18" t="s">
        <v>2643</v>
      </c>
      <c r="F94" s="18" t="s">
        <v>2370</v>
      </c>
      <c r="G94" s="18" t="s">
        <v>1335</v>
      </c>
      <c r="H94" s="16">
        <v>5</v>
      </c>
      <c r="I94" s="16">
        <v>3289.83</v>
      </c>
      <c r="J94" s="16">
        <v>16449.150000000001</v>
      </c>
      <c r="O94" t="str">
        <v>Chennai</v>
      </c>
      <c r="P94" t="str">
        <v>Tamil Nadu</v>
      </c>
      <c r="Q94" t="str">
        <v>South</v>
      </c>
      <c r="R94" t="str">
        <v>Groceries</v>
      </c>
      <c r="S94" t="str">
        <v>Rice</v>
      </c>
      <c r="T94">
        <v>15</v>
      </c>
      <c r="U94">
        <v>4945.79</v>
      </c>
      <c r="V94">
        <v>74186.850000000006</v>
      </c>
    </row>
    <row r="95" spans="1:22" ht="15" thickBot="1">
      <c r="A95" s="16" t="s">
        <v>2618</v>
      </c>
      <c r="B95" s="18" t="s">
        <v>2684</v>
      </c>
      <c r="C95" s="18" t="s">
        <v>2392</v>
      </c>
      <c r="D95" s="18" t="s">
        <v>2644</v>
      </c>
      <c r="E95" s="18" t="s">
        <v>2641</v>
      </c>
      <c r="F95" s="18" t="s">
        <v>2661</v>
      </c>
      <c r="G95" s="18" t="s">
        <v>2696</v>
      </c>
      <c r="H95" s="16">
        <v>6</v>
      </c>
      <c r="I95" s="16">
        <v>549.79999999999995</v>
      </c>
      <c r="J95" s="16">
        <v>3298.8</v>
      </c>
      <c r="O95" t="str">
        <v>Coimbatore</v>
      </c>
      <c r="P95" t="str">
        <v>Tamil Nadu</v>
      </c>
      <c r="Q95" t="str">
        <v>South</v>
      </c>
      <c r="R95" t="str">
        <v>Clothing</v>
      </c>
      <c r="S95" t="str">
        <v>Jacket</v>
      </c>
      <c r="T95">
        <v>14</v>
      </c>
      <c r="U95">
        <v>2355.56</v>
      </c>
      <c r="V95">
        <v>32977.839999999997</v>
      </c>
    </row>
    <row r="96" spans="1:22" ht="15" thickBot="1">
      <c r="A96" s="63">
        <v>44987</v>
      </c>
      <c r="B96" s="18" t="s">
        <v>2685</v>
      </c>
      <c r="C96" s="18" t="s">
        <v>2651</v>
      </c>
      <c r="D96" s="18" t="s">
        <v>2646</v>
      </c>
      <c r="E96" s="18" t="s">
        <v>2642</v>
      </c>
      <c r="F96" s="18" t="s">
        <v>2370</v>
      </c>
      <c r="G96" s="18" t="s">
        <v>1335</v>
      </c>
      <c r="H96" s="16">
        <v>20</v>
      </c>
      <c r="I96" s="16">
        <v>4397.46</v>
      </c>
      <c r="J96" s="16">
        <v>87949.2</v>
      </c>
      <c r="O96" t="str">
        <v>Chennai</v>
      </c>
      <c r="P96" t="str">
        <v>Tamil Nadu</v>
      </c>
      <c r="Q96" t="str">
        <v>South</v>
      </c>
      <c r="R96" t="str">
        <v>Electronics</v>
      </c>
      <c r="S96" t="str">
        <v>Headphones</v>
      </c>
      <c r="T96">
        <v>12</v>
      </c>
      <c r="U96">
        <v>1982.64</v>
      </c>
      <c r="V96">
        <v>23791.68</v>
      </c>
    </row>
    <row r="97" spans="1:22" ht="15" thickBot="1">
      <c r="A97" s="63">
        <v>45235</v>
      </c>
      <c r="B97" s="18" t="s">
        <v>2684</v>
      </c>
      <c r="C97" s="18" t="s">
        <v>2658</v>
      </c>
      <c r="D97" s="18" t="s">
        <v>2645</v>
      </c>
      <c r="E97" s="18" t="s">
        <v>2642</v>
      </c>
      <c r="F97" s="18" t="s">
        <v>2661</v>
      </c>
      <c r="G97" s="18" t="s">
        <v>2691</v>
      </c>
      <c r="H97" s="16">
        <v>3</v>
      </c>
      <c r="I97" s="16">
        <v>3107.88</v>
      </c>
      <c r="J97" s="16">
        <v>9323.64</v>
      </c>
      <c r="O97" t="str">
        <v>Chennai</v>
      </c>
      <c r="P97" t="str">
        <v>Tamil Nadu</v>
      </c>
      <c r="Q97" t="str">
        <v>South</v>
      </c>
      <c r="R97" t="str">
        <v>Stationery</v>
      </c>
      <c r="S97" t="str">
        <v>Pen</v>
      </c>
      <c r="T97">
        <v>12</v>
      </c>
      <c r="U97">
        <v>2519.65</v>
      </c>
      <c r="V97">
        <v>30235.8</v>
      </c>
    </row>
    <row r="98" spans="1:22" ht="15" thickBot="1">
      <c r="A98" s="16" t="s">
        <v>2547</v>
      </c>
      <c r="B98" s="18" t="s">
        <v>2678</v>
      </c>
      <c r="C98" s="18" t="s">
        <v>2396</v>
      </c>
      <c r="D98" s="18" t="s">
        <v>2648</v>
      </c>
      <c r="E98" s="18" t="s">
        <v>2641</v>
      </c>
      <c r="F98" s="18" t="s">
        <v>2373</v>
      </c>
      <c r="G98" s="18" t="s">
        <v>2705</v>
      </c>
      <c r="H98" s="16">
        <v>11</v>
      </c>
      <c r="I98" s="16">
        <v>1451.86</v>
      </c>
      <c r="J98" s="16">
        <v>15970.46</v>
      </c>
      <c r="O98" t="str">
        <v>Madurai</v>
      </c>
      <c r="P98" t="str">
        <v>Tamil Nadu</v>
      </c>
      <c r="Q98" t="str">
        <v>South</v>
      </c>
      <c r="R98" t="str">
        <v>Clothing</v>
      </c>
      <c r="S98" t="str">
        <v>Jacket</v>
      </c>
      <c r="T98">
        <v>5</v>
      </c>
      <c r="U98">
        <v>2024.36</v>
      </c>
      <c r="V98">
        <v>10121.799999999999</v>
      </c>
    </row>
    <row r="99" spans="1:22" ht="15" thickBot="1">
      <c r="A99" s="63">
        <v>44992</v>
      </c>
      <c r="B99" s="18" t="s">
        <v>2684</v>
      </c>
      <c r="C99" s="18" t="s">
        <v>2654</v>
      </c>
      <c r="D99" s="18" t="s">
        <v>2646</v>
      </c>
      <c r="E99" s="18" t="s">
        <v>2642</v>
      </c>
      <c r="F99" s="18" t="s">
        <v>2661</v>
      </c>
      <c r="G99" s="18" t="s">
        <v>2698</v>
      </c>
      <c r="H99" s="16">
        <v>13</v>
      </c>
      <c r="I99" s="16">
        <v>4087.03</v>
      </c>
      <c r="J99" s="16">
        <v>53131.39</v>
      </c>
      <c r="O99" t="str">
        <v>Coimbatore</v>
      </c>
      <c r="P99" t="str">
        <v>Tamil Nadu</v>
      </c>
      <c r="Q99" t="str">
        <v>South</v>
      </c>
      <c r="R99" t="str">
        <v>Electronics</v>
      </c>
      <c r="S99" t="str">
        <v>Headphones</v>
      </c>
      <c r="T99">
        <v>16</v>
      </c>
      <c r="U99">
        <v>3942.95</v>
      </c>
      <c r="V99">
        <v>63087.199999999997</v>
      </c>
    </row>
    <row r="100" spans="1:22" ht="15" thickBot="1">
      <c r="A100" s="63">
        <v>44966</v>
      </c>
      <c r="B100" s="18" t="s">
        <v>2678</v>
      </c>
      <c r="C100" s="18" t="s">
        <v>2660</v>
      </c>
      <c r="D100" s="18" t="s">
        <v>2647</v>
      </c>
      <c r="E100" s="18" t="s">
        <v>2643</v>
      </c>
      <c r="F100" s="18" t="s">
        <v>2374</v>
      </c>
      <c r="G100" s="18" t="s">
        <v>2689</v>
      </c>
      <c r="H100" s="16">
        <v>12</v>
      </c>
      <c r="I100" s="16">
        <v>3040.08</v>
      </c>
      <c r="J100" s="16">
        <v>36480.959999999999</v>
      </c>
      <c r="O100" t="str">
        <v>Coimbatore</v>
      </c>
      <c r="P100" t="str">
        <v>Tamil Nadu</v>
      </c>
      <c r="Q100" t="str">
        <v>South</v>
      </c>
      <c r="R100" t="str">
        <v>Furniture</v>
      </c>
      <c r="S100" t="str">
        <v>Sofa</v>
      </c>
      <c r="T100">
        <v>3</v>
      </c>
      <c r="U100">
        <v>384.96</v>
      </c>
      <c r="V100">
        <v>1154.8800000000001</v>
      </c>
    </row>
    <row r="101" spans="1:22" ht="15" thickBot="1">
      <c r="A101" s="16" t="s">
        <v>2461</v>
      </c>
      <c r="B101" s="18" t="s">
        <v>2683</v>
      </c>
      <c r="C101" s="18" t="s">
        <v>2652</v>
      </c>
      <c r="D101" s="18" t="s">
        <v>2647</v>
      </c>
      <c r="E101" s="18" t="s">
        <v>2643</v>
      </c>
      <c r="F101" s="18" t="s">
        <v>2661</v>
      </c>
      <c r="G101" s="18" t="s">
        <v>2696</v>
      </c>
      <c r="H101" s="16">
        <v>19</v>
      </c>
      <c r="I101" s="16">
        <v>3968.42</v>
      </c>
      <c r="J101" s="16">
        <v>75399.98</v>
      </c>
      <c r="O101" t="str">
        <v>Coimbatore</v>
      </c>
      <c r="P101" t="str">
        <v>Tamil Nadu</v>
      </c>
      <c r="Q101" t="str">
        <v>South</v>
      </c>
      <c r="R101" t="str">
        <v>Furniture</v>
      </c>
      <c r="S101" t="str">
        <v>Chair</v>
      </c>
      <c r="T101">
        <v>11</v>
      </c>
      <c r="U101">
        <v>3514.12</v>
      </c>
      <c r="V101">
        <v>38655.32</v>
      </c>
    </row>
    <row r="102" spans="1:22" ht="15" thickBot="1">
      <c r="A102" s="16" t="s">
        <v>2623</v>
      </c>
      <c r="B102" s="18" t="s">
        <v>2687</v>
      </c>
      <c r="C102" s="18" t="s">
        <v>2649</v>
      </c>
      <c r="D102" s="18" t="s">
        <v>2645</v>
      </c>
      <c r="E102" s="18" t="s">
        <v>2642</v>
      </c>
      <c r="F102" s="18" t="s">
        <v>2370</v>
      </c>
      <c r="G102" s="18" t="s">
        <v>1336</v>
      </c>
      <c r="H102" s="16">
        <v>4</v>
      </c>
      <c r="I102" s="16">
        <v>894.64</v>
      </c>
      <c r="J102" s="16">
        <v>3578.56</v>
      </c>
      <c r="O102" t="str">
        <v>Coimbatore</v>
      </c>
      <c r="P102" t="str">
        <v>Tamil Nadu</v>
      </c>
      <c r="Q102" t="str">
        <v>South</v>
      </c>
      <c r="R102" t="str">
        <v>Clothing</v>
      </c>
      <c r="S102" t="str">
        <v>Pants</v>
      </c>
      <c r="T102">
        <v>16</v>
      </c>
      <c r="U102">
        <v>4090.26</v>
      </c>
      <c r="V102">
        <v>65444.160000000003</v>
      </c>
    </row>
    <row r="103" spans="1:22" ht="15" thickBot="1">
      <c r="A103" s="63">
        <v>44996</v>
      </c>
      <c r="B103" s="18" t="s">
        <v>2684</v>
      </c>
      <c r="C103" s="18" t="s">
        <v>2649</v>
      </c>
      <c r="D103" s="18" t="s">
        <v>2645</v>
      </c>
      <c r="E103" s="18" t="s">
        <v>2642</v>
      </c>
      <c r="F103" s="18" t="s">
        <v>2661</v>
      </c>
      <c r="G103" s="18" t="s">
        <v>2698</v>
      </c>
      <c r="H103" s="16">
        <v>20</v>
      </c>
      <c r="I103" s="16">
        <v>1787.99</v>
      </c>
      <c r="J103" s="16">
        <v>35759.800000000003</v>
      </c>
      <c r="O103" t="str">
        <v>Madurai</v>
      </c>
      <c r="P103" t="str">
        <v>Tamil Nadu</v>
      </c>
      <c r="Q103" t="str">
        <v>South</v>
      </c>
      <c r="R103" t="str">
        <v>Clothing</v>
      </c>
      <c r="S103" t="str">
        <v>Shirt</v>
      </c>
      <c r="T103">
        <v>9</v>
      </c>
      <c r="U103">
        <v>2624.88</v>
      </c>
      <c r="V103">
        <v>23623.919999999998</v>
      </c>
    </row>
    <row r="104" spans="1:22" ht="15" thickBot="1">
      <c r="A104" s="16" t="s">
        <v>2570</v>
      </c>
      <c r="B104" s="18" t="s">
        <v>2678</v>
      </c>
      <c r="C104" s="18" t="s">
        <v>2392</v>
      </c>
      <c r="D104" s="18" t="s">
        <v>2644</v>
      </c>
      <c r="E104" s="18" t="s">
        <v>2641</v>
      </c>
      <c r="F104" s="18" t="s">
        <v>2373</v>
      </c>
      <c r="G104" s="18" t="s">
        <v>2697</v>
      </c>
      <c r="H104" s="16">
        <v>17</v>
      </c>
      <c r="I104" s="16">
        <v>2910.12</v>
      </c>
      <c r="J104" s="16">
        <v>49472.04</v>
      </c>
      <c r="O104" t="str">
        <v>Chennai</v>
      </c>
      <c r="P104" t="str">
        <v>Tamil Nadu</v>
      </c>
      <c r="Q104" t="str">
        <v>South</v>
      </c>
      <c r="R104" t="str">
        <v>Clothing</v>
      </c>
      <c r="S104" t="str">
        <v>Shirt</v>
      </c>
      <c r="T104">
        <v>2</v>
      </c>
      <c r="U104">
        <v>4277.8999999999996</v>
      </c>
      <c r="V104">
        <v>8555.7999999999993</v>
      </c>
    </row>
    <row r="105" spans="1:22" ht="15" thickBot="1">
      <c r="A105" s="63">
        <v>44987</v>
      </c>
      <c r="B105" s="18" t="s">
        <v>2687</v>
      </c>
      <c r="C105" s="18" t="s">
        <v>2654</v>
      </c>
      <c r="D105" s="18" t="s">
        <v>2646</v>
      </c>
      <c r="E105" s="18" t="s">
        <v>2642</v>
      </c>
      <c r="F105" s="18" t="s">
        <v>2661</v>
      </c>
      <c r="G105" s="18" t="s">
        <v>2691</v>
      </c>
      <c r="H105" s="16">
        <v>16</v>
      </c>
      <c r="I105" s="16">
        <v>827.8</v>
      </c>
      <c r="J105" s="16">
        <v>13244.8</v>
      </c>
      <c r="O105" t="str">
        <v>Chennai</v>
      </c>
      <c r="P105" t="str">
        <v>Tamil Nadu</v>
      </c>
      <c r="Q105" t="str">
        <v>South</v>
      </c>
      <c r="R105" t="str">
        <v>Electronics</v>
      </c>
      <c r="S105" t="str">
        <v>Laptop</v>
      </c>
      <c r="T105">
        <v>15</v>
      </c>
      <c r="U105">
        <v>4316.17</v>
      </c>
      <c r="V105">
        <v>64742.55</v>
      </c>
    </row>
    <row r="106" spans="1:22" ht="15" thickBot="1">
      <c r="A106" s="63">
        <v>45174</v>
      </c>
      <c r="B106" s="18" t="s">
        <v>2680</v>
      </c>
      <c r="C106" s="18" t="s">
        <v>2660</v>
      </c>
      <c r="D106" s="18" t="s">
        <v>2647</v>
      </c>
      <c r="E106" s="18" t="s">
        <v>2643</v>
      </c>
      <c r="F106" s="18" t="s">
        <v>2374</v>
      </c>
      <c r="G106" s="18" t="s">
        <v>2692</v>
      </c>
      <c r="H106" s="16">
        <v>18</v>
      </c>
      <c r="I106" s="16">
        <v>3093.44</v>
      </c>
      <c r="J106" s="16">
        <v>55681.919999999998</v>
      </c>
      <c r="O106" t="str">
        <v>Chennai</v>
      </c>
      <c r="P106" t="str">
        <v>Tamil Nadu</v>
      </c>
      <c r="Q106" t="str">
        <v>South</v>
      </c>
      <c r="R106" t="str">
        <v>Clothing</v>
      </c>
      <c r="S106" t="str">
        <v>Dress</v>
      </c>
      <c r="T106">
        <v>17</v>
      </c>
      <c r="U106">
        <v>2209.62</v>
      </c>
      <c r="V106">
        <v>37563.54</v>
      </c>
    </row>
    <row r="107" spans="1:22" ht="15" thickBot="1">
      <c r="A107" s="16" t="s">
        <v>2480</v>
      </c>
      <c r="B107" s="18" t="s">
        <v>2684</v>
      </c>
      <c r="C107" s="18" t="s">
        <v>2650</v>
      </c>
      <c r="D107" s="18" t="s">
        <v>2646</v>
      </c>
      <c r="E107" s="18" t="s">
        <v>2642</v>
      </c>
      <c r="F107" s="18" t="s">
        <v>2372</v>
      </c>
      <c r="G107" s="18" t="s">
        <v>2694</v>
      </c>
      <c r="H107" s="16">
        <v>10</v>
      </c>
      <c r="I107" s="16">
        <v>2469.04</v>
      </c>
      <c r="J107" s="16">
        <v>24690.400000000001</v>
      </c>
      <c r="O107" t="str">
        <v>Chennai</v>
      </c>
      <c r="P107" t="str">
        <v>Tamil Nadu</v>
      </c>
      <c r="Q107" t="str">
        <v>South</v>
      </c>
      <c r="R107" t="str">
        <v>Clothing</v>
      </c>
      <c r="S107" t="str">
        <v>Dress</v>
      </c>
      <c r="T107">
        <v>5</v>
      </c>
      <c r="U107">
        <v>850.9</v>
      </c>
      <c r="V107">
        <v>4254.5</v>
      </c>
    </row>
    <row r="108" spans="1:22" ht="15" thickBot="1">
      <c r="A108" s="16" t="s">
        <v>2470</v>
      </c>
      <c r="B108" s="18" t="s">
        <v>2680</v>
      </c>
      <c r="C108" s="18" t="s">
        <v>2650</v>
      </c>
      <c r="D108" s="18" t="s">
        <v>2646</v>
      </c>
      <c r="E108" s="18" t="s">
        <v>2642</v>
      </c>
      <c r="F108" s="18" t="s">
        <v>2374</v>
      </c>
      <c r="G108" s="18" t="s">
        <v>2689</v>
      </c>
      <c r="H108" s="16">
        <v>12</v>
      </c>
      <c r="I108" s="16">
        <v>2127.2800000000002</v>
      </c>
      <c r="J108" s="16">
        <v>25527.360000000001</v>
      </c>
      <c r="O108" t="str">
        <v>Coimbatore</v>
      </c>
      <c r="P108" t="str">
        <v>Tamil Nadu</v>
      </c>
      <c r="Q108" t="str">
        <v>South</v>
      </c>
      <c r="R108" t="str">
        <v>Clothing</v>
      </c>
      <c r="S108" t="str">
        <v>Jacket</v>
      </c>
      <c r="T108">
        <v>11</v>
      </c>
      <c r="U108">
        <v>2471.65</v>
      </c>
      <c r="V108">
        <v>27188.15</v>
      </c>
    </row>
    <row r="109" spans="1:22" ht="15" thickBot="1">
      <c r="A109" s="16" t="s">
        <v>2640</v>
      </c>
      <c r="B109" s="18" t="s">
        <v>2683</v>
      </c>
      <c r="C109" s="18" t="s">
        <v>2650</v>
      </c>
      <c r="D109" s="18" t="s">
        <v>2646</v>
      </c>
      <c r="E109" s="18" t="s">
        <v>2642</v>
      </c>
      <c r="F109" s="18" t="s">
        <v>2370</v>
      </c>
      <c r="G109" s="18" t="s">
        <v>1336</v>
      </c>
      <c r="H109" s="16">
        <v>1</v>
      </c>
      <c r="I109" s="16">
        <v>1811.76</v>
      </c>
      <c r="J109" s="16">
        <v>1811.76</v>
      </c>
      <c r="O109" t="str">
        <v>Madurai</v>
      </c>
      <c r="P109" t="str">
        <v>Tamil Nadu</v>
      </c>
      <c r="Q109" t="str">
        <v>South</v>
      </c>
      <c r="R109" t="str">
        <v>Stationery</v>
      </c>
      <c r="S109" t="str">
        <v>Eraser</v>
      </c>
      <c r="T109">
        <v>2</v>
      </c>
      <c r="U109">
        <v>1125.53</v>
      </c>
      <c r="V109">
        <v>2251.06</v>
      </c>
    </row>
    <row r="110" spans="1:22" ht="15" thickBot="1">
      <c r="A110" s="16" t="s">
        <v>2632</v>
      </c>
      <c r="B110" s="18" t="s">
        <v>2686</v>
      </c>
      <c r="C110" s="18" t="s">
        <v>2655</v>
      </c>
      <c r="D110" s="18" t="s">
        <v>2645</v>
      </c>
      <c r="E110" s="18" t="s">
        <v>2642</v>
      </c>
      <c r="F110" s="18" t="s">
        <v>2373</v>
      </c>
      <c r="G110" s="18" t="s">
        <v>2697</v>
      </c>
      <c r="H110" s="16">
        <v>4</v>
      </c>
      <c r="I110" s="16">
        <v>4485.82</v>
      </c>
      <c r="J110" s="16">
        <v>17943.28</v>
      </c>
      <c r="O110" t="str">
        <v>Coimbatore</v>
      </c>
      <c r="P110" t="str">
        <v>Tamil Nadu</v>
      </c>
      <c r="Q110" t="str">
        <v>South</v>
      </c>
      <c r="R110" t="str">
        <v>Groceries</v>
      </c>
      <c r="S110" t="str">
        <v>Lentils</v>
      </c>
      <c r="T110">
        <v>6</v>
      </c>
      <c r="U110">
        <v>578.64</v>
      </c>
      <c r="V110">
        <v>3471.84</v>
      </c>
    </row>
    <row r="111" spans="1:22" ht="15" thickBot="1">
      <c r="A111" s="63">
        <v>44994</v>
      </c>
      <c r="B111" s="18" t="s">
        <v>2686</v>
      </c>
      <c r="C111" s="18" t="s">
        <v>2649</v>
      </c>
      <c r="D111" s="18" t="s">
        <v>2645</v>
      </c>
      <c r="E111" s="18" t="s">
        <v>2642</v>
      </c>
      <c r="F111" s="18" t="s">
        <v>2370</v>
      </c>
      <c r="G111" s="18" t="s">
        <v>1336</v>
      </c>
      <c r="H111" s="16">
        <v>8</v>
      </c>
      <c r="I111" s="16">
        <v>4649.3500000000004</v>
      </c>
      <c r="J111" s="16">
        <v>37194.800000000003</v>
      </c>
      <c r="O111" t="str">
        <v>Chennai</v>
      </c>
      <c r="P111" t="str">
        <v>Tamil Nadu</v>
      </c>
      <c r="Q111" t="str">
        <v>South</v>
      </c>
      <c r="R111" t="str">
        <v>Electronics</v>
      </c>
      <c r="S111" t="str">
        <v>Laptop</v>
      </c>
      <c r="T111">
        <v>5</v>
      </c>
      <c r="U111">
        <v>1488.21</v>
      </c>
      <c r="V111">
        <v>7441.05</v>
      </c>
    </row>
    <row r="112" spans="1:22" ht="15" thickBot="1">
      <c r="A112" s="16" t="s">
        <v>2490</v>
      </c>
      <c r="B112" s="18" t="s">
        <v>2679</v>
      </c>
      <c r="C112" s="18" t="s">
        <v>2651</v>
      </c>
      <c r="D112" s="18" t="s">
        <v>2646</v>
      </c>
      <c r="E112" s="18" t="s">
        <v>2642</v>
      </c>
      <c r="F112" s="18" t="s">
        <v>2373</v>
      </c>
      <c r="G112" s="18" t="s">
        <v>2705</v>
      </c>
      <c r="H112" s="16">
        <v>3</v>
      </c>
      <c r="I112" s="16">
        <v>4027.17</v>
      </c>
      <c r="J112" s="16">
        <v>12081.51</v>
      </c>
      <c r="O112" t="str">
        <v>Coimbatore</v>
      </c>
      <c r="P112" t="str">
        <v>Tamil Nadu</v>
      </c>
      <c r="Q112" t="str">
        <v>South</v>
      </c>
      <c r="R112" t="str">
        <v>Furniture</v>
      </c>
      <c r="S112" t="str">
        <v>Chair</v>
      </c>
      <c r="T112">
        <v>19</v>
      </c>
      <c r="U112">
        <v>3196.27</v>
      </c>
      <c r="V112">
        <v>60729.13</v>
      </c>
    </row>
    <row r="113" spans="1:22" ht="15" thickBot="1">
      <c r="A113" s="16" t="s">
        <v>2487</v>
      </c>
      <c r="B113" s="18" t="s">
        <v>2686</v>
      </c>
      <c r="C113" s="18" t="s">
        <v>2652</v>
      </c>
      <c r="D113" s="18" t="s">
        <v>2647</v>
      </c>
      <c r="E113" s="18" t="s">
        <v>2643</v>
      </c>
      <c r="F113" s="18" t="s">
        <v>2370</v>
      </c>
      <c r="G113" s="18" t="s">
        <v>2701</v>
      </c>
      <c r="H113" s="16">
        <v>14</v>
      </c>
      <c r="I113" s="16">
        <v>4406.29</v>
      </c>
      <c r="J113" s="16">
        <v>61688.06</v>
      </c>
      <c r="O113" t="str">
        <v>Chennai</v>
      </c>
      <c r="P113" t="str">
        <v>Tamil Nadu</v>
      </c>
      <c r="Q113" t="str">
        <v>South</v>
      </c>
      <c r="R113" t="str">
        <v>Electronics</v>
      </c>
      <c r="S113" t="str">
        <v>Tablet</v>
      </c>
      <c r="T113">
        <v>19</v>
      </c>
      <c r="U113">
        <v>4996.28</v>
      </c>
      <c r="V113">
        <v>94929.32</v>
      </c>
    </row>
    <row r="114" spans="1:22" ht="15" thickBot="1">
      <c r="A114" s="16" t="s">
        <v>2518</v>
      </c>
      <c r="B114" s="18" t="s">
        <v>2679</v>
      </c>
      <c r="C114" s="18" t="s">
        <v>2650</v>
      </c>
      <c r="D114" s="18" t="s">
        <v>2646</v>
      </c>
      <c r="E114" s="18" t="s">
        <v>2642</v>
      </c>
      <c r="F114" s="18" t="s">
        <v>2661</v>
      </c>
      <c r="G114" s="18" t="s">
        <v>2696</v>
      </c>
      <c r="H114" s="16">
        <v>20</v>
      </c>
      <c r="I114" s="16">
        <v>4072.4</v>
      </c>
      <c r="J114" s="16">
        <v>81448</v>
      </c>
      <c r="O114" t="str">
        <v>Coimbatore</v>
      </c>
      <c r="P114" t="str">
        <v>Tamil Nadu</v>
      </c>
      <c r="Q114" t="str">
        <v>South</v>
      </c>
      <c r="R114" t="str">
        <v>Groceries</v>
      </c>
      <c r="S114" t="str">
        <v>Oil</v>
      </c>
      <c r="T114">
        <v>20</v>
      </c>
      <c r="U114">
        <v>1731.99</v>
      </c>
      <c r="V114">
        <v>34639.800000000003</v>
      </c>
    </row>
    <row r="115" spans="1:22" ht="15" thickBot="1">
      <c r="A115" s="16" t="s">
        <v>2609</v>
      </c>
      <c r="B115" s="18" t="s">
        <v>2682</v>
      </c>
      <c r="C115" s="18" t="s">
        <v>2652</v>
      </c>
      <c r="D115" s="18" t="s">
        <v>2647</v>
      </c>
      <c r="E115" s="18" t="s">
        <v>2643</v>
      </c>
      <c r="F115" s="18" t="s">
        <v>2661</v>
      </c>
      <c r="G115" s="18" t="s">
        <v>2698</v>
      </c>
      <c r="H115" s="16">
        <v>1</v>
      </c>
      <c r="I115" s="16">
        <v>4801.38</v>
      </c>
      <c r="J115" s="16">
        <v>4801.38</v>
      </c>
      <c r="O115" t="str">
        <v>Coimbatore</v>
      </c>
      <c r="P115" t="str">
        <v>Tamil Nadu</v>
      </c>
      <c r="Q115" t="str">
        <v>South</v>
      </c>
      <c r="R115" t="str">
        <v>Furniture</v>
      </c>
      <c r="S115" t="str">
        <v>Sofa</v>
      </c>
      <c r="T115">
        <v>14</v>
      </c>
      <c r="U115">
        <v>414.51</v>
      </c>
      <c r="V115">
        <v>5803.14</v>
      </c>
    </row>
    <row r="116" spans="1:22" ht="15" thickBot="1">
      <c r="A116" s="63">
        <v>45078</v>
      </c>
      <c r="B116" s="18" t="s">
        <v>2684</v>
      </c>
      <c r="C116" s="18" t="s">
        <v>2658</v>
      </c>
      <c r="D116" s="18" t="s">
        <v>2645</v>
      </c>
      <c r="E116" s="18" t="s">
        <v>2642</v>
      </c>
      <c r="F116" s="18" t="s">
        <v>2372</v>
      </c>
      <c r="G116" s="18" t="s">
        <v>2694</v>
      </c>
      <c r="H116" s="16">
        <v>17</v>
      </c>
      <c r="I116" s="16">
        <v>828.26</v>
      </c>
      <c r="J116" s="16">
        <v>14080.42</v>
      </c>
      <c r="O116" t="str">
        <v>Chennai</v>
      </c>
      <c r="P116" t="str">
        <v>Tamil Nadu</v>
      </c>
      <c r="Q116" t="str">
        <v>South</v>
      </c>
      <c r="R116" t="str">
        <v>Groceries</v>
      </c>
      <c r="S116" t="str">
        <v>Oil</v>
      </c>
      <c r="T116">
        <v>6</v>
      </c>
      <c r="U116">
        <v>3842.46</v>
      </c>
      <c r="V116">
        <v>23054.76</v>
      </c>
    </row>
    <row r="117" spans="1:22" ht="15" thickBot="1">
      <c r="A117" s="63">
        <v>45170</v>
      </c>
      <c r="B117" s="18" t="s">
        <v>2681</v>
      </c>
      <c r="C117" s="18" t="s">
        <v>2396</v>
      </c>
      <c r="D117" s="18" t="s">
        <v>2648</v>
      </c>
      <c r="E117" s="18" t="s">
        <v>2641</v>
      </c>
      <c r="F117" s="18" t="s">
        <v>2661</v>
      </c>
      <c r="G117" s="18" t="s">
        <v>2696</v>
      </c>
      <c r="H117" s="16">
        <v>13</v>
      </c>
      <c r="I117" s="16">
        <v>4331.5</v>
      </c>
      <c r="J117" s="16">
        <v>56309.5</v>
      </c>
      <c r="O117" t="str">
        <v>Coimbatore</v>
      </c>
      <c r="P117" t="str">
        <v>Tamil Nadu</v>
      </c>
      <c r="Q117" t="str">
        <v>South</v>
      </c>
      <c r="R117" t="str">
        <v>Furniture</v>
      </c>
      <c r="S117" t="str">
        <v>Sofa</v>
      </c>
      <c r="T117">
        <v>8</v>
      </c>
      <c r="U117">
        <v>3402.24</v>
      </c>
      <c r="V117">
        <v>27217.919999999998</v>
      </c>
    </row>
    <row r="118" spans="1:22" ht="15" thickBot="1">
      <c r="A118" s="63">
        <v>44994</v>
      </c>
      <c r="B118" s="18" t="s">
        <v>2682</v>
      </c>
      <c r="C118" s="18" t="s">
        <v>2393</v>
      </c>
      <c r="D118" s="18" t="s">
        <v>2644</v>
      </c>
      <c r="E118" s="18" t="s">
        <v>2641</v>
      </c>
      <c r="F118" s="18" t="s">
        <v>2372</v>
      </c>
      <c r="G118" s="18" t="s">
        <v>2694</v>
      </c>
      <c r="H118" s="16">
        <v>14</v>
      </c>
      <c r="I118" s="16">
        <v>3404.4</v>
      </c>
      <c r="J118" s="16">
        <v>47661.599999999999</v>
      </c>
      <c r="O118" t="str">
        <v>Madurai</v>
      </c>
      <c r="P118" t="str">
        <v>Tamil Nadu</v>
      </c>
      <c r="Q118" t="str">
        <v>South</v>
      </c>
      <c r="R118" t="str">
        <v>Electronics</v>
      </c>
      <c r="S118" t="str">
        <v>Smartphone</v>
      </c>
      <c r="T118">
        <v>12</v>
      </c>
      <c r="U118">
        <v>1701.3</v>
      </c>
      <c r="V118">
        <v>20415.599999999999</v>
      </c>
    </row>
    <row r="119" spans="1:22" ht="15" thickBot="1">
      <c r="A119" s="16" t="s">
        <v>2584</v>
      </c>
      <c r="B119" s="18" t="s">
        <v>2686</v>
      </c>
      <c r="C119" s="18" t="s">
        <v>2653</v>
      </c>
      <c r="D119" s="18" t="s">
        <v>2644</v>
      </c>
      <c r="E119" s="18" t="s">
        <v>2641</v>
      </c>
      <c r="F119" s="18" t="s">
        <v>2373</v>
      </c>
      <c r="G119" s="18" t="s">
        <v>2705</v>
      </c>
      <c r="H119" s="16">
        <v>20</v>
      </c>
      <c r="I119" s="16">
        <v>3734.44</v>
      </c>
      <c r="J119" s="16">
        <v>74688.800000000003</v>
      </c>
      <c r="O119" t="str">
        <v>Chennai</v>
      </c>
      <c r="P119" t="str">
        <v>Tamil Nadu</v>
      </c>
      <c r="Q119" t="str">
        <v>South</v>
      </c>
      <c r="R119" t="str">
        <v>Electronics</v>
      </c>
      <c r="S119" t="str">
        <v>Tablet</v>
      </c>
      <c r="T119">
        <v>18</v>
      </c>
      <c r="U119">
        <v>1599.01</v>
      </c>
      <c r="V119">
        <v>28782.18</v>
      </c>
    </row>
    <row r="120" spans="1:22" ht="15" thickBot="1">
      <c r="A120" s="16" t="s">
        <v>2671</v>
      </c>
      <c r="B120" s="18" t="s">
        <v>2687</v>
      </c>
      <c r="C120" s="18" t="s">
        <v>2653</v>
      </c>
      <c r="D120" s="18" t="s">
        <v>2644</v>
      </c>
      <c r="E120" s="18" t="s">
        <v>2641</v>
      </c>
      <c r="F120" s="18" t="s">
        <v>2373</v>
      </c>
      <c r="G120" s="18" t="s">
        <v>2697</v>
      </c>
      <c r="H120" s="16">
        <v>6</v>
      </c>
      <c r="I120" s="16">
        <v>112.76</v>
      </c>
      <c r="J120" s="16">
        <v>676.56</v>
      </c>
      <c r="O120" t="str">
        <v>Coimbatore</v>
      </c>
      <c r="P120" t="str">
        <v>Tamil Nadu</v>
      </c>
      <c r="Q120" t="str">
        <v>South</v>
      </c>
      <c r="R120" t="str">
        <v>Electronics</v>
      </c>
      <c r="S120" t="str">
        <v>Tablet</v>
      </c>
      <c r="T120">
        <v>14</v>
      </c>
      <c r="U120">
        <v>2833.44</v>
      </c>
      <c r="V120">
        <v>39668.160000000003</v>
      </c>
    </row>
    <row r="121" spans="1:22" ht="15" thickBot="1">
      <c r="A121" s="16" t="s">
        <v>2509</v>
      </c>
      <c r="B121" s="18" t="s">
        <v>2687</v>
      </c>
      <c r="C121" s="18" t="s">
        <v>2659</v>
      </c>
      <c r="D121" s="18" t="s">
        <v>2647</v>
      </c>
      <c r="E121" s="18" t="s">
        <v>2643</v>
      </c>
      <c r="F121" s="18" t="s">
        <v>2370</v>
      </c>
      <c r="G121" s="18" t="s">
        <v>1335</v>
      </c>
      <c r="H121" s="16">
        <v>6</v>
      </c>
      <c r="I121" s="16">
        <v>4751.7700000000004</v>
      </c>
      <c r="J121" s="16">
        <v>28510.62</v>
      </c>
      <c r="O121" t="str">
        <v>Chennai</v>
      </c>
      <c r="P121" t="str">
        <v>Tamil Nadu</v>
      </c>
      <c r="Q121" t="str">
        <v>South</v>
      </c>
      <c r="R121" t="str">
        <v>Groceries</v>
      </c>
      <c r="S121" t="str">
        <v>Oil</v>
      </c>
      <c r="T121">
        <v>17</v>
      </c>
      <c r="U121">
        <v>2448.5100000000002</v>
      </c>
      <c r="V121">
        <v>41624.67</v>
      </c>
    </row>
    <row r="122" spans="1:22" ht="15" thickBot="1">
      <c r="A122" s="63">
        <v>45145</v>
      </c>
      <c r="B122" s="18" t="s">
        <v>2680</v>
      </c>
      <c r="C122" s="18" t="s">
        <v>2396</v>
      </c>
      <c r="D122" s="18" t="s">
        <v>2648</v>
      </c>
      <c r="E122" s="18" t="s">
        <v>2641</v>
      </c>
      <c r="F122" s="18" t="s">
        <v>2661</v>
      </c>
      <c r="G122" s="18" t="s">
        <v>2696</v>
      </c>
      <c r="H122" s="16">
        <v>4</v>
      </c>
      <c r="I122" s="16">
        <v>3214.1</v>
      </c>
      <c r="J122" s="16">
        <v>12856.4</v>
      </c>
      <c r="O122" t="str">
        <v>Chennai</v>
      </c>
      <c r="P122" t="str">
        <v>Tamil Nadu</v>
      </c>
      <c r="Q122" t="str">
        <v>South</v>
      </c>
      <c r="R122" t="str">
        <v>Clothing</v>
      </c>
      <c r="S122" t="str">
        <v>Pants</v>
      </c>
      <c r="T122">
        <v>7</v>
      </c>
      <c r="U122">
        <v>4029.58</v>
      </c>
      <c r="V122">
        <v>28207.06</v>
      </c>
    </row>
    <row r="123" spans="1:22" ht="15" thickBot="1">
      <c r="A123" s="16" t="s">
        <v>2587</v>
      </c>
      <c r="B123" s="18" t="s">
        <v>2678</v>
      </c>
      <c r="C123" s="18" t="s">
        <v>2659</v>
      </c>
      <c r="D123" s="18" t="s">
        <v>2647</v>
      </c>
      <c r="E123" s="18" t="s">
        <v>2643</v>
      </c>
      <c r="F123" s="18" t="s">
        <v>2370</v>
      </c>
      <c r="G123" s="18" t="s">
        <v>1336</v>
      </c>
      <c r="H123" s="16">
        <v>20</v>
      </c>
      <c r="I123" s="16">
        <v>598.97</v>
      </c>
      <c r="J123" s="16">
        <v>11979.4</v>
      </c>
      <c r="O123" t="str">
        <v>Madurai</v>
      </c>
      <c r="P123" t="str">
        <v>Tamil Nadu</v>
      </c>
      <c r="Q123" t="str">
        <v>South</v>
      </c>
      <c r="R123" t="str">
        <v>Groceries</v>
      </c>
      <c r="S123" t="str">
        <v>Rice</v>
      </c>
      <c r="T123">
        <v>15</v>
      </c>
      <c r="U123">
        <v>3999.29</v>
      </c>
      <c r="V123">
        <v>59989.35</v>
      </c>
    </row>
    <row r="124" spans="1:22" ht="15" thickBot="1">
      <c r="A124" s="16" t="s">
        <v>2540</v>
      </c>
      <c r="B124" s="18" t="s">
        <v>2687</v>
      </c>
      <c r="C124" s="18" t="s">
        <v>2653</v>
      </c>
      <c r="D124" s="18" t="s">
        <v>2644</v>
      </c>
      <c r="E124" s="18" t="s">
        <v>2641</v>
      </c>
      <c r="F124" s="18" t="s">
        <v>2373</v>
      </c>
      <c r="G124" s="18" t="s">
        <v>2697</v>
      </c>
      <c r="H124" s="16">
        <v>15</v>
      </c>
      <c r="I124" s="16">
        <v>1513.67</v>
      </c>
      <c r="J124" s="16">
        <v>22705.05</v>
      </c>
      <c r="O124" t="str">
        <v>Madurai</v>
      </c>
      <c r="P124" t="str">
        <v>Tamil Nadu</v>
      </c>
      <c r="Q124" t="str">
        <v>South</v>
      </c>
      <c r="R124" t="str">
        <v>Furniture</v>
      </c>
      <c r="S124" t="str">
        <v>Bed</v>
      </c>
      <c r="T124">
        <v>8</v>
      </c>
      <c r="U124">
        <v>4740.97</v>
      </c>
      <c r="V124">
        <v>37927.760000000002</v>
      </c>
    </row>
    <row r="125" spans="1:22" ht="15" thickBot="1">
      <c r="A125" s="16" t="s">
        <v>2507</v>
      </c>
      <c r="B125" s="18" t="s">
        <v>2684</v>
      </c>
      <c r="C125" s="18" t="s">
        <v>2657</v>
      </c>
      <c r="D125" s="18" t="s">
        <v>2648</v>
      </c>
      <c r="E125" s="18" t="s">
        <v>2641</v>
      </c>
      <c r="F125" s="18" t="s">
        <v>2372</v>
      </c>
      <c r="G125" s="18" t="s">
        <v>2693</v>
      </c>
      <c r="H125" s="16">
        <v>6</v>
      </c>
      <c r="I125" s="16">
        <v>194.62</v>
      </c>
      <c r="J125" s="16">
        <v>1167.72</v>
      </c>
      <c r="O125" t="str">
        <v>Chennai</v>
      </c>
      <c r="P125" t="str">
        <v>Tamil Nadu</v>
      </c>
      <c r="Q125" t="str">
        <v>South</v>
      </c>
      <c r="R125" t="str">
        <v>Clothing</v>
      </c>
      <c r="S125" t="str">
        <v>Jacket</v>
      </c>
      <c r="T125">
        <v>19</v>
      </c>
      <c r="U125">
        <v>2174.06</v>
      </c>
      <c r="V125">
        <v>41307.14</v>
      </c>
    </row>
    <row r="126" spans="1:22" ht="15" thickBot="1">
      <c r="A126" s="63">
        <v>44938</v>
      </c>
      <c r="B126" s="18" t="s">
        <v>2685</v>
      </c>
      <c r="C126" s="18" t="s">
        <v>2657</v>
      </c>
      <c r="D126" s="18" t="s">
        <v>2648</v>
      </c>
      <c r="E126" s="18" t="s">
        <v>2641</v>
      </c>
      <c r="F126" s="18" t="s">
        <v>2372</v>
      </c>
      <c r="G126" s="18" t="s">
        <v>2693</v>
      </c>
      <c r="H126" s="16">
        <v>6</v>
      </c>
      <c r="I126" s="16">
        <v>4508.3</v>
      </c>
      <c r="J126" s="16">
        <v>27049.8</v>
      </c>
      <c r="O126" t="str">
        <v>Madurai</v>
      </c>
      <c r="P126" t="str">
        <v>Tamil Nadu</v>
      </c>
      <c r="Q126" t="str">
        <v>South</v>
      </c>
      <c r="R126" t="str">
        <v>Groceries</v>
      </c>
      <c r="S126" t="str">
        <v>Rice</v>
      </c>
      <c r="T126">
        <v>2</v>
      </c>
      <c r="U126">
        <v>1194.4000000000001</v>
      </c>
      <c r="V126">
        <v>2388.8000000000002</v>
      </c>
    </row>
    <row r="127" spans="1:22" ht="15" thickBot="1">
      <c r="A127" s="63">
        <v>45239</v>
      </c>
      <c r="B127" s="18" t="s">
        <v>2683</v>
      </c>
      <c r="C127" s="18" t="s">
        <v>2656</v>
      </c>
      <c r="D127" s="18" t="s">
        <v>2648</v>
      </c>
      <c r="E127" s="18" t="s">
        <v>2641</v>
      </c>
      <c r="F127" s="18" t="s">
        <v>2373</v>
      </c>
      <c r="G127" s="18" t="s">
        <v>2705</v>
      </c>
      <c r="H127" s="16">
        <v>20</v>
      </c>
      <c r="I127" s="16">
        <v>4055.72</v>
      </c>
      <c r="J127" s="16">
        <v>81114.399999999994</v>
      </c>
      <c r="O127" t="str">
        <v>Chennai</v>
      </c>
      <c r="P127" t="str">
        <v>Tamil Nadu</v>
      </c>
      <c r="Q127" t="str">
        <v>South</v>
      </c>
      <c r="R127" t="str">
        <v>Furniture</v>
      </c>
      <c r="S127" t="str">
        <v>Sofa</v>
      </c>
      <c r="T127">
        <v>5</v>
      </c>
      <c r="U127">
        <v>1599.65</v>
      </c>
      <c r="V127">
        <v>7998.25</v>
      </c>
    </row>
    <row r="128" spans="1:22" ht="15" thickBot="1">
      <c r="A128" s="63">
        <v>44995</v>
      </c>
      <c r="B128" s="18" t="s">
        <v>2684</v>
      </c>
      <c r="C128" s="18" t="s">
        <v>2651</v>
      </c>
      <c r="D128" s="18" t="s">
        <v>2646</v>
      </c>
      <c r="E128" s="18" t="s">
        <v>2642</v>
      </c>
      <c r="F128" s="18" t="s">
        <v>2373</v>
      </c>
      <c r="G128" s="18" t="s">
        <v>2705</v>
      </c>
      <c r="H128" s="16">
        <v>8</v>
      </c>
      <c r="I128" s="16">
        <v>2986.89</v>
      </c>
      <c r="J128" s="16">
        <v>23895.119999999999</v>
      </c>
      <c r="O128" t="str">
        <v>Madurai</v>
      </c>
      <c r="P128" t="str">
        <v>Tamil Nadu</v>
      </c>
      <c r="Q128" t="str">
        <v>South</v>
      </c>
      <c r="R128" t="str">
        <v>Electronics</v>
      </c>
      <c r="S128" t="str">
        <v>Smartphone</v>
      </c>
      <c r="T128">
        <v>18</v>
      </c>
      <c r="U128">
        <v>584.4</v>
      </c>
      <c r="V128">
        <v>10519.2</v>
      </c>
    </row>
    <row r="129" spans="1:22" ht="15" thickBot="1">
      <c r="A129" s="16" t="s">
        <v>2607</v>
      </c>
      <c r="B129" s="18" t="s">
        <v>2682</v>
      </c>
      <c r="C129" s="18" t="s">
        <v>2660</v>
      </c>
      <c r="D129" s="18" t="s">
        <v>2647</v>
      </c>
      <c r="E129" s="18" t="s">
        <v>2643</v>
      </c>
      <c r="F129" s="18" t="s">
        <v>2370</v>
      </c>
      <c r="G129" s="18" t="s">
        <v>2701</v>
      </c>
      <c r="H129" s="16">
        <v>7</v>
      </c>
      <c r="I129" s="16">
        <v>4933.0600000000004</v>
      </c>
      <c r="J129" s="16">
        <v>34531.42</v>
      </c>
      <c r="O129" t="str">
        <v>Coimbatore</v>
      </c>
      <c r="P129" t="str">
        <v>Tamil Nadu</v>
      </c>
      <c r="Q129" t="str">
        <v>South</v>
      </c>
      <c r="R129" t="str">
        <v>Furniture</v>
      </c>
      <c r="S129" t="str">
        <v>Bed</v>
      </c>
      <c r="T129">
        <v>7</v>
      </c>
      <c r="U129">
        <v>1373.41</v>
      </c>
      <c r="V129">
        <v>9613.8700000000008</v>
      </c>
    </row>
    <row r="130" spans="1:22" ht="15" thickBot="1">
      <c r="A130" s="16" t="s">
        <v>2604</v>
      </c>
      <c r="B130" s="18" t="s">
        <v>2686</v>
      </c>
      <c r="C130" s="18" t="s">
        <v>2658</v>
      </c>
      <c r="D130" s="18" t="s">
        <v>2645</v>
      </c>
      <c r="E130" s="18" t="s">
        <v>2642</v>
      </c>
      <c r="F130" s="18" t="s">
        <v>2374</v>
      </c>
      <c r="G130" s="18" t="s">
        <v>2689</v>
      </c>
      <c r="H130" s="16">
        <v>4</v>
      </c>
      <c r="I130" s="16">
        <v>4837.17</v>
      </c>
      <c r="J130" s="16">
        <v>19348.68</v>
      </c>
      <c r="O130" t="str">
        <v>Coimbatore</v>
      </c>
      <c r="P130" t="str">
        <v>Tamil Nadu</v>
      </c>
      <c r="Q130" t="str">
        <v>South</v>
      </c>
      <c r="R130" t="str">
        <v>Electronics</v>
      </c>
      <c r="S130" t="str">
        <v>Laptop</v>
      </c>
      <c r="T130">
        <v>3</v>
      </c>
      <c r="U130">
        <v>413.26</v>
      </c>
      <c r="V130">
        <v>1239.78</v>
      </c>
    </row>
    <row r="131" spans="1:22" ht="15" thickBot="1">
      <c r="A131" s="63">
        <v>45026</v>
      </c>
      <c r="B131" s="18" t="s">
        <v>2684</v>
      </c>
      <c r="C131" s="18" t="s">
        <v>2659</v>
      </c>
      <c r="D131" s="18" t="s">
        <v>2647</v>
      </c>
      <c r="E131" s="18" t="s">
        <v>2643</v>
      </c>
      <c r="F131" s="18" t="s">
        <v>2374</v>
      </c>
      <c r="G131" s="18" t="s">
        <v>2689</v>
      </c>
      <c r="H131" s="16">
        <v>1</v>
      </c>
      <c r="I131" s="16">
        <v>4813.2299999999996</v>
      </c>
      <c r="J131" s="16">
        <v>4813.2299999999996</v>
      </c>
      <c r="O131" t="str">
        <v>Chennai</v>
      </c>
      <c r="P131" t="str">
        <v>Tamil Nadu</v>
      </c>
      <c r="Q131" t="str">
        <v>South</v>
      </c>
      <c r="R131" t="str">
        <v>Stationery</v>
      </c>
      <c r="S131" t="str">
        <v>Ruler</v>
      </c>
      <c r="T131">
        <v>19</v>
      </c>
      <c r="U131">
        <v>2636.08</v>
      </c>
      <c r="V131">
        <v>50085.52</v>
      </c>
    </row>
    <row r="132" spans="1:22" ht="15" thickBot="1">
      <c r="A132" s="16" t="s">
        <v>2521</v>
      </c>
      <c r="B132" s="18" t="s">
        <v>2684</v>
      </c>
      <c r="C132" s="18" t="s">
        <v>2649</v>
      </c>
      <c r="D132" s="18" t="s">
        <v>2645</v>
      </c>
      <c r="E132" s="18" t="s">
        <v>2642</v>
      </c>
      <c r="F132" s="18" t="s">
        <v>2372</v>
      </c>
      <c r="G132" s="18" t="s">
        <v>2699</v>
      </c>
      <c r="H132" s="16">
        <v>16</v>
      </c>
      <c r="I132" s="16">
        <v>3158.66</v>
      </c>
      <c r="J132" s="16">
        <v>50538.559999999998</v>
      </c>
      <c r="O132" t="str">
        <v>Coimbatore</v>
      </c>
      <c r="P132" t="str">
        <v>Tamil Nadu</v>
      </c>
      <c r="Q132" t="str">
        <v>South</v>
      </c>
      <c r="R132" t="str">
        <v>Electronics</v>
      </c>
      <c r="S132" t="str">
        <v>Headphones</v>
      </c>
      <c r="T132">
        <v>13</v>
      </c>
      <c r="U132">
        <v>3994.86</v>
      </c>
      <c r="V132">
        <v>51933.18</v>
      </c>
    </row>
    <row r="133" spans="1:22" ht="15" thickBot="1">
      <c r="A133" s="63">
        <v>45086</v>
      </c>
      <c r="B133" s="18" t="s">
        <v>2679</v>
      </c>
      <c r="C133" s="18" t="s">
        <v>2653</v>
      </c>
      <c r="D133" s="18" t="s">
        <v>2644</v>
      </c>
      <c r="E133" s="18" t="s">
        <v>2641</v>
      </c>
      <c r="F133" s="18" t="s">
        <v>2370</v>
      </c>
      <c r="G133" s="18" t="s">
        <v>1336</v>
      </c>
      <c r="H133" s="16">
        <v>6</v>
      </c>
      <c r="I133" s="16">
        <v>2920.43</v>
      </c>
      <c r="J133" s="16">
        <v>17522.580000000002</v>
      </c>
      <c r="O133" t="str">
        <v>Chennai</v>
      </c>
      <c r="P133" t="str">
        <v>Tamil Nadu</v>
      </c>
      <c r="Q133" t="str">
        <v>South</v>
      </c>
      <c r="R133" t="str">
        <v>Groceries</v>
      </c>
      <c r="S133" t="str">
        <v>Lentils</v>
      </c>
      <c r="T133">
        <v>8</v>
      </c>
      <c r="U133">
        <v>978.4</v>
      </c>
      <c r="V133">
        <v>7827.2</v>
      </c>
    </row>
    <row r="134" spans="1:22" ht="15" thickBot="1">
      <c r="A134" s="63">
        <v>45119</v>
      </c>
      <c r="B134" s="18" t="s">
        <v>2679</v>
      </c>
      <c r="C134" s="18" t="s">
        <v>2653</v>
      </c>
      <c r="D134" s="18" t="s">
        <v>2644</v>
      </c>
      <c r="E134" s="18" t="s">
        <v>2641</v>
      </c>
      <c r="F134" s="18" t="s">
        <v>2372</v>
      </c>
      <c r="G134" s="18" t="s">
        <v>2693</v>
      </c>
      <c r="H134" s="16">
        <v>12</v>
      </c>
      <c r="I134" s="16">
        <v>2170.02</v>
      </c>
      <c r="J134" s="16">
        <v>26040.240000000002</v>
      </c>
      <c r="O134" t="str">
        <v>Coimbatore</v>
      </c>
      <c r="P134" t="str">
        <v>Tamil Nadu</v>
      </c>
      <c r="Q134" t="str">
        <v>South</v>
      </c>
      <c r="R134" t="str">
        <v>Furniture</v>
      </c>
      <c r="S134" t="str">
        <v>Sofa</v>
      </c>
      <c r="T134">
        <v>15</v>
      </c>
      <c r="U134">
        <v>4748.62</v>
      </c>
      <c r="V134">
        <v>71229.3</v>
      </c>
    </row>
    <row r="135" spans="1:22" ht="15" thickBot="1">
      <c r="A135" s="16" t="s">
        <v>2574</v>
      </c>
      <c r="B135" s="18" t="s">
        <v>2682</v>
      </c>
      <c r="C135" s="18" t="s">
        <v>2653</v>
      </c>
      <c r="D135" s="18" t="s">
        <v>2644</v>
      </c>
      <c r="E135" s="18" t="s">
        <v>2641</v>
      </c>
      <c r="F135" s="18" t="s">
        <v>2370</v>
      </c>
      <c r="G135" s="18" t="s">
        <v>1335</v>
      </c>
      <c r="H135" s="16">
        <v>2</v>
      </c>
      <c r="I135" s="16">
        <v>4542.6099999999997</v>
      </c>
      <c r="J135" s="16">
        <v>9085.2199999999993</v>
      </c>
      <c r="O135" t="str">
        <v>Coimbatore</v>
      </c>
      <c r="P135" t="str">
        <v>Tamil Nadu</v>
      </c>
      <c r="Q135" t="str">
        <v>South</v>
      </c>
      <c r="R135" t="str">
        <v>Furniture</v>
      </c>
      <c r="S135" t="str">
        <v>Chair</v>
      </c>
      <c r="T135">
        <v>8</v>
      </c>
      <c r="U135">
        <v>2394.87</v>
      </c>
      <c r="V135">
        <v>19158.96</v>
      </c>
    </row>
    <row r="136" spans="1:22" ht="15" thickBot="1">
      <c r="A136" s="16" t="s">
        <v>2519</v>
      </c>
      <c r="B136" s="18" t="s">
        <v>2680</v>
      </c>
      <c r="C136" s="18" t="s">
        <v>2393</v>
      </c>
      <c r="D136" s="18" t="s">
        <v>2644</v>
      </c>
      <c r="E136" s="18" t="s">
        <v>2641</v>
      </c>
      <c r="F136" s="18" t="s">
        <v>2370</v>
      </c>
      <c r="G136" s="18" t="s">
        <v>1335</v>
      </c>
      <c r="H136" s="16">
        <v>1</v>
      </c>
      <c r="I136" s="16">
        <v>3091.48</v>
      </c>
      <c r="J136" s="16">
        <v>3091.48</v>
      </c>
      <c r="O136" t="str">
        <v>Coimbatore</v>
      </c>
      <c r="P136" t="str">
        <v>Tamil Nadu</v>
      </c>
      <c r="Q136" t="str">
        <v>South</v>
      </c>
      <c r="R136" t="str">
        <v>Clothing</v>
      </c>
      <c r="S136" t="str">
        <v>Shirt</v>
      </c>
      <c r="T136">
        <v>14</v>
      </c>
      <c r="U136">
        <v>816.99</v>
      </c>
      <c r="V136">
        <v>11437.86</v>
      </c>
    </row>
    <row r="137" spans="1:22" ht="15" thickBot="1">
      <c r="A137" s="63">
        <v>45017</v>
      </c>
      <c r="B137" s="18" t="s">
        <v>2684</v>
      </c>
      <c r="C137" s="18" t="s">
        <v>2396</v>
      </c>
      <c r="D137" s="18" t="s">
        <v>2648</v>
      </c>
      <c r="E137" s="18" t="s">
        <v>2641</v>
      </c>
      <c r="F137" s="18" t="s">
        <v>2373</v>
      </c>
      <c r="G137" s="18" t="s">
        <v>2688</v>
      </c>
      <c r="H137" s="16">
        <v>3</v>
      </c>
      <c r="I137" s="16">
        <v>2205.6</v>
      </c>
      <c r="J137" s="16">
        <v>6616.8</v>
      </c>
      <c r="O137" t="str">
        <v>Chennai</v>
      </c>
      <c r="P137" t="str">
        <v>Tamil Nadu</v>
      </c>
      <c r="Q137" t="str">
        <v>South</v>
      </c>
      <c r="R137" t="str">
        <v>Electronics</v>
      </c>
      <c r="S137" t="str">
        <v>Tablet</v>
      </c>
      <c r="T137">
        <v>3</v>
      </c>
      <c r="U137">
        <v>3102.92</v>
      </c>
      <c r="V137">
        <v>9308.76</v>
      </c>
    </row>
    <row r="138" spans="1:22" ht="15" thickBot="1">
      <c r="A138" s="16" t="s">
        <v>2598</v>
      </c>
      <c r="B138" s="18" t="s">
        <v>2680</v>
      </c>
      <c r="C138" s="18" t="s">
        <v>2653</v>
      </c>
      <c r="D138" s="18" t="s">
        <v>2644</v>
      </c>
      <c r="E138" s="18" t="s">
        <v>2641</v>
      </c>
      <c r="F138" s="18" t="s">
        <v>2370</v>
      </c>
      <c r="G138" s="18" t="s">
        <v>2701</v>
      </c>
      <c r="H138" s="16">
        <v>10</v>
      </c>
      <c r="I138" s="16">
        <v>4282.18</v>
      </c>
      <c r="J138" s="16">
        <v>42821.8</v>
      </c>
      <c r="O138" t="str">
        <v>Madurai</v>
      </c>
      <c r="P138" t="str">
        <v>Tamil Nadu</v>
      </c>
      <c r="Q138" t="str">
        <v>South</v>
      </c>
      <c r="R138" t="str">
        <v>Stationery</v>
      </c>
      <c r="S138" t="str">
        <v>Pen</v>
      </c>
      <c r="T138">
        <v>16</v>
      </c>
      <c r="U138">
        <v>1873.12</v>
      </c>
      <c r="V138">
        <v>29969.919999999998</v>
      </c>
    </row>
    <row r="139" spans="1:22" ht="15" thickBot="1">
      <c r="A139" s="16" t="s">
        <v>2586</v>
      </c>
      <c r="B139" s="18" t="s">
        <v>2682</v>
      </c>
      <c r="C139" s="18" t="s">
        <v>2658</v>
      </c>
      <c r="D139" s="18" t="s">
        <v>2645</v>
      </c>
      <c r="E139" s="18" t="s">
        <v>2642</v>
      </c>
      <c r="F139" s="18" t="s">
        <v>2374</v>
      </c>
      <c r="G139" s="18" t="s">
        <v>2689</v>
      </c>
      <c r="H139" s="16">
        <v>5</v>
      </c>
      <c r="I139" s="16">
        <v>4252.84</v>
      </c>
      <c r="J139" s="16">
        <v>21264.2</v>
      </c>
      <c r="O139" t="str">
        <v>Chennai</v>
      </c>
      <c r="P139" t="str">
        <v>Tamil Nadu</v>
      </c>
      <c r="Q139" t="str">
        <v>South</v>
      </c>
      <c r="R139" t="str">
        <v>Furniture</v>
      </c>
      <c r="S139" t="str">
        <v>Sofa</v>
      </c>
      <c r="T139">
        <v>18</v>
      </c>
      <c r="U139">
        <v>620.92999999999995</v>
      </c>
      <c r="V139">
        <v>11176.74</v>
      </c>
    </row>
    <row r="140" spans="1:22" ht="15" thickBot="1">
      <c r="A140" s="63">
        <v>45139</v>
      </c>
      <c r="B140" s="18" t="s">
        <v>2679</v>
      </c>
      <c r="C140" s="18" t="s">
        <v>2652</v>
      </c>
      <c r="D140" s="18" t="s">
        <v>2647</v>
      </c>
      <c r="E140" s="18" t="s">
        <v>2643</v>
      </c>
      <c r="F140" s="18" t="s">
        <v>2373</v>
      </c>
      <c r="G140" s="18" t="s">
        <v>2705</v>
      </c>
      <c r="H140" s="16">
        <v>3</v>
      </c>
      <c r="I140" s="16">
        <v>916.33</v>
      </c>
      <c r="J140" s="16">
        <v>2748.99</v>
      </c>
      <c r="O140" t="str">
        <v>Chennai</v>
      </c>
      <c r="P140" t="str">
        <v>Tamil Nadu</v>
      </c>
      <c r="Q140" t="str">
        <v>South</v>
      </c>
      <c r="R140" t="str">
        <v>Electronics</v>
      </c>
      <c r="S140" t="str">
        <v>Tablet</v>
      </c>
      <c r="T140">
        <v>4</v>
      </c>
      <c r="U140">
        <v>1241.21</v>
      </c>
      <c r="V140">
        <v>4964.84</v>
      </c>
    </row>
    <row r="141" spans="1:22" ht="15" thickBot="1">
      <c r="A141" s="16" t="s">
        <v>2493</v>
      </c>
      <c r="B141" s="18" t="s">
        <v>2679</v>
      </c>
      <c r="C141" s="18" t="s">
        <v>2656</v>
      </c>
      <c r="D141" s="18" t="s">
        <v>2648</v>
      </c>
      <c r="E141" s="18" t="s">
        <v>2641</v>
      </c>
      <c r="F141" s="18" t="s">
        <v>2373</v>
      </c>
      <c r="G141" s="18" t="s">
        <v>2705</v>
      </c>
      <c r="H141" s="16">
        <v>3</v>
      </c>
      <c r="I141" s="16">
        <v>1270.1500000000001</v>
      </c>
      <c r="J141" s="16">
        <v>3810.45</v>
      </c>
      <c r="O141" t="str">
        <v>Coimbatore</v>
      </c>
      <c r="P141" t="str">
        <v>Tamil Nadu</v>
      </c>
      <c r="Q141" t="str">
        <v>South</v>
      </c>
      <c r="R141" t="str">
        <v>Groceries</v>
      </c>
      <c r="S141" t="str">
        <v>Sugar</v>
      </c>
      <c r="T141">
        <v>11</v>
      </c>
      <c r="U141">
        <v>4446.37</v>
      </c>
      <c r="V141">
        <v>48910.07</v>
      </c>
    </row>
    <row r="142" spans="1:22" ht="15" thickBot="1">
      <c r="A142" s="63">
        <v>45232</v>
      </c>
      <c r="B142" s="18" t="s">
        <v>2680</v>
      </c>
      <c r="C142" s="18" t="s">
        <v>2654</v>
      </c>
      <c r="D142" s="18" t="s">
        <v>2646</v>
      </c>
      <c r="E142" s="18" t="s">
        <v>2642</v>
      </c>
      <c r="F142" s="18" t="s">
        <v>2373</v>
      </c>
      <c r="G142" s="18" t="s">
        <v>2697</v>
      </c>
      <c r="H142" s="16">
        <v>6</v>
      </c>
      <c r="I142" s="16">
        <v>1750.35</v>
      </c>
      <c r="J142" s="16">
        <v>10502.1</v>
      </c>
      <c r="O142" t="str">
        <v>Madurai</v>
      </c>
      <c r="P142" t="str">
        <v>Tamil Nadu</v>
      </c>
      <c r="Q142" t="str">
        <v>South</v>
      </c>
      <c r="R142" t="str">
        <v>Stationery</v>
      </c>
      <c r="S142" t="str">
        <v>Pen</v>
      </c>
      <c r="T142">
        <v>1</v>
      </c>
      <c r="U142">
        <v>3431.7</v>
      </c>
      <c r="V142">
        <v>3431.7</v>
      </c>
    </row>
    <row r="143" spans="1:22" ht="15" thickBot="1">
      <c r="A143" s="16" t="s">
        <v>2456</v>
      </c>
      <c r="B143" s="18" t="s">
        <v>2678</v>
      </c>
      <c r="C143" s="18" t="s">
        <v>2654</v>
      </c>
      <c r="D143" s="18" t="s">
        <v>2646</v>
      </c>
      <c r="E143" s="18" t="s">
        <v>2642</v>
      </c>
      <c r="F143" s="18" t="s">
        <v>2661</v>
      </c>
      <c r="G143" s="18" t="s">
        <v>2691</v>
      </c>
      <c r="H143" s="16">
        <v>6</v>
      </c>
      <c r="I143" s="16">
        <v>1105.03</v>
      </c>
      <c r="J143" s="16">
        <v>6630.18</v>
      </c>
      <c r="O143" t="str">
        <v>Coimbatore</v>
      </c>
      <c r="P143" t="str">
        <v>Tamil Nadu</v>
      </c>
      <c r="Q143" t="str">
        <v>South</v>
      </c>
      <c r="R143" t="str">
        <v>Electronics</v>
      </c>
      <c r="S143" t="str">
        <v>Headphones</v>
      </c>
      <c r="T143">
        <v>14</v>
      </c>
      <c r="U143">
        <v>2343.4</v>
      </c>
      <c r="V143">
        <v>32807.599999999999</v>
      </c>
    </row>
    <row r="144" spans="1:22" ht="15" thickBot="1">
      <c r="A144" s="16" t="s">
        <v>2472</v>
      </c>
      <c r="B144" s="18" t="s">
        <v>2684</v>
      </c>
      <c r="C144" s="18" t="s">
        <v>2654</v>
      </c>
      <c r="D144" s="18" t="s">
        <v>2646</v>
      </c>
      <c r="E144" s="18" t="s">
        <v>2642</v>
      </c>
      <c r="F144" s="18" t="s">
        <v>2373</v>
      </c>
      <c r="G144" s="18" t="s">
        <v>2688</v>
      </c>
      <c r="H144" s="16">
        <v>17</v>
      </c>
      <c r="I144" s="16">
        <v>1801.69</v>
      </c>
      <c r="J144" s="16">
        <v>30628.73</v>
      </c>
      <c r="O144" t="str">
        <v>Chennai</v>
      </c>
      <c r="P144" t="str">
        <v>Tamil Nadu</v>
      </c>
      <c r="Q144" t="str">
        <v>South</v>
      </c>
      <c r="R144" t="str">
        <v>Electronics</v>
      </c>
      <c r="S144" t="str">
        <v>Tablet</v>
      </c>
      <c r="T144">
        <v>1</v>
      </c>
      <c r="U144">
        <v>4175.7</v>
      </c>
      <c r="V144">
        <v>4175.7</v>
      </c>
    </row>
    <row r="145" spans="1:22" ht="15" thickBot="1">
      <c r="A145" s="63">
        <v>45176</v>
      </c>
      <c r="B145" s="18" t="s">
        <v>2685</v>
      </c>
      <c r="C145" s="18" t="s">
        <v>2655</v>
      </c>
      <c r="D145" s="18" t="s">
        <v>2645</v>
      </c>
      <c r="E145" s="18" t="s">
        <v>2642</v>
      </c>
      <c r="F145" s="18" t="s">
        <v>2370</v>
      </c>
      <c r="G145" s="18" t="s">
        <v>1335</v>
      </c>
      <c r="H145" s="16">
        <v>19</v>
      </c>
      <c r="I145" s="16">
        <v>717.29</v>
      </c>
      <c r="J145" s="16">
        <v>13628.51</v>
      </c>
      <c r="O145" t="str">
        <v>Chennai</v>
      </c>
      <c r="P145" t="str">
        <v>Tamil Nadu</v>
      </c>
      <c r="Q145" t="str">
        <v>South</v>
      </c>
      <c r="R145" t="str">
        <v>Stationery</v>
      </c>
      <c r="S145" t="str">
        <v>Ruler</v>
      </c>
      <c r="T145">
        <v>9</v>
      </c>
      <c r="U145">
        <v>2251.19</v>
      </c>
      <c r="V145">
        <v>20260.71</v>
      </c>
    </row>
    <row r="146" spans="1:22" ht="15" thickBot="1">
      <c r="A146" s="16" t="s">
        <v>2670</v>
      </c>
      <c r="B146" s="18" t="s">
        <v>2680</v>
      </c>
      <c r="C146" s="18" t="s">
        <v>2657</v>
      </c>
      <c r="D146" s="18" t="s">
        <v>2648</v>
      </c>
      <c r="E146" s="18" t="s">
        <v>2641</v>
      </c>
      <c r="F146" s="18" t="s">
        <v>2374</v>
      </c>
      <c r="G146" s="18" t="s">
        <v>2700</v>
      </c>
      <c r="H146" s="16">
        <v>2</v>
      </c>
      <c r="I146" s="16">
        <v>4547.16</v>
      </c>
      <c r="J146" s="16">
        <v>9094.32</v>
      </c>
      <c r="O146" t="str">
        <v>Coimbatore</v>
      </c>
      <c r="P146" t="str">
        <v>Tamil Nadu</v>
      </c>
      <c r="Q146" t="str">
        <v>South</v>
      </c>
      <c r="R146" t="str">
        <v>Electronics</v>
      </c>
      <c r="S146" t="str">
        <v>Smartphone</v>
      </c>
      <c r="T146">
        <v>19</v>
      </c>
      <c r="U146">
        <v>2240.89</v>
      </c>
      <c r="V146">
        <v>42576.91</v>
      </c>
    </row>
    <row r="147" spans="1:22" ht="15" thickBot="1">
      <c r="A147" s="63">
        <v>45027</v>
      </c>
      <c r="B147" s="18" t="s">
        <v>2684</v>
      </c>
      <c r="C147" s="18" t="s">
        <v>2652</v>
      </c>
      <c r="D147" s="18" t="s">
        <v>2647</v>
      </c>
      <c r="E147" s="18" t="s">
        <v>2643</v>
      </c>
      <c r="F147" s="18" t="s">
        <v>2372</v>
      </c>
      <c r="G147" s="18" t="s">
        <v>2690</v>
      </c>
      <c r="H147" s="16">
        <v>2</v>
      </c>
      <c r="I147" s="16">
        <v>4818.49</v>
      </c>
      <c r="J147" s="16">
        <v>9636.98</v>
      </c>
      <c r="O147" t="str">
        <v>Coimbatore</v>
      </c>
      <c r="P147" t="str">
        <v>Tamil Nadu</v>
      </c>
      <c r="Q147" t="str">
        <v>South</v>
      </c>
      <c r="R147" t="str">
        <v>Groceries</v>
      </c>
      <c r="S147" t="str">
        <v>Rice</v>
      </c>
      <c r="T147">
        <v>6</v>
      </c>
      <c r="U147">
        <v>4286.28</v>
      </c>
      <c r="V147">
        <v>25717.68</v>
      </c>
    </row>
    <row r="148" spans="1:22" ht="15" thickBot="1">
      <c r="A148" s="63">
        <v>45210</v>
      </c>
      <c r="B148" s="18" t="s">
        <v>2681</v>
      </c>
      <c r="C148" s="18" t="s">
        <v>2650</v>
      </c>
      <c r="D148" s="18" t="s">
        <v>2646</v>
      </c>
      <c r="E148" s="18" t="s">
        <v>2642</v>
      </c>
      <c r="F148" s="18" t="s">
        <v>2374</v>
      </c>
      <c r="G148" s="18" t="s">
        <v>2689</v>
      </c>
      <c r="H148" s="16">
        <v>14</v>
      </c>
      <c r="I148" s="16">
        <v>1410.91</v>
      </c>
      <c r="J148" s="16">
        <v>19752.740000000002</v>
      </c>
      <c r="O148" t="str">
        <v>Madurai</v>
      </c>
      <c r="P148" t="str">
        <v>Tamil Nadu</v>
      </c>
      <c r="Q148" t="str">
        <v>South</v>
      </c>
      <c r="R148" t="str">
        <v>Electronics</v>
      </c>
      <c r="S148" t="str">
        <v>Laptop</v>
      </c>
      <c r="T148">
        <v>20</v>
      </c>
      <c r="U148">
        <v>1316.67</v>
      </c>
      <c r="V148">
        <v>26333.4</v>
      </c>
    </row>
    <row r="149" spans="1:22" ht="15" thickBot="1">
      <c r="A149" s="16" t="s">
        <v>2672</v>
      </c>
      <c r="B149" s="18" t="s">
        <v>2687</v>
      </c>
      <c r="C149" s="18" t="s">
        <v>2658</v>
      </c>
      <c r="D149" s="18" t="s">
        <v>2645</v>
      </c>
      <c r="E149" s="18" t="s">
        <v>2642</v>
      </c>
      <c r="F149" s="18" t="s">
        <v>2372</v>
      </c>
      <c r="G149" s="18" t="s">
        <v>2690</v>
      </c>
      <c r="H149" s="16">
        <v>20</v>
      </c>
      <c r="I149" s="16">
        <v>239.35</v>
      </c>
      <c r="J149" s="16">
        <v>4787</v>
      </c>
      <c r="O149" t="str">
        <v>Madurai</v>
      </c>
      <c r="P149" t="str">
        <v>Tamil Nadu</v>
      </c>
      <c r="Q149" t="str">
        <v>South</v>
      </c>
      <c r="R149" t="str">
        <v>Furniture</v>
      </c>
      <c r="S149" t="str">
        <v>Chair</v>
      </c>
      <c r="T149">
        <v>11</v>
      </c>
      <c r="U149">
        <v>819.85</v>
      </c>
      <c r="V149">
        <v>9018.35</v>
      </c>
    </row>
    <row r="150" spans="1:22" ht="15" thickBot="1">
      <c r="A150" s="63">
        <v>44963</v>
      </c>
      <c r="B150" s="18" t="s">
        <v>2682</v>
      </c>
      <c r="C150" s="18" t="s">
        <v>2657</v>
      </c>
      <c r="D150" s="18" t="s">
        <v>2648</v>
      </c>
      <c r="E150" s="18" t="s">
        <v>2641</v>
      </c>
      <c r="F150" s="18" t="s">
        <v>2374</v>
      </c>
      <c r="G150" s="18" t="s">
        <v>2700</v>
      </c>
      <c r="H150" s="16">
        <v>16</v>
      </c>
      <c r="I150" s="16">
        <v>4096.74</v>
      </c>
      <c r="J150" s="16">
        <v>65547.839999999997</v>
      </c>
      <c r="O150" t="str">
        <v>Madurai</v>
      </c>
      <c r="P150" t="str">
        <v>Tamil Nadu</v>
      </c>
      <c r="Q150" t="str">
        <v>South</v>
      </c>
      <c r="R150" t="str">
        <v>Electronics</v>
      </c>
      <c r="S150" t="str">
        <v>Tablet</v>
      </c>
      <c r="T150">
        <v>8</v>
      </c>
      <c r="U150">
        <v>2784.08</v>
      </c>
      <c r="V150">
        <v>22272.639999999999</v>
      </c>
    </row>
    <row r="151" spans="1:22" ht="15" thickBot="1">
      <c r="A151" s="16" t="s">
        <v>2545</v>
      </c>
      <c r="B151" s="18" t="s">
        <v>2682</v>
      </c>
      <c r="C151" s="18" t="s">
        <v>2650</v>
      </c>
      <c r="D151" s="18" t="s">
        <v>2646</v>
      </c>
      <c r="E151" s="18" t="s">
        <v>2642</v>
      </c>
      <c r="F151" s="18" t="s">
        <v>2374</v>
      </c>
      <c r="G151" s="18" t="s">
        <v>2692</v>
      </c>
      <c r="H151" s="16">
        <v>14</v>
      </c>
      <c r="I151" s="16">
        <v>3507.25</v>
      </c>
      <c r="J151" s="16">
        <v>49101.5</v>
      </c>
      <c r="O151" t="str">
        <v>Chennai</v>
      </c>
      <c r="P151" t="str">
        <v>Tamil Nadu</v>
      </c>
      <c r="Q151" t="str">
        <v>South</v>
      </c>
      <c r="R151" t="str">
        <v>Clothing</v>
      </c>
      <c r="S151" t="str">
        <v>Shirt</v>
      </c>
      <c r="T151">
        <v>8</v>
      </c>
      <c r="U151">
        <v>2240.2199999999998</v>
      </c>
      <c r="V151">
        <v>17921.759999999998</v>
      </c>
    </row>
    <row r="152" spans="1:22" ht="15" thickBot="1">
      <c r="A152" s="16" t="s">
        <v>2549</v>
      </c>
      <c r="B152" s="18" t="s">
        <v>2681</v>
      </c>
      <c r="C152" s="18" t="s">
        <v>2393</v>
      </c>
      <c r="D152" s="18" t="s">
        <v>2644</v>
      </c>
      <c r="E152" s="18" t="s">
        <v>2641</v>
      </c>
      <c r="F152" s="18" t="s">
        <v>2374</v>
      </c>
      <c r="G152" s="18" t="s">
        <v>2700</v>
      </c>
      <c r="H152" s="16">
        <v>16</v>
      </c>
      <c r="I152" s="16">
        <v>4507.37</v>
      </c>
      <c r="J152" s="16">
        <v>72117.919999999998</v>
      </c>
      <c r="O152" t="str">
        <v>Chennai</v>
      </c>
      <c r="P152" t="str">
        <v>Tamil Nadu</v>
      </c>
      <c r="Q152" t="str">
        <v>South</v>
      </c>
      <c r="R152" t="str">
        <v>Electronics</v>
      </c>
      <c r="S152" t="str">
        <v>Headphones</v>
      </c>
      <c r="T152">
        <v>18</v>
      </c>
      <c r="U152">
        <v>1039.3800000000001</v>
      </c>
      <c r="V152">
        <v>18708.84</v>
      </c>
    </row>
    <row r="153" spans="1:22" ht="15" thickBot="1">
      <c r="A153" s="16" t="s">
        <v>2621</v>
      </c>
      <c r="B153" s="18" t="s">
        <v>2682</v>
      </c>
      <c r="C153" s="18" t="s">
        <v>2652</v>
      </c>
      <c r="D153" s="18" t="s">
        <v>2647</v>
      </c>
      <c r="E153" s="18" t="s">
        <v>2643</v>
      </c>
      <c r="F153" s="18" t="s">
        <v>2373</v>
      </c>
      <c r="G153" s="18" t="s">
        <v>2697</v>
      </c>
      <c r="H153" s="16">
        <v>10</v>
      </c>
      <c r="I153" s="16">
        <v>239.55</v>
      </c>
      <c r="J153" s="16">
        <v>2395.5</v>
      </c>
      <c r="O153" t="str">
        <v>Madurai</v>
      </c>
      <c r="P153" t="str">
        <v>Tamil Nadu</v>
      </c>
      <c r="Q153" t="str">
        <v>South</v>
      </c>
      <c r="R153" t="str">
        <v>Groceries</v>
      </c>
      <c r="S153" t="str">
        <v>Oil</v>
      </c>
      <c r="T153">
        <v>11</v>
      </c>
      <c r="U153">
        <v>2182.46</v>
      </c>
      <c r="V153">
        <v>24007.06</v>
      </c>
    </row>
    <row r="154" spans="1:22" ht="15" thickBot="1">
      <c r="A154" s="16" t="s">
        <v>2446</v>
      </c>
      <c r="B154" s="18" t="s">
        <v>2678</v>
      </c>
      <c r="C154" s="18" t="s">
        <v>2653</v>
      </c>
      <c r="D154" s="18" t="s">
        <v>2644</v>
      </c>
      <c r="E154" s="18" t="s">
        <v>2641</v>
      </c>
      <c r="F154" s="18" t="s">
        <v>2374</v>
      </c>
      <c r="G154" s="18" t="s">
        <v>2692</v>
      </c>
      <c r="H154" s="16">
        <v>17</v>
      </c>
      <c r="I154" s="16">
        <v>679.78</v>
      </c>
      <c r="J154" s="16">
        <v>11556.26</v>
      </c>
      <c r="O154" t="str">
        <v>Coimbatore</v>
      </c>
      <c r="P154" t="str">
        <v>Tamil Nadu</v>
      </c>
      <c r="Q154" t="str">
        <v>South</v>
      </c>
      <c r="R154" t="str">
        <v>Groceries</v>
      </c>
      <c r="S154" t="str">
        <v>Lentils</v>
      </c>
      <c r="T154">
        <v>10</v>
      </c>
      <c r="U154">
        <v>3031.91</v>
      </c>
      <c r="V154">
        <v>30319.1</v>
      </c>
    </row>
    <row r="155" spans="1:22" ht="15" thickBot="1">
      <c r="A155" s="16" t="s">
        <v>2512</v>
      </c>
      <c r="B155" s="18" t="s">
        <v>2682</v>
      </c>
      <c r="C155" s="18" t="s">
        <v>2649</v>
      </c>
      <c r="D155" s="18" t="s">
        <v>2645</v>
      </c>
      <c r="E155" s="18" t="s">
        <v>2642</v>
      </c>
      <c r="F155" s="18" t="s">
        <v>2373</v>
      </c>
      <c r="G155" s="18" t="s">
        <v>2705</v>
      </c>
      <c r="H155" s="16">
        <v>18</v>
      </c>
      <c r="I155" s="16">
        <v>2658.57</v>
      </c>
      <c r="J155" s="16">
        <v>47854.26</v>
      </c>
      <c r="O155" t="str">
        <v>Chennai</v>
      </c>
      <c r="P155" t="str">
        <v>Tamil Nadu</v>
      </c>
      <c r="Q155" t="str">
        <v>South</v>
      </c>
      <c r="R155" t="str">
        <v>Electronics</v>
      </c>
      <c r="S155" t="str">
        <v>Laptop</v>
      </c>
      <c r="T155">
        <v>1</v>
      </c>
      <c r="U155">
        <v>2918.29</v>
      </c>
      <c r="V155">
        <v>2918.29</v>
      </c>
    </row>
    <row r="156" spans="1:22" ht="15" thickBot="1">
      <c r="A156" s="16" t="s">
        <v>2470</v>
      </c>
      <c r="B156" s="18" t="s">
        <v>2685</v>
      </c>
      <c r="C156" s="18" t="s">
        <v>2654</v>
      </c>
      <c r="D156" s="18" t="s">
        <v>2646</v>
      </c>
      <c r="E156" s="18" t="s">
        <v>2642</v>
      </c>
      <c r="F156" s="18" t="s">
        <v>2373</v>
      </c>
      <c r="G156" s="18" t="s">
        <v>2688</v>
      </c>
      <c r="H156" s="16">
        <v>18</v>
      </c>
      <c r="I156" s="16">
        <v>4937.99</v>
      </c>
      <c r="J156" s="16">
        <v>88883.82</v>
      </c>
      <c r="O156" t="str">
        <v>Chennai</v>
      </c>
      <c r="P156" t="str">
        <v>Tamil Nadu</v>
      </c>
      <c r="Q156" t="str">
        <v>South</v>
      </c>
      <c r="R156" t="str">
        <v>Clothing</v>
      </c>
      <c r="S156" t="str">
        <v>Dress</v>
      </c>
      <c r="T156">
        <v>7</v>
      </c>
      <c r="U156">
        <v>1233.6300000000001</v>
      </c>
      <c r="V156">
        <v>8635.41</v>
      </c>
    </row>
    <row r="157" spans="1:22" ht="15" thickBot="1">
      <c r="A157" s="16" t="s">
        <v>2487</v>
      </c>
      <c r="B157" s="18" t="s">
        <v>2685</v>
      </c>
      <c r="C157" s="18" t="s">
        <v>2396</v>
      </c>
      <c r="D157" s="18" t="s">
        <v>2648</v>
      </c>
      <c r="E157" s="18" t="s">
        <v>2641</v>
      </c>
      <c r="F157" s="18" t="s">
        <v>2373</v>
      </c>
      <c r="G157" s="18" t="s">
        <v>2703</v>
      </c>
      <c r="H157" s="16">
        <v>17</v>
      </c>
      <c r="I157" s="16">
        <v>3421.31</v>
      </c>
      <c r="J157" s="16">
        <v>58162.27</v>
      </c>
      <c r="O157" t="str">
        <v>Madurai</v>
      </c>
      <c r="P157" t="str">
        <v>Tamil Nadu</v>
      </c>
      <c r="Q157" t="str">
        <v>South</v>
      </c>
      <c r="R157" t="str">
        <v>Electronics</v>
      </c>
      <c r="S157" t="str">
        <v>Smartphone</v>
      </c>
      <c r="T157">
        <v>2</v>
      </c>
      <c r="U157">
        <v>2261.69</v>
      </c>
      <c r="V157">
        <v>4523.38</v>
      </c>
    </row>
    <row r="158" spans="1:22" ht="15" thickBot="1">
      <c r="A158" s="16" t="s">
        <v>2586</v>
      </c>
      <c r="B158" s="18" t="s">
        <v>2687</v>
      </c>
      <c r="C158" s="18" t="s">
        <v>2659</v>
      </c>
      <c r="D158" s="18" t="s">
        <v>2647</v>
      </c>
      <c r="E158" s="18" t="s">
        <v>2643</v>
      </c>
      <c r="F158" s="18" t="s">
        <v>2370</v>
      </c>
      <c r="G158" s="18" t="s">
        <v>1335</v>
      </c>
      <c r="H158" s="16">
        <v>4</v>
      </c>
      <c r="I158" s="16">
        <v>1555.9</v>
      </c>
      <c r="J158" s="16">
        <v>6223.6</v>
      </c>
      <c r="O158" t="str">
        <v>Coimbatore</v>
      </c>
      <c r="P158" t="str">
        <v>Tamil Nadu</v>
      </c>
      <c r="Q158" t="str">
        <v>South</v>
      </c>
      <c r="R158" t="str">
        <v>Groceries</v>
      </c>
      <c r="S158" t="str">
        <v>Sugar</v>
      </c>
      <c r="T158">
        <v>15</v>
      </c>
      <c r="U158">
        <v>1197.31</v>
      </c>
      <c r="V158">
        <v>17959.650000000001</v>
      </c>
    </row>
    <row r="159" spans="1:22" ht="15" thickBot="1">
      <c r="A159" s="16" t="s">
        <v>2575</v>
      </c>
      <c r="B159" s="18" t="s">
        <v>2683</v>
      </c>
      <c r="C159" s="18" t="s">
        <v>2393</v>
      </c>
      <c r="D159" s="18" t="s">
        <v>2644</v>
      </c>
      <c r="E159" s="18" t="s">
        <v>2641</v>
      </c>
      <c r="F159" s="18" t="s">
        <v>2370</v>
      </c>
      <c r="G159" s="18" t="s">
        <v>1335</v>
      </c>
      <c r="H159" s="16">
        <v>12</v>
      </c>
      <c r="I159" s="16">
        <v>932.42</v>
      </c>
      <c r="J159" s="16">
        <v>11189.04</v>
      </c>
      <c r="O159" t="str">
        <v>Madurai</v>
      </c>
      <c r="P159" t="str">
        <v>Tamil Nadu</v>
      </c>
      <c r="Q159" t="str">
        <v>South</v>
      </c>
      <c r="R159" t="str">
        <v>Stationery</v>
      </c>
      <c r="S159" t="str">
        <v>Ruler</v>
      </c>
      <c r="T159">
        <v>19</v>
      </c>
      <c r="U159">
        <v>2357.62</v>
      </c>
      <c r="V159">
        <v>44794.78</v>
      </c>
    </row>
    <row r="160" spans="1:22" ht="15" thickBot="1">
      <c r="A160" s="16" t="s">
        <v>2609</v>
      </c>
      <c r="B160" s="18" t="s">
        <v>2682</v>
      </c>
      <c r="C160" s="18" t="s">
        <v>2649</v>
      </c>
      <c r="D160" s="18" t="s">
        <v>2645</v>
      </c>
      <c r="E160" s="18" t="s">
        <v>2642</v>
      </c>
      <c r="F160" s="18" t="s">
        <v>2373</v>
      </c>
      <c r="G160" s="18" t="s">
        <v>2705</v>
      </c>
      <c r="H160" s="16">
        <v>20</v>
      </c>
      <c r="I160" s="16">
        <v>459.48</v>
      </c>
      <c r="J160" s="16">
        <v>9189.6</v>
      </c>
      <c r="O160" t="str">
        <v>Coimbatore</v>
      </c>
      <c r="P160" t="str">
        <v>Tamil Nadu</v>
      </c>
      <c r="Q160" t="str">
        <v>South</v>
      </c>
      <c r="R160" t="str">
        <v>Clothing</v>
      </c>
      <c r="S160" t="str">
        <v>Shirt</v>
      </c>
      <c r="T160">
        <v>9</v>
      </c>
      <c r="U160">
        <v>3927.83</v>
      </c>
      <c r="V160">
        <v>35350.47</v>
      </c>
    </row>
    <row r="161" spans="1:22" ht="15" thickBot="1">
      <c r="A161" s="16" t="s">
        <v>2618</v>
      </c>
      <c r="B161" s="18" t="s">
        <v>2679</v>
      </c>
      <c r="C161" s="18" t="s">
        <v>2658</v>
      </c>
      <c r="D161" s="18" t="s">
        <v>2645</v>
      </c>
      <c r="E161" s="18" t="s">
        <v>2642</v>
      </c>
      <c r="F161" s="18" t="s">
        <v>2370</v>
      </c>
      <c r="G161" s="18" t="s">
        <v>2701</v>
      </c>
      <c r="H161" s="16">
        <v>5</v>
      </c>
      <c r="I161" s="16">
        <v>568.87</v>
      </c>
      <c r="J161" s="16">
        <v>2844.35</v>
      </c>
      <c r="O161" t="str">
        <v>Coimbatore</v>
      </c>
      <c r="P161" t="str">
        <v>Tamil Nadu</v>
      </c>
      <c r="Q161" t="str">
        <v>South</v>
      </c>
      <c r="R161" t="str">
        <v>Furniture</v>
      </c>
      <c r="S161" t="str">
        <v>Table</v>
      </c>
      <c r="T161">
        <v>7</v>
      </c>
      <c r="U161">
        <v>4077.95</v>
      </c>
      <c r="V161">
        <v>28545.65</v>
      </c>
    </row>
    <row r="162" spans="1:22" ht="15" thickBot="1">
      <c r="A162" s="16" t="s">
        <v>2608</v>
      </c>
      <c r="B162" s="18" t="s">
        <v>2680</v>
      </c>
      <c r="C162" s="18" t="s">
        <v>2655</v>
      </c>
      <c r="D162" s="18" t="s">
        <v>2645</v>
      </c>
      <c r="E162" s="18" t="s">
        <v>2642</v>
      </c>
      <c r="F162" s="18" t="s">
        <v>2372</v>
      </c>
      <c r="G162" s="18" t="s">
        <v>2699</v>
      </c>
      <c r="H162" s="16">
        <v>10</v>
      </c>
      <c r="I162" s="16">
        <v>1468.96</v>
      </c>
      <c r="J162" s="16">
        <v>14689.6</v>
      </c>
      <c r="O162" t="str">
        <v>Chennai</v>
      </c>
      <c r="P162" t="str">
        <v>Tamil Nadu</v>
      </c>
      <c r="Q162" t="str">
        <v>South</v>
      </c>
      <c r="R162" t="str">
        <v>Groceries</v>
      </c>
      <c r="S162" t="str">
        <v>Rice</v>
      </c>
      <c r="T162">
        <v>2</v>
      </c>
      <c r="U162">
        <v>771.23</v>
      </c>
      <c r="V162">
        <v>1542.46</v>
      </c>
    </row>
    <row r="163" spans="1:22" ht="15" thickBot="1">
      <c r="A163" s="16" t="s">
        <v>2598</v>
      </c>
      <c r="B163" s="18" t="s">
        <v>2687</v>
      </c>
      <c r="C163" s="18" t="s">
        <v>2659</v>
      </c>
      <c r="D163" s="18" t="s">
        <v>2647</v>
      </c>
      <c r="E163" s="18" t="s">
        <v>2643</v>
      </c>
      <c r="F163" s="18" t="s">
        <v>2373</v>
      </c>
      <c r="G163" s="18" t="s">
        <v>2705</v>
      </c>
      <c r="H163" s="16">
        <v>6</v>
      </c>
      <c r="I163" s="16">
        <v>3080.25</v>
      </c>
      <c r="J163" s="16">
        <v>18481.5</v>
      </c>
      <c r="O163" t="str">
        <v>Madurai</v>
      </c>
      <c r="P163" t="str">
        <v>Tamil Nadu</v>
      </c>
      <c r="Q163" t="str">
        <v>South</v>
      </c>
      <c r="R163" t="str">
        <v>Clothing</v>
      </c>
      <c r="S163" t="str">
        <v>Shirt</v>
      </c>
      <c r="T163">
        <v>19</v>
      </c>
      <c r="U163">
        <v>2290.6799999999998</v>
      </c>
      <c r="V163">
        <v>43522.92</v>
      </c>
    </row>
    <row r="164" spans="1:22" ht="15" thickBot="1">
      <c r="A164" s="16" t="s">
        <v>2595</v>
      </c>
      <c r="B164" s="18" t="s">
        <v>2687</v>
      </c>
      <c r="C164" s="18" t="s">
        <v>2658</v>
      </c>
      <c r="D164" s="18" t="s">
        <v>2645</v>
      </c>
      <c r="E164" s="18" t="s">
        <v>2642</v>
      </c>
      <c r="F164" s="18" t="s">
        <v>2372</v>
      </c>
      <c r="G164" s="18" t="s">
        <v>2693</v>
      </c>
      <c r="H164" s="16">
        <v>11</v>
      </c>
      <c r="I164" s="16">
        <v>1817.43</v>
      </c>
      <c r="J164" s="16">
        <v>19991.73</v>
      </c>
      <c r="O164" t="str">
        <v>Chennai</v>
      </c>
      <c r="P164" t="str">
        <v>Tamil Nadu</v>
      </c>
      <c r="Q164" t="str">
        <v>South</v>
      </c>
      <c r="R164" t="str">
        <v>Furniture</v>
      </c>
      <c r="S164" t="str">
        <v>Chair</v>
      </c>
      <c r="T164">
        <v>17</v>
      </c>
      <c r="U164">
        <v>2246.8200000000002</v>
      </c>
      <c r="V164">
        <v>38195.94</v>
      </c>
    </row>
    <row r="165" spans="1:22" ht="15" thickBot="1">
      <c r="A165" s="16" t="s">
        <v>2548</v>
      </c>
      <c r="B165" s="18" t="s">
        <v>2678</v>
      </c>
      <c r="C165" s="18" t="s">
        <v>2652</v>
      </c>
      <c r="D165" s="18" t="s">
        <v>2647</v>
      </c>
      <c r="E165" s="18" t="s">
        <v>2643</v>
      </c>
      <c r="F165" s="18" t="s">
        <v>2374</v>
      </c>
      <c r="G165" s="18" t="s">
        <v>2700</v>
      </c>
      <c r="H165" s="16">
        <v>19</v>
      </c>
      <c r="I165" s="16">
        <v>3800.55</v>
      </c>
      <c r="J165" s="16">
        <v>72210.45</v>
      </c>
      <c r="O165" t="str">
        <v>Coimbatore</v>
      </c>
      <c r="P165" t="str">
        <v>Tamil Nadu</v>
      </c>
      <c r="Q165" t="str">
        <v>South</v>
      </c>
      <c r="R165" t="str">
        <v>Stationery</v>
      </c>
      <c r="S165" t="str">
        <v>Notebook</v>
      </c>
      <c r="T165">
        <v>11</v>
      </c>
      <c r="U165">
        <v>4382.91</v>
      </c>
      <c r="V165">
        <v>48212.01</v>
      </c>
    </row>
    <row r="166" spans="1:22" ht="15" thickBot="1">
      <c r="A166" s="16" t="s">
        <v>2555</v>
      </c>
      <c r="B166" s="18" t="s">
        <v>2683</v>
      </c>
      <c r="C166" s="18" t="s">
        <v>2657</v>
      </c>
      <c r="D166" s="18" t="s">
        <v>2648</v>
      </c>
      <c r="E166" s="18" t="s">
        <v>2641</v>
      </c>
      <c r="F166" s="18" t="s">
        <v>2370</v>
      </c>
      <c r="G166" s="18" t="s">
        <v>1335</v>
      </c>
      <c r="H166" s="16">
        <v>17</v>
      </c>
      <c r="I166" s="16">
        <v>2809.13</v>
      </c>
      <c r="J166" s="16">
        <v>47755.21</v>
      </c>
      <c r="O166" t="str">
        <v>Chennai</v>
      </c>
      <c r="P166" t="str">
        <v>Tamil Nadu</v>
      </c>
      <c r="Q166" t="str">
        <v>South</v>
      </c>
      <c r="R166" t="str">
        <v>Stationery</v>
      </c>
      <c r="S166" t="str">
        <v>Notebook</v>
      </c>
      <c r="T166">
        <v>2</v>
      </c>
      <c r="U166">
        <v>4137.49</v>
      </c>
      <c r="V166">
        <v>8274.98</v>
      </c>
    </row>
    <row r="167" spans="1:22" ht="15" thickBot="1">
      <c r="A167" s="63">
        <v>45083</v>
      </c>
      <c r="B167" s="18" t="s">
        <v>2680</v>
      </c>
      <c r="C167" s="18" t="s">
        <v>2649</v>
      </c>
      <c r="D167" s="18" t="s">
        <v>2645</v>
      </c>
      <c r="E167" s="18" t="s">
        <v>2642</v>
      </c>
      <c r="F167" s="18" t="s">
        <v>2374</v>
      </c>
      <c r="G167" s="18" t="s">
        <v>2689</v>
      </c>
      <c r="H167" s="16">
        <v>9</v>
      </c>
      <c r="I167" s="16">
        <v>4712.9799999999996</v>
      </c>
      <c r="J167" s="16">
        <v>42416.82</v>
      </c>
      <c r="O167" t="str">
        <v>Madurai</v>
      </c>
      <c r="P167" t="str">
        <v>Tamil Nadu</v>
      </c>
      <c r="Q167" t="str">
        <v>South</v>
      </c>
      <c r="R167" t="str">
        <v>Electronics</v>
      </c>
      <c r="S167" t="str">
        <v>Headphones</v>
      </c>
      <c r="T167">
        <v>12</v>
      </c>
      <c r="U167">
        <v>231.07</v>
      </c>
      <c r="V167">
        <v>2772.84</v>
      </c>
    </row>
    <row r="168" spans="1:22" ht="15" thickBot="1">
      <c r="A168" s="63">
        <v>44969</v>
      </c>
      <c r="B168" s="18" t="s">
        <v>2680</v>
      </c>
      <c r="C168" s="18" t="s">
        <v>2657</v>
      </c>
      <c r="D168" s="18" t="s">
        <v>2648</v>
      </c>
      <c r="E168" s="18" t="s">
        <v>2641</v>
      </c>
      <c r="F168" s="18" t="s">
        <v>2370</v>
      </c>
      <c r="G168" s="18" t="s">
        <v>2702</v>
      </c>
      <c r="H168" s="16">
        <v>1</v>
      </c>
      <c r="I168" s="16">
        <v>4541.7700000000004</v>
      </c>
      <c r="J168" s="16">
        <v>4541.7700000000004</v>
      </c>
      <c r="O168" t="str">
        <v>Chennai</v>
      </c>
      <c r="P168" t="str">
        <v>Tamil Nadu</v>
      </c>
      <c r="Q168" t="str">
        <v>South</v>
      </c>
      <c r="R168" t="str">
        <v>Clothing</v>
      </c>
      <c r="S168" t="str">
        <v>Jacket</v>
      </c>
      <c r="T168">
        <v>13</v>
      </c>
      <c r="U168">
        <v>3101.42</v>
      </c>
      <c r="V168">
        <v>40318.46</v>
      </c>
    </row>
    <row r="169" spans="1:22" ht="15" thickBot="1">
      <c r="A169" s="63">
        <v>44988</v>
      </c>
      <c r="B169" s="18" t="s">
        <v>2684</v>
      </c>
      <c r="C169" s="18" t="s">
        <v>2660</v>
      </c>
      <c r="D169" s="18" t="s">
        <v>2647</v>
      </c>
      <c r="E169" s="18" t="s">
        <v>2643</v>
      </c>
      <c r="F169" s="18" t="s">
        <v>2370</v>
      </c>
      <c r="G169" s="18" t="s">
        <v>1336</v>
      </c>
      <c r="H169" s="16">
        <v>9</v>
      </c>
      <c r="I169" s="16">
        <v>3122.72</v>
      </c>
      <c r="J169" s="16">
        <v>28104.48</v>
      </c>
      <c r="O169" t="str">
        <v>Madurai</v>
      </c>
      <c r="P169" t="str">
        <v>Tamil Nadu</v>
      </c>
      <c r="Q169" t="str">
        <v>South</v>
      </c>
      <c r="R169" t="str">
        <v>Stationery</v>
      </c>
      <c r="S169" t="str">
        <v>Notebook</v>
      </c>
      <c r="T169">
        <v>18</v>
      </c>
      <c r="U169">
        <v>3002.55</v>
      </c>
      <c r="V169">
        <v>54045.9</v>
      </c>
    </row>
    <row r="170" spans="1:22" ht="15" thickBot="1">
      <c r="A170" s="16" t="s">
        <v>2672</v>
      </c>
      <c r="B170" s="18" t="s">
        <v>2683</v>
      </c>
      <c r="C170" s="18" t="s">
        <v>2392</v>
      </c>
      <c r="D170" s="18" t="s">
        <v>2644</v>
      </c>
      <c r="E170" s="18" t="s">
        <v>2641</v>
      </c>
      <c r="F170" s="18" t="s">
        <v>2374</v>
      </c>
      <c r="G170" s="18" t="s">
        <v>2700</v>
      </c>
      <c r="H170" s="16">
        <v>9</v>
      </c>
      <c r="I170" s="16">
        <v>4198.92</v>
      </c>
      <c r="J170" s="16">
        <v>37790.28</v>
      </c>
      <c r="O170" t="str">
        <v>Chennai</v>
      </c>
      <c r="P170" t="str">
        <v>Tamil Nadu</v>
      </c>
      <c r="Q170" t="str">
        <v>South</v>
      </c>
      <c r="R170" t="str">
        <v>Clothing</v>
      </c>
      <c r="S170" t="str">
        <v>Dress</v>
      </c>
      <c r="T170">
        <v>18</v>
      </c>
      <c r="U170">
        <v>2971.68</v>
      </c>
      <c r="V170">
        <v>53490.239999999998</v>
      </c>
    </row>
    <row r="171" spans="1:22" ht="15" thickBot="1">
      <c r="A171" s="63">
        <v>45019</v>
      </c>
      <c r="B171" s="18" t="s">
        <v>2682</v>
      </c>
      <c r="C171" s="18" t="s">
        <v>2654</v>
      </c>
      <c r="D171" s="18" t="s">
        <v>2646</v>
      </c>
      <c r="E171" s="18" t="s">
        <v>2642</v>
      </c>
      <c r="F171" s="18" t="s">
        <v>2373</v>
      </c>
      <c r="G171" s="18" t="s">
        <v>2703</v>
      </c>
      <c r="H171" s="16">
        <v>17</v>
      </c>
      <c r="I171" s="16">
        <v>4415.8500000000004</v>
      </c>
      <c r="J171" s="16">
        <v>75069.45</v>
      </c>
      <c r="O171" t="str">
        <v>Coimbatore</v>
      </c>
      <c r="P171" t="str">
        <v>Tamil Nadu</v>
      </c>
      <c r="Q171" t="str">
        <v>South</v>
      </c>
      <c r="R171" t="str">
        <v>Furniture</v>
      </c>
      <c r="S171" t="str">
        <v>Sofa</v>
      </c>
      <c r="T171">
        <v>8</v>
      </c>
      <c r="U171">
        <v>3859.28</v>
      </c>
      <c r="V171">
        <v>30874.240000000002</v>
      </c>
    </row>
    <row r="172" spans="1:22" ht="15" thickBot="1">
      <c r="A172" s="16" t="s">
        <v>2482</v>
      </c>
      <c r="B172" s="18" t="s">
        <v>2686</v>
      </c>
      <c r="C172" s="18" t="s">
        <v>2658</v>
      </c>
      <c r="D172" s="18" t="s">
        <v>2645</v>
      </c>
      <c r="E172" s="18" t="s">
        <v>2642</v>
      </c>
      <c r="F172" s="18" t="s">
        <v>2661</v>
      </c>
      <c r="G172" s="18" t="s">
        <v>2696</v>
      </c>
      <c r="H172" s="16">
        <v>16</v>
      </c>
      <c r="I172" s="16">
        <v>4684.8599999999997</v>
      </c>
      <c r="J172" s="16">
        <v>74957.759999999995</v>
      </c>
      <c r="O172" t="str">
        <v>Chennai</v>
      </c>
      <c r="P172" t="str">
        <v>Tamil Nadu</v>
      </c>
      <c r="Q172" t="str">
        <v>South</v>
      </c>
      <c r="R172" t="str">
        <v>Groceries</v>
      </c>
      <c r="S172" t="str">
        <v>Oil</v>
      </c>
      <c r="T172">
        <v>19</v>
      </c>
      <c r="U172">
        <v>2183.09</v>
      </c>
      <c r="V172">
        <v>41478.71</v>
      </c>
    </row>
    <row r="173" spans="1:22" ht="15" thickBot="1">
      <c r="A173" s="16" t="s">
        <v>2519</v>
      </c>
      <c r="B173" s="18" t="s">
        <v>2680</v>
      </c>
      <c r="C173" s="18" t="s">
        <v>2658</v>
      </c>
      <c r="D173" s="18" t="s">
        <v>2645</v>
      </c>
      <c r="E173" s="18" t="s">
        <v>2642</v>
      </c>
      <c r="F173" s="18" t="s">
        <v>2373</v>
      </c>
      <c r="G173" s="18" t="s">
        <v>2697</v>
      </c>
      <c r="H173" s="16">
        <v>17</v>
      </c>
      <c r="I173" s="16">
        <v>4156.25</v>
      </c>
      <c r="J173" s="16">
        <v>70656.25</v>
      </c>
      <c r="O173" t="str">
        <v>Madurai</v>
      </c>
      <c r="P173" t="str">
        <v>Tamil Nadu</v>
      </c>
      <c r="Q173" t="str">
        <v>South</v>
      </c>
      <c r="R173" t="str">
        <v>Electronics</v>
      </c>
      <c r="S173" t="str">
        <v>Laptop</v>
      </c>
      <c r="T173">
        <v>8</v>
      </c>
      <c r="U173">
        <v>1850.8</v>
      </c>
      <c r="V173">
        <v>14806.4</v>
      </c>
    </row>
    <row r="174" spans="1:22" ht="15" thickBot="1">
      <c r="A174" s="63">
        <v>45051</v>
      </c>
      <c r="B174" s="18" t="s">
        <v>2680</v>
      </c>
      <c r="C174" s="18" t="s">
        <v>2654</v>
      </c>
      <c r="D174" s="18" t="s">
        <v>2646</v>
      </c>
      <c r="E174" s="18" t="s">
        <v>2642</v>
      </c>
      <c r="F174" s="18" t="s">
        <v>2374</v>
      </c>
      <c r="G174" s="18" t="s">
        <v>2700</v>
      </c>
      <c r="H174" s="16">
        <v>10</v>
      </c>
      <c r="I174" s="16">
        <v>3776.8</v>
      </c>
      <c r="J174" s="16">
        <v>37768</v>
      </c>
      <c r="O174" t="str">
        <v>Madurai</v>
      </c>
      <c r="P174" t="str">
        <v>Tamil Nadu</v>
      </c>
      <c r="Q174" t="str">
        <v>South</v>
      </c>
      <c r="R174" t="str">
        <v>Electronics</v>
      </c>
      <c r="S174" t="str">
        <v>Laptop</v>
      </c>
      <c r="T174">
        <v>13</v>
      </c>
      <c r="U174">
        <v>1028.74</v>
      </c>
      <c r="V174">
        <v>13373.62</v>
      </c>
    </row>
    <row r="175" spans="1:22" ht="15" thickBot="1">
      <c r="A175" s="16" t="s">
        <v>2522</v>
      </c>
      <c r="B175" s="18" t="s">
        <v>2685</v>
      </c>
      <c r="C175" s="18" t="s">
        <v>2396</v>
      </c>
      <c r="D175" s="18" t="s">
        <v>2648</v>
      </c>
      <c r="E175" s="18" t="s">
        <v>2641</v>
      </c>
      <c r="F175" s="18" t="s">
        <v>2370</v>
      </c>
      <c r="G175" s="18" t="s">
        <v>1335</v>
      </c>
      <c r="H175" s="16">
        <v>8</v>
      </c>
      <c r="I175" s="16">
        <v>310.33</v>
      </c>
      <c r="J175" s="16">
        <v>2482.64</v>
      </c>
      <c r="O175" t="str">
        <v>Coimbatore</v>
      </c>
      <c r="P175" t="str">
        <v>Tamil Nadu</v>
      </c>
      <c r="Q175" t="str">
        <v>South</v>
      </c>
      <c r="R175" t="str">
        <v>Clothing</v>
      </c>
      <c r="S175" t="str">
        <v>Jacket</v>
      </c>
      <c r="T175">
        <v>20</v>
      </c>
      <c r="U175">
        <v>4751.1400000000003</v>
      </c>
      <c r="V175">
        <v>95022.8</v>
      </c>
    </row>
    <row r="176" spans="1:22" ht="15" thickBot="1">
      <c r="A176" s="63">
        <v>45051</v>
      </c>
      <c r="B176" s="18" t="s">
        <v>2682</v>
      </c>
      <c r="C176" s="18" t="s">
        <v>2657</v>
      </c>
      <c r="D176" s="18" t="s">
        <v>2648</v>
      </c>
      <c r="E176" s="18" t="s">
        <v>2641</v>
      </c>
      <c r="F176" s="18" t="s">
        <v>2661</v>
      </c>
      <c r="G176" s="18" t="s">
        <v>2695</v>
      </c>
      <c r="H176" s="16">
        <v>5</v>
      </c>
      <c r="I176" s="16">
        <v>1313.4</v>
      </c>
      <c r="J176" s="16">
        <v>6567</v>
      </c>
      <c r="O176" t="str">
        <v>Coimbatore</v>
      </c>
      <c r="P176" t="str">
        <v>Tamil Nadu</v>
      </c>
      <c r="Q176" t="str">
        <v>South</v>
      </c>
      <c r="R176" t="str">
        <v>Stationery</v>
      </c>
      <c r="S176" t="str">
        <v>Notebook</v>
      </c>
      <c r="T176">
        <v>19</v>
      </c>
      <c r="U176">
        <v>3990.16</v>
      </c>
      <c r="V176">
        <v>75813.039999999994</v>
      </c>
    </row>
    <row r="177" spans="1:22" ht="15" thickBot="1">
      <c r="A177" s="16" t="s">
        <v>2578</v>
      </c>
      <c r="B177" s="18" t="s">
        <v>2687</v>
      </c>
      <c r="C177" s="18" t="s">
        <v>2653</v>
      </c>
      <c r="D177" s="18" t="s">
        <v>2644</v>
      </c>
      <c r="E177" s="18" t="s">
        <v>2641</v>
      </c>
      <c r="F177" s="18" t="s">
        <v>2661</v>
      </c>
      <c r="G177" s="18" t="s">
        <v>2696</v>
      </c>
      <c r="H177" s="16">
        <v>6</v>
      </c>
      <c r="I177" s="16">
        <v>2332.11</v>
      </c>
      <c r="J177" s="16">
        <v>13992.66</v>
      </c>
      <c r="O177" t="str">
        <v>Chennai</v>
      </c>
      <c r="P177" t="str">
        <v>Tamil Nadu</v>
      </c>
      <c r="Q177" t="str">
        <v>South</v>
      </c>
      <c r="R177" t="str">
        <v>Clothing</v>
      </c>
      <c r="S177" t="str">
        <v>Shirt</v>
      </c>
      <c r="T177">
        <v>12</v>
      </c>
      <c r="U177">
        <v>1794.88</v>
      </c>
      <c r="V177">
        <v>21538.560000000001</v>
      </c>
    </row>
    <row r="178" spans="1:22" ht="15" thickBot="1">
      <c r="A178" s="16" t="s">
        <v>2590</v>
      </c>
      <c r="B178" s="18" t="s">
        <v>2679</v>
      </c>
      <c r="C178" s="18" t="s">
        <v>2652</v>
      </c>
      <c r="D178" s="18" t="s">
        <v>2647</v>
      </c>
      <c r="E178" s="18" t="s">
        <v>2643</v>
      </c>
      <c r="F178" s="18" t="s">
        <v>2374</v>
      </c>
      <c r="G178" s="18" t="s">
        <v>2704</v>
      </c>
      <c r="H178" s="16">
        <v>3</v>
      </c>
      <c r="I178" s="16">
        <v>4955.22</v>
      </c>
      <c r="J178" s="16">
        <v>14865.66</v>
      </c>
      <c r="O178" t="str">
        <v>Coimbatore</v>
      </c>
      <c r="P178" t="str">
        <v>Tamil Nadu</v>
      </c>
      <c r="Q178" t="str">
        <v>South</v>
      </c>
      <c r="R178" t="str">
        <v>Furniture</v>
      </c>
      <c r="S178" t="str">
        <v>Bed</v>
      </c>
      <c r="T178">
        <v>20</v>
      </c>
      <c r="U178">
        <v>278.55</v>
      </c>
      <c r="V178">
        <v>5571</v>
      </c>
    </row>
    <row r="179" spans="1:22" ht="15" thickBot="1">
      <c r="A179" s="16" t="s">
        <v>2529</v>
      </c>
      <c r="B179" s="18" t="s">
        <v>2679</v>
      </c>
      <c r="C179" s="18" t="s">
        <v>2653</v>
      </c>
      <c r="D179" s="18" t="s">
        <v>2644</v>
      </c>
      <c r="E179" s="18" t="s">
        <v>2641</v>
      </c>
      <c r="F179" s="18" t="s">
        <v>2373</v>
      </c>
      <c r="G179" s="18" t="s">
        <v>2688</v>
      </c>
      <c r="H179" s="16">
        <v>17</v>
      </c>
      <c r="I179" s="16">
        <v>3827.64</v>
      </c>
      <c r="J179" s="16">
        <v>65069.88</v>
      </c>
      <c r="O179" t="str">
        <v>Coimbatore</v>
      </c>
      <c r="P179" t="str">
        <v>Tamil Nadu</v>
      </c>
      <c r="Q179" t="str">
        <v>South</v>
      </c>
      <c r="R179" t="str">
        <v>Groceries</v>
      </c>
      <c r="S179" t="str">
        <v>Rice</v>
      </c>
      <c r="T179">
        <v>1</v>
      </c>
      <c r="U179">
        <v>414.64</v>
      </c>
      <c r="V179">
        <v>414.64</v>
      </c>
    </row>
    <row r="180" spans="1:22" ht="15" thickBot="1">
      <c r="A180" s="63">
        <v>45025</v>
      </c>
      <c r="B180" s="18" t="s">
        <v>2678</v>
      </c>
      <c r="C180" s="18" t="s">
        <v>2396</v>
      </c>
      <c r="D180" s="18" t="s">
        <v>2648</v>
      </c>
      <c r="E180" s="18" t="s">
        <v>2641</v>
      </c>
      <c r="F180" s="18" t="s">
        <v>2372</v>
      </c>
      <c r="G180" s="18" t="s">
        <v>2690</v>
      </c>
      <c r="H180" s="16">
        <v>17</v>
      </c>
      <c r="I180" s="16">
        <v>3857.33</v>
      </c>
      <c r="J180" s="16">
        <v>65574.61</v>
      </c>
      <c r="O180" t="str">
        <v>Coimbatore</v>
      </c>
      <c r="P180" t="str">
        <v>Tamil Nadu</v>
      </c>
      <c r="Q180" t="str">
        <v>South</v>
      </c>
      <c r="R180" t="str">
        <v>Electronics</v>
      </c>
      <c r="S180" t="str">
        <v>Tablet</v>
      </c>
      <c r="T180">
        <v>2</v>
      </c>
      <c r="U180">
        <v>2078.33</v>
      </c>
      <c r="V180">
        <v>4156.66</v>
      </c>
    </row>
    <row r="181" spans="1:22" ht="15" thickBot="1">
      <c r="A181" s="16" t="s">
        <v>2593</v>
      </c>
      <c r="B181" s="18" t="s">
        <v>2680</v>
      </c>
      <c r="C181" s="18" t="s">
        <v>2651</v>
      </c>
      <c r="D181" s="18" t="s">
        <v>2646</v>
      </c>
      <c r="E181" s="18" t="s">
        <v>2642</v>
      </c>
      <c r="F181" s="18" t="s">
        <v>2372</v>
      </c>
      <c r="G181" s="18" t="s">
        <v>2694</v>
      </c>
      <c r="H181" s="16">
        <v>8</v>
      </c>
      <c r="I181" s="16">
        <v>1421.21</v>
      </c>
      <c r="J181" s="16">
        <v>11369.68</v>
      </c>
      <c r="O181" t="str">
        <v>Coimbatore</v>
      </c>
      <c r="P181" t="str">
        <v>Tamil Nadu</v>
      </c>
      <c r="Q181" t="str">
        <v>South</v>
      </c>
      <c r="R181" t="str">
        <v>Clothing</v>
      </c>
      <c r="S181" t="str">
        <v>Jacket</v>
      </c>
      <c r="T181">
        <v>16</v>
      </c>
      <c r="U181">
        <v>3046.66</v>
      </c>
      <c r="V181">
        <v>48746.559999999998</v>
      </c>
    </row>
    <row r="182" spans="1:22" ht="15" thickBot="1">
      <c r="A182" s="16" t="s">
        <v>2476</v>
      </c>
      <c r="B182" s="18" t="s">
        <v>2679</v>
      </c>
      <c r="C182" s="18" t="s">
        <v>2392</v>
      </c>
      <c r="D182" s="18" t="s">
        <v>2644</v>
      </c>
      <c r="E182" s="18" t="s">
        <v>2641</v>
      </c>
      <c r="F182" s="18" t="s">
        <v>2661</v>
      </c>
      <c r="G182" s="18" t="s">
        <v>2698</v>
      </c>
      <c r="H182" s="16">
        <v>1</v>
      </c>
      <c r="I182" s="16">
        <v>1544.87</v>
      </c>
      <c r="J182" s="16">
        <v>1544.87</v>
      </c>
      <c r="O182" t="str">
        <v>Coimbatore</v>
      </c>
      <c r="P182" t="str">
        <v>Tamil Nadu</v>
      </c>
      <c r="Q182" t="str">
        <v>South</v>
      </c>
      <c r="R182" t="str">
        <v>Clothing</v>
      </c>
      <c r="S182" t="str">
        <v>Jacket</v>
      </c>
      <c r="T182">
        <v>13</v>
      </c>
      <c r="U182">
        <v>566.55999999999995</v>
      </c>
      <c r="V182">
        <v>7365.28</v>
      </c>
    </row>
    <row r="183" spans="1:22" ht="15" thickBot="1">
      <c r="A183" s="16" t="s">
        <v>2637</v>
      </c>
      <c r="B183" s="18" t="s">
        <v>2680</v>
      </c>
      <c r="C183" s="18" t="s">
        <v>2396</v>
      </c>
      <c r="D183" s="18" t="s">
        <v>2648</v>
      </c>
      <c r="E183" s="18" t="s">
        <v>2641</v>
      </c>
      <c r="F183" s="18" t="s">
        <v>2661</v>
      </c>
      <c r="G183" s="18" t="s">
        <v>2696</v>
      </c>
      <c r="H183" s="16">
        <v>14</v>
      </c>
      <c r="I183" s="16">
        <v>2764.71</v>
      </c>
      <c r="J183" s="16">
        <v>38705.94</v>
      </c>
      <c r="O183" t="str">
        <v>Madurai</v>
      </c>
      <c r="P183" t="str">
        <v>Tamil Nadu</v>
      </c>
      <c r="Q183" t="str">
        <v>South</v>
      </c>
      <c r="R183" t="str">
        <v>Clothing</v>
      </c>
      <c r="S183" t="str">
        <v>Pants</v>
      </c>
      <c r="T183">
        <v>4</v>
      </c>
      <c r="U183">
        <v>4336.92</v>
      </c>
      <c r="V183">
        <v>17347.68</v>
      </c>
    </row>
    <row r="184" spans="1:22" ht="15" thickBot="1">
      <c r="A184" s="63">
        <v>45023</v>
      </c>
      <c r="B184" s="18" t="s">
        <v>2683</v>
      </c>
      <c r="C184" s="18" t="s">
        <v>2649</v>
      </c>
      <c r="D184" s="18" t="s">
        <v>2645</v>
      </c>
      <c r="E184" s="18" t="s">
        <v>2642</v>
      </c>
      <c r="F184" s="18" t="s">
        <v>2372</v>
      </c>
      <c r="G184" s="18" t="s">
        <v>2690</v>
      </c>
      <c r="H184" s="16">
        <v>9</v>
      </c>
      <c r="I184" s="16">
        <v>2210.8000000000002</v>
      </c>
      <c r="J184" s="16">
        <v>19897.2</v>
      </c>
      <c r="O184" t="str">
        <v>Madurai</v>
      </c>
      <c r="P184" t="str">
        <v>Tamil Nadu</v>
      </c>
      <c r="Q184" t="str">
        <v>South</v>
      </c>
      <c r="R184" t="str">
        <v>Electronics</v>
      </c>
      <c r="S184" t="str">
        <v>Tablet</v>
      </c>
      <c r="T184">
        <v>6</v>
      </c>
      <c r="U184">
        <v>1047.72</v>
      </c>
      <c r="V184">
        <v>6286.32</v>
      </c>
    </row>
    <row r="185" spans="1:22" ht="15" thickBot="1">
      <c r="A185" s="63">
        <v>44958</v>
      </c>
      <c r="B185" s="18" t="s">
        <v>2680</v>
      </c>
      <c r="C185" s="18" t="s">
        <v>2650</v>
      </c>
      <c r="D185" s="18" t="s">
        <v>2646</v>
      </c>
      <c r="E185" s="18" t="s">
        <v>2642</v>
      </c>
      <c r="F185" s="18" t="s">
        <v>2373</v>
      </c>
      <c r="G185" s="18" t="s">
        <v>2705</v>
      </c>
      <c r="H185" s="16">
        <v>3</v>
      </c>
      <c r="I185" s="16">
        <v>4359.8999999999996</v>
      </c>
      <c r="J185" s="16">
        <v>13079.7</v>
      </c>
      <c r="O185" t="str">
        <v>Madurai</v>
      </c>
      <c r="P185" t="str">
        <v>Tamil Nadu</v>
      </c>
      <c r="Q185" t="str">
        <v>South</v>
      </c>
      <c r="R185" t="str">
        <v>Stationery</v>
      </c>
      <c r="S185" t="str">
        <v>Notebook</v>
      </c>
      <c r="T185">
        <v>20</v>
      </c>
      <c r="U185">
        <v>827.08</v>
      </c>
      <c r="V185">
        <v>16541.599999999999</v>
      </c>
    </row>
    <row r="186" spans="1:22" ht="15" thickBot="1">
      <c r="A186" s="16" t="s">
        <v>2521</v>
      </c>
      <c r="B186" s="18" t="s">
        <v>2685</v>
      </c>
      <c r="C186" s="18" t="s">
        <v>2658</v>
      </c>
      <c r="D186" s="18" t="s">
        <v>2645</v>
      </c>
      <c r="E186" s="18" t="s">
        <v>2642</v>
      </c>
      <c r="F186" s="18" t="s">
        <v>2373</v>
      </c>
      <c r="G186" s="18" t="s">
        <v>2688</v>
      </c>
      <c r="H186" s="16">
        <v>7</v>
      </c>
      <c r="I186" s="16">
        <v>3836.77</v>
      </c>
      <c r="J186" s="16">
        <v>26857.39</v>
      </c>
      <c r="O186" t="str">
        <v>Madurai</v>
      </c>
      <c r="P186" t="str">
        <v>Tamil Nadu</v>
      </c>
      <c r="Q186" t="str">
        <v>South</v>
      </c>
      <c r="R186" t="str">
        <v>Clothing</v>
      </c>
      <c r="S186" t="str">
        <v>Pants</v>
      </c>
      <c r="T186">
        <v>8</v>
      </c>
      <c r="U186">
        <v>4984.96</v>
      </c>
      <c r="V186">
        <v>39879.68</v>
      </c>
    </row>
    <row r="187" spans="1:22" ht="15" thickBot="1">
      <c r="A187" s="16" t="s">
        <v>2558</v>
      </c>
      <c r="B187" s="18" t="s">
        <v>2684</v>
      </c>
      <c r="C187" s="18" t="s">
        <v>2396</v>
      </c>
      <c r="D187" s="18" t="s">
        <v>2648</v>
      </c>
      <c r="E187" s="18" t="s">
        <v>2641</v>
      </c>
      <c r="F187" s="18" t="s">
        <v>2374</v>
      </c>
      <c r="G187" s="18" t="s">
        <v>2700</v>
      </c>
      <c r="H187" s="16">
        <v>7</v>
      </c>
      <c r="I187" s="16">
        <v>560.58000000000004</v>
      </c>
      <c r="J187" s="16">
        <v>3924.06</v>
      </c>
      <c r="O187" t="str">
        <v>Coimbatore</v>
      </c>
      <c r="P187" t="str">
        <v>Tamil Nadu</v>
      </c>
      <c r="Q187" t="str">
        <v>South</v>
      </c>
      <c r="R187" t="str">
        <v>Furniture</v>
      </c>
      <c r="S187" t="str">
        <v>Table</v>
      </c>
      <c r="T187">
        <v>7</v>
      </c>
      <c r="U187">
        <v>4847.62</v>
      </c>
      <c r="V187">
        <v>33933.339999999997</v>
      </c>
    </row>
    <row r="188" spans="1:22" ht="15" thickBot="1">
      <c r="A188" s="63">
        <v>45266</v>
      </c>
      <c r="B188" s="18" t="s">
        <v>2682</v>
      </c>
      <c r="C188" s="18" t="s">
        <v>2660</v>
      </c>
      <c r="D188" s="18" t="s">
        <v>2647</v>
      </c>
      <c r="E188" s="18" t="s">
        <v>2643</v>
      </c>
      <c r="F188" s="18" t="s">
        <v>2370</v>
      </c>
      <c r="G188" s="18" t="s">
        <v>1335</v>
      </c>
      <c r="H188" s="16">
        <v>17</v>
      </c>
      <c r="I188" s="16">
        <v>1574.45</v>
      </c>
      <c r="J188" s="16">
        <v>26765.65</v>
      </c>
      <c r="O188" t="str">
        <v>Chennai</v>
      </c>
      <c r="P188" t="str">
        <v>Tamil Nadu</v>
      </c>
      <c r="Q188" t="str">
        <v>South</v>
      </c>
      <c r="R188" t="str">
        <v>Groceries</v>
      </c>
      <c r="S188" t="str">
        <v>Rice</v>
      </c>
      <c r="T188">
        <v>6</v>
      </c>
      <c r="U188">
        <v>2260.16</v>
      </c>
      <c r="V188">
        <v>13560.96</v>
      </c>
    </row>
    <row r="189" spans="1:22" ht="15" thickBot="1">
      <c r="A189" s="63">
        <v>44960</v>
      </c>
      <c r="B189" s="18" t="s">
        <v>2681</v>
      </c>
      <c r="C189" s="18" t="s">
        <v>2660</v>
      </c>
      <c r="D189" s="18" t="s">
        <v>2647</v>
      </c>
      <c r="E189" s="18" t="s">
        <v>2643</v>
      </c>
      <c r="F189" s="18" t="s">
        <v>2373</v>
      </c>
      <c r="G189" s="18" t="s">
        <v>2688</v>
      </c>
      <c r="H189" s="16">
        <v>17</v>
      </c>
      <c r="I189" s="16">
        <v>578.66999999999996</v>
      </c>
      <c r="J189" s="16">
        <v>9837.39</v>
      </c>
      <c r="O189" t="str">
        <v>Coimbatore</v>
      </c>
      <c r="P189" t="str">
        <v>Tamil Nadu</v>
      </c>
      <c r="Q189" t="str">
        <v>South</v>
      </c>
      <c r="R189" t="str">
        <v>Groceries</v>
      </c>
      <c r="S189" t="str">
        <v>Rice</v>
      </c>
      <c r="T189">
        <v>6</v>
      </c>
      <c r="U189">
        <v>746.23</v>
      </c>
      <c r="V189">
        <v>4477.38</v>
      </c>
    </row>
    <row r="190" spans="1:22" ht="15" thickBot="1">
      <c r="A190" s="16" t="s">
        <v>2515</v>
      </c>
      <c r="B190" s="18" t="s">
        <v>2684</v>
      </c>
      <c r="C190" s="18" t="s">
        <v>2654</v>
      </c>
      <c r="D190" s="18" t="s">
        <v>2646</v>
      </c>
      <c r="E190" s="18" t="s">
        <v>2642</v>
      </c>
      <c r="F190" s="18" t="s">
        <v>2661</v>
      </c>
      <c r="G190" s="18" t="s">
        <v>2691</v>
      </c>
      <c r="H190" s="16">
        <v>19</v>
      </c>
      <c r="I190" s="16">
        <v>1441.02</v>
      </c>
      <c r="J190" s="16">
        <v>27379.38</v>
      </c>
      <c r="O190" t="str">
        <v>Madurai</v>
      </c>
      <c r="P190" t="str">
        <v>Tamil Nadu</v>
      </c>
      <c r="Q190" t="str">
        <v>South</v>
      </c>
      <c r="R190" t="str">
        <v>Clothing</v>
      </c>
      <c r="S190" t="str">
        <v>Pants</v>
      </c>
      <c r="T190">
        <v>9</v>
      </c>
      <c r="U190">
        <v>1940.11</v>
      </c>
      <c r="V190">
        <v>17460.990000000002</v>
      </c>
    </row>
    <row r="191" spans="1:22" ht="15" thickBot="1">
      <c r="A191" s="16" t="s">
        <v>2473</v>
      </c>
      <c r="B191" s="18" t="s">
        <v>2678</v>
      </c>
      <c r="C191" s="18" t="s">
        <v>2650</v>
      </c>
      <c r="D191" s="18" t="s">
        <v>2646</v>
      </c>
      <c r="E191" s="18" t="s">
        <v>2642</v>
      </c>
      <c r="F191" s="18" t="s">
        <v>2373</v>
      </c>
      <c r="G191" s="18" t="s">
        <v>2703</v>
      </c>
      <c r="H191" s="16">
        <v>19</v>
      </c>
      <c r="I191" s="16">
        <v>618.02</v>
      </c>
      <c r="J191" s="16">
        <v>11742.38</v>
      </c>
      <c r="O191" t="str">
        <v>Madurai</v>
      </c>
      <c r="P191" t="str">
        <v>Tamil Nadu</v>
      </c>
      <c r="Q191" t="str">
        <v>South</v>
      </c>
      <c r="R191" t="str">
        <v>Electronics</v>
      </c>
      <c r="S191" t="str">
        <v>Laptop</v>
      </c>
      <c r="T191">
        <v>16</v>
      </c>
      <c r="U191">
        <v>1064.93</v>
      </c>
      <c r="V191">
        <v>17038.88</v>
      </c>
    </row>
    <row r="192" spans="1:22" ht="15" thickBot="1">
      <c r="A192" s="16" t="s">
        <v>2549</v>
      </c>
      <c r="B192" s="18" t="s">
        <v>2685</v>
      </c>
      <c r="C192" s="18" t="s">
        <v>2657</v>
      </c>
      <c r="D192" s="18" t="s">
        <v>2648</v>
      </c>
      <c r="E192" s="18" t="s">
        <v>2641</v>
      </c>
      <c r="F192" s="18" t="s">
        <v>2374</v>
      </c>
      <c r="G192" s="18" t="s">
        <v>2692</v>
      </c>
      <c r="H192" s="16">
        <v>15</v>
      </c>
      <c r="I192" s="16">
        <v>4093.93</v>
      </c>
      <c r="J192" s="16">
        <v>61408.95</v>
      </c>
      <c r="O192" t="str">
        <v>Madurai</v>
      </c>
      <c r="P192" t="str">
        <v>Tamil Nadu</v>
      </c>
      <c r="Q192" t="str">
        <v>South</v>
      </c>
      <c r="R192" t="str">
        <v>Furniture</v>
      </c>
      <c r="S192" t="str">
        <v>Chair</v>
      </c>
      <c r="T192">
        <v>12</v>
      </c>
      <c r="U192">
        <v>2133.0500000000002</v>
      </c>
      <c r="V192">
        <v>25596.6</v>
      </c>
    </row>
    <row r="193" spans="1:22" ht="15" thickBot="1">
      <c r="A193" s="16" t="s">
        <v>2584</v>
      </c>
      <c r="B193" s="18" t="s">
        <v>2679</v>
      </c>
      <c r="C193" s="18" t="s">
        <v>2656</v>
      </c>
      <c r="D193" s="18" t="s">
        <v>2648</v>
      </c>
      <c r="E193" s="18" t="s">
        <v>2641</v>
      </c>
      <c r="F193" s="18" t="s">
        <v>2373</v>
      </c>
      <c r="G193" s="18" t="s">
        <v>2697</v>
      </c>
      <c r="H193" s="16">
        <v>16</v>
      </c>
      <c r="I193" s="16">
        <v>2714.37</v>
      </c>
      <c r="J193" s="16">
        <v>43429.919999999998</v>
      </c>
      <c r="O193" t="str">
        <v>Chennai</v>
      </c>
      <c r="P193" t="str">
        <v>Tamil Nadu</v>
      </c>
      <c r="Q193" t="str">
        <v>South</v>
      </c>
      <c r="R193" t="str">
        <v>Stationery</v>
      </c>
      <c r="S193" t="str">
        <v>Pen</v>
      </c>
      <c r="T193">
        <v>15</v>
      </c>
      <c r="U193">
        <v>202.66</v>
      </c>
      <c r="V193">
        <v>3039.9</v>
      </c>
    </row>
    <row r="194" spans="1:22" ht="15" thickBot="1">
      <c r="A194" s="16" t="s">
        <v>2609</v>
      </c>
      <c r="B194" s="18" t="s">
        <v>2683</v>
      </c>
      <c r="C194" s="18" t="s">
        <v>2657</v>
      </c>
      <c r="D194" s="18" t="s">
        <v>2648</v>
      </c>
      <c r="E194" s="18" t="s">
        <v>2641</v>
      </c>
      <c r="F194" s="18" t="s">
        <v>2372</v>
      </c>
      <c r="G194" s="18" t="s">
        <v>2690</v>
      </c>
      <c r="H194" s="16">
        <v>8</v>
      </c>
      <c r="I194" s="16">
        <v>4658.57</v>
      </c>
      <c r="J194" s="16">
        <v>37268.559999999998</v>
      </c>
      <c r="O194" t="str">
        <v>Chennai</v>
      </c>
      <c r="P194" t="str">
        <v>Tamil Nadu</v>
      </c>
      <c r="Q194" t="str">
        <v>South</v>
      </c>
      <c r="R194" t="str">
        <v>Groceries</v>
      </c>
      <c r="S194" t="str">
        <v>Rice</v>
      </c>
      <c r="T194">
        <v>19</v>
      </c>
      <c r="U194">
        <v>1933.19</v>
      </c>
      <c r="V194">
        <v>36730.61</v>
      </c>
    </row>
    <row r="195" spans="1:22" ht="15" thickBot="1">
      <c r="A195" s="63">
        <v>45268</v>
      </c>
      <c r="B195" s="18" t="s">
        <v>2684</v>
      </c>
      <c r="C195" s="18" t="s">
        <v>2653</v>
      </c>
      <c r="D195" s="18" t="s">
        <v>2644</v>
      </c>
      <c r="E195" s="18" t="s">
        <v>2641</v>
      </c>
      <c r="F195" s="18" t="s">
        <v>2374</v>
      </c>
      <c r="G195" s="18" t="s">
        <v>2704</v>
      </c>
      <c r="H195" s="16">
        <v>20</v>
      </c>
      <c r="I195" s="16">
        <v>3203.76</v>
      </c>
      <c r="J195" s="16">
        <v>64075.199999999997</v>
      </c>
      <c r="O195" t="str">
        <v>Chennai</v>
      </c>
      <c r="P195" t="str">
        <v>Tamil Nadu</v>
      </c>
      <c r="Q195" t="str">
        <v>South</v>
      </c>
      <c r="R195" t="str">
        <v>Groceries</v>
      </c>
      <c r="S195" t="str">
        <v>Oil</v>
      </c>
      <c r="T195">
        <v>18</v>
      </c>
      <c r="U195">
        <v>2299.9299999999998</v>
      </c>
      <c r="V195">
        <v>41398.74</v>
      </c>
    </row>
    <row r="196" spans="1:22" ht="15" thickBot="1">
      <c r="A196" s="16" t="s">
        <v>2506</v>
      </c>
      <c r="B196" s="18" t="s">
        <v>2684</v>
      </c>
      <c r="C196" s="18" t="s">
        <v>2659</v>
      </c>
      <c r="D196" s="18" t="s">
        <v>2647</v>
      </c>
      <c r="E196" s="18" t="s">
        <v>2643</v>
      </c>
      <c r="F196" s="18" t="s">
        <v>2370</v>
      </c>
      <c r="G196" s="18" t="s">
        <v>2701</v>
      </c>
      <c r="H196" s="16">
        <v>5</v>
      </c>
      <c r="I196" s="16">
        <v>3572.02</v>
      </c>
      <c r="J196" s="16">
        <v>17860.099999999999</v>
      </c>
      <c r="O196" t="str">
        <v>Madurai</v>
      </c>
      <c r="P196" t="str">
        <v>Tamil Nadu</v>
      </c>
      <c r="Q196" t="str">
        <v>South</v>
      </c>
      <c r="R196" t="str">
        <v>Stationery</v>
      </c>
      <c r="S196" t="str">
        <v>Notebook</v>
      </c>
      <c r="T196">
        <v>18</v>
      </c>
      <c r="U196">
        <v>970.52</v>
      </c>
      <c r="V196">
        <v>17469.36</v>
      </c>
    </row>
    <row r="197" spans="1:22" ht="15" thickBot="1">
      <c r="A197" s="16" t="s">
        <v>2612</v>
      </c>
      <c r="B197" s="18" t="s">
        <v>2678</v>
      </c>
      <c r="C197" s="18" t="s">
        <v>2396</v>
      </c>
      <c r="D197" s="18" t="s">
        <v>2648</v>
      </c>
      <c r="E197" s="18" t="s">
        <v>2641</v>
      </c>
      <c r="F197" s="18" t="s">
        <v>2661</v>
      </c>
      <c r="G197" s="18" t="s">
        <v>2698</v>
      </c>
      <c r="H197" s="16">
        <v>4</v>
      </c>
      <c r="I197" s="16">
        <v>328.82</v>
      </c>
      <c r="J197" s="16">
        <v>1315.28</v>
      </c>
      <c r="O197" t="str">
        <v>Chennai</v>
      </c>
      <c r="P197" t="str">
        <v>Tamil Nadu</v>
      </c>
      <c r="Q197" t="str">
        <v>South</v>
      </c>
      <c r="R197" t="str">
        <v>Stationery</v>
      </c>
      <c r="S197" t="str">
        <v>Notebook</v>
      </c>
      <c r="T197">
        <v>18</v>
      </c>
      <c r="U197">
        <v>509.79</v>
      </c>
      <c r="V197">
        <v>9176.2199999999993</v>
      </c>
    </row>
    <row r="198" spans="1:22" ht="15" thickBot="1">
      <c r="A198" s="63">
        <v>45083</v>
      </c>
      <c r="B198" s="18" t="s">
        <v>2678</v>
      </c>
      <c r="C198" s="18" t="s">
        <v>2652</v>
      </c>
      <c r="D198" s="18" t="s">
        <v>2647</v>
      </c>
      <c r="E198" s="18" t="s">
        <v>2643</v>
      </c>
      <c r="F198" s="18" t="s">
        <v>2374</v>
      </c>
      <c r="G198" s="18" t="s">
        <v>2692</v>
      </c>
      <c r="H198" s="16">
        <v>10</v>
      </c>
      <c r="I198" s="16">
        <v>4210.63</v>
      </c>
      <c r="J198" s="16">
        <v>42106.3</v>
      </c>
      <c r="O198" t="str">
        <v>Madurai</v>
      </c>
      <c r="P198" t="str">
        <v>Tamil Nadu</v>
      </c>
      <c r="Q198" t="str">
        <v>South</v>
      </c>
      <c r="R198" t="str">
        <v>Electronics</v>
      </c>
      <c r="S198" t="str">
        <v>Tablet</v>
      </c>
      <c r="T198">
        <v>9</v>
      </c>
      <c r="U198">
        <v>4811.76</v>
      </c>
      <c r="V198">
        <v>43305.84</v>
      </c>
    </row>
    <row r="199" spans="1:22" ht="15" thickBot="1">
      <c r="A199" s="16" t="s">
        <v>2614</v>
      </c>
      <c r="B199" s="18" t="s">
        <v>2681</v>
      </c>
      <c r="C199" s="18" t="s">
        <v>2658</v>
      </c>
      <c r="D199" s="18" t="s">
        <v>2645</v>
      </c>
      <c r="E199" s="18" t="s">
        <v>2642</v>
      </c>
      <c r="F199" s="18" t="s">
        <v>2372</v>
      </c>
      <c r="G199" s="18" t="s">
        <v>2690</v>
      </c>
      <c r="H199" s="16">
        <v>15</v>
      </c>
      <c r="I199" s="16">
        <v>211.9</v>
      </c>
      <c r="J199" s="16">
        <v>3178.5</v>
      </c>
      <c r="O199" t="str">
        <v>Chennai</v>
      </c>
      <c r="P199" t="str">
        <v>Tamil Nadu</v>
      </c>
      <c r="Q199" t="str">
        <v>South</v>
      </c>
      <c r="R199" t="str">
        <v>Furniture</v>
      </c>
      <c r="S199" t="str">
        <v>Chair</v>
      </c>
      <c r="T199">
        <v>8</v>
      </c>
      <c r="U199">
        <v>4021.86</v>
      </c>
      <c r="V199">
        <v>32174.880000000001</v>
      </c>
    </row>
    <row r="200" spans="1:22" ht="15" thickBot="1">
      <c r="A200" s="16" t="s">
        <v>2501</v>
      </c>
      <c r="B200" s="18" t="s">
        <v>2687</v>
      </c>
      <c r="C200" s="18" t="s">
        <v>2659</v>
      </c>
      <c r="D200" s="18" t="s">
        <v>2647</v>
      </c>
      <c r="E200" s="18" t="s">
        <v>2643</v>
      </c>
      <c r="F200" s="18" t="s">
        <v>2373</v>
      </c>
      <c r="G200" s="18" t="s">
        <v>2688</v>
      </c>
      <c r="H200" s="16">
        <v>6</v>
      </c>
      <c r="I200" s="16">
        <v>1847.42</v>
      </c>
      <c r="J200" s="16">
        <v>11084.52</v>
      </c>
      <c r="O200" t="str">
        <v>Chennai</v>
      </c>
      <c r="P200" t="str">
        <v>Tamil Nadu</v>
      </c>
      <c r="Q200" t="str">
        <v>South</v>
      </c>
      <c r="R200" t="str">
        <v>Electronics</v>
      </c>
      <c r="S200" t="str">
        <v>Headphones</v>
      </c>
      <c r="T200">
        <v>14</v>
      </c>
      <c r="U200">
        <v>2161.65</v>
      </c>
      <c r="V200">
        <v>30263.1</v>
      </c>
    </row>
    <row r="201" spans="1:22" ht="15" thickBot="1">
      <c r="A201" s="16" t="s">
        <v>2533</v>
      </c>
      <c r="B201" s="18" t="s">
        <v>2679</v>
      </c>
      <c r="C201" s="18" t="s">
        <v>2659</v>
      </c>
      <c r="D201" s="18" t="s">
        <v>2647</v>
      </c>
      <c r="E201" s="18" t="s">
        <v>2643</v>
      </c>
      <c r="F201" s="18" t="s">
        <v>2661</v>
      </c>
      <c r="G201" s="18" t="s">
        <v>2695</v>
      </c>
      <c r="H201" s="16">
        <v>15</v>
      </c>
      <c r="I201" s="16">
        <v>3875.6</v>
      </c>
      <c r="J201" s="16">
        <v>58134</v>
      </c>
      <c r="O201" t="str">
        <v>Chennai</v>
      </c>
      <c r="P201" t="str">
        <v>Tamil Nadu</v>
      </c>
      <c r="Q201" t="str">
        <v>South</v>
      </c>
      <c r="R201" t="str">
        <v>Clothing</v>
      </c>
      <c r="S201" t="str">
        <v>Pants</v>
      </c>
      <c r="T201">
        <v>10</v>
      </c>
      <c r="U201">
        <v>651.83000000000004</v>
      </c>
      <c r="V201">
        <v>6518.3</v>
      </c>
    </row>
    <row r="202" spans="1:22" ht="15" thickBot="1">
      <c r="A202" s="16" t="s">
        <v>2498</v>
      </c>
      <c r="B202" s="18" t="s">
        <v>2683</v>
      </c>
      <c r="C202" s="18" t="s">
        <v>2659</v>
      </c>
      <c r="D202" s="18" t="s">
        <v>2647</v>
      </c>
      <c r="E202" s="18" t="s">
        <v>2643</v>
      </c>
      <c r="F202" s="18" t="s">
        <v>2374</v>
      </c>
      <c r="G202" s="18" t="s">
        <v>2692</v>
      </c>
      <c r="H202" s="16">
        <v>1</v>
      </c>
      <c r="I202" s="16">
        <v>1323.63</v>
      </c>
      <c r="J202" s="16">
        <v>1323.63</v>
      </c>
      <c r="O202" t="str">
        <v>Madurai</v>
      </c>
      <c r="P202" t="str">
        <v>Tamil Nadu</v>
      </c>
      <c r="Q202" t="str">
        <v>South</v>
      </c>
      <c r="R202" t="str">
        <v>Groceries</v>
      </c>
      <c r="S202" t="str">
        <v>Rice</v>
      </c>
      <c r="T202">
        <v>15</v>
      </c>
      <c r="U202">
        <v>2472.8000000000002</v>
      </c>
      <c r="V202">
        <v>37092</v>
      </c>
    </row>
    <row r="203" spans="1:22" ht="15" thickBot="1">
      <c r="A203" s="63">
        <v>44988</v>
      </c>
      <c r="B203" s="18" t="s">
        <v>2686</v>
      </c>
      <c r="C203" s="18" t="s">
        <v>2396</v>
      </c>
      <c r="D203" s="18" t="s">
        <v>2648</v>
      </c>
      <c r="E203" s="18" t="s">
        <v>2641</v>
      </c>
      <c r="F203" s="18" t="s">
        <v>2370</v>
      </c>
      <c r="G203" s="18" t="s">
        <v>2701</v>
      </c>
      <c r="H203" s="16">
        <v>18</v>
      </c>
      <c r="I203" s="16">
        <v>3916.11</v>
      </c>
      <c r="J203" s="16">
        <v>70489.98</v>
      </c>
      <c r="O203" t="str">
        <v>Madurai</v>
      </c>
      <c r="P203" t="str">
        <v>Tamil Nadu</v>
      </c>
      <c r="Q203" t="str">
        <v>South</v>
      </c>
      <c r="R203" t="str">
        <v>Electronics</v>
      </c>
      <c r="S203" t="str">
        <v>Headphones</v>
      </c>
      <c r="T203">
        <v>16</v>
      </c>
      <c r="U203">
        <v>284.02</v>
      </c>
      <c r="V203">
        <v>4544.32</v>
      </c>
    </row>
    <row r="204" spans="1:22" ht="15" thickBot="1">
      <c r="A204" s="16" t="s">
        <v>2469</v>
      </c>
      <c r="B204" s="18" t="s">
        <v>2680</v>
      </c>
      <c r="C204" s="18" t="s">
        <v>2656</v>
      </c>
      <c r="D204" s="18" t="s">
        <v>2648</v>
      </c>
      <c r="E204" s="18" t="s">
        <v>2641</v>
      </c>
      <c r="F204" s="18" t="s">
        <v>2373</v>
      </c>
      <c r="G204" s="18" t="s">
        <v>2703</v>
      </c>
      <c r="H204" s="16">
        <v>16</v>
      </c>
      <c r="I204" s="16">
        <v>4624.91</v>
      </c>
      <c r="J204" s="16">
        <v>73998.559999999998</v>
      </c>
      <c r="O204" t="str">
        <v>Coimbatore</v>
      </c>
      <c r="P204" t="str">
        <v>Tamil Nadu</v>
      </c>
      <c r="Q204" t="str">
        <v>South</v>
      </c>
      <c r="R204" t="str">
        <v>Clothing</v>
      </c>
      <c r="S204" t="str">
        <v>Pants</v>
      </c>
      <c r="T204">
        <v>18</v>
      </c>
      <c r="U204">
        <v>809.24</v>
      </c>
      <c r="V204">
        <v>14566.32</v>
      </c>
    </row>
    <row r="205" spans="1:22" ht="15" thickBot="1">
      <c r="A205" s="16" t="s">
        <v>2537</v>
      </c>
      <c r="B205" s="18" t="s">
        <v>2680</v>
      </c>
      <c r="C205" s="18" t="s">
        <v>2653</v>
      </c>
      <c r="D205" s="18" t="s">
        <v>2644</v>
      </c>
      <c r="E205" s="18" t="s">
        <v>2641</v>
      </c>
      <c r="F205" s="18" t="s">
        <v>2374</v>
      </c>
      <c r="G205" s="18" t="s">
        <v>2704</v>
      </c>
      <c r="H205" s="16">
        <v>8</v>
      </c>
      <c r="I205" s="16">
        <v>4091.1</v>
      </c>
      <c r="J205" s="16">
        <v>32728.799999999999</v>
      </c>
      <c r="O205" t="str">
        <v>Coimbatore</v>
      </c>
      <c r="P205" t="str">
        <v>Tamil Nadu</v>
      </c>
      <c r="Q205" t="str">
        <v>South</v>
      </c>
      <c r="R205" t="str">
        <v>Groceries</v>
      </c>
      <c r="S205" t="str">
        <v>Lentils</v>
      </c>
      <c r="T205">
        <v>4</v>
      </c>
      <c r="U205">
        <v>4724.33</v>
      </c>
      <c r="V205">
        <v>18897.32</v>
      </c>
    </row>
    <row r="206" spans="1:22" ht="15" thickBot="1">
      <c r="A206" s="16" t="s">
        <v>2673</v>
      </c>
      <c r="B206" s="18" t="s">
        <v>2678</v>
      </c>
      <c r="C206" s="18" t="s">
        <v>2653</v>
      </c>
      <c r="D206" s="18" t="s">
        <v>2644</v>
      </c>
      <c r="E206" s="18" t="s">
        <v>2641</v>
      </c>
      <c r="F206" s="18" t="s">
        <v>2373</v>
      </c>
      <c r="G206" s="18" t="s">
        <v>2703</v>
      </c>
      <c r="H206" s="16">
        <v>16</v>
      </c>
      <c r="I206" s="16">
        <v>3369.55</v>
      </c>
      <c r="J206" s="16">
        <v>53912.800000000003</v>
      </c>
      <c r="O206" t="str">
        <v>Chennai</v>
      </c>
      <c r="P206" t="str">
        <v>Tamil Nadu</v>
      </c>
      <c r="Q206" t="str">
        <v>South</v>
      </c>
      <c r="R206" t="str">
        <v>Stationery</v>
      </c>
      <c r="S206" t="str">
        <v>Notebook</v>
      </c>
      <c r="T206">
        <v>1</v>
      </c>
      <c r="U206">
        <v>2993.55</v>
      </c>
      <c r="V206">
        <v>2993.55</v>
      </c>
    </row>
    <row r="207" spans="1:22" ht="15" thickBot="1">
      <c r="A207" s="63">
        <v>45209</v>
      </c>
      <c r="B207" s="18" t="s">
        <v>2682</v>
      </c>
      <c r="C207" s="18" t="s">
        <v>2655</v>
      </c>
      <c r="D207" s="18" t="s">
        <v>2645</v>
      </c>
      <c r="E207" s="18" t="s">
        <v>2642</v>
      </c>
      <c r="F207" s="18" t="s">
        <v>2373</v>
      </c>
      <c r="G207" s="18" t="s">
        <v>2697</v>
      </c>
      <c r="H207" s="16">
        <v>3</v>
      </c>
      <c r="I207" s="16">
        <v>3591.92</v>
      </c>
      <c r="J207" s="16">
        <v>10775.76</v>
      </c>
      <c r="O207" t="str">
        <v>Madurai</v>
      </c>
      <c r="P207" t="str">
        <v>Tamil Nadu</v>
      </c>
      <c r="Q207" t="str">
        <v>South</v>
      </c>
      <c r="R207" t="str">
        <v>Clothing</v>
      </c>
      <c r="S207" t="str">
        <v>Shirt</v>
      </c>
      <c r="T207">
        <v>19</v>
      </c>
      <c r="U207">
        <v>4080.77</v>
      </c>
      <c r="V207">
        <v>77534.63</v>
      </c>
    </row>
    <row r="208" spans="1:22" ht="15" thickBot="1">
      <c r="A208" s="16" t="s">
        <v>2495</v>
      </c>
      <c r="B208" s="18" t="s">
        <v>2685</v>
      </c>
      <c r="C208" s="18" t="s">
        <v>2392</v>
      </c>
      <c r="D208" s="18" t="s">
        <v>2644</v>
      </c>
      <c r="E208" s="18" t="s">
        <v>2641</v>
      </c>
      <c r="F208" s="18" t="s">
        <v>2372</v>
      </c>
      <c r="G208" s="18" t="s">
        <v>2690</v>
      </c>
      <c r="H208" s="16">
        <v>4</v>
      </c>
      <c r="I208" s="16">
        <v>4298.3500000000004</v>
      </c>
      <c r="J208" s="16">
        <v>17193.400000000001</v>
      </c>
      <c r="O208" t="str">
        <v>Chennai</v>
      </c>
      <c r="P208" t="str">
        <v>Tamil Nadu</v>
      </c>
      <c r="Q208" t="str">
        <v>South</v>
      </c>
      <c r="R208" t="str">
        <v>Electronics</v>
      </c>
      <c r="S208" t="str">
        <v>Smartphone</v>
      </c>
      <c r="T208">
        <v>13</v>
      </c>
      <c r="U208">
        <v>3520.87</v>
      </c>
      <c r="V208">
        <v>45771.31</v>
      </c>
    </row>
    <row r="209" spans="1:22" ht="15" thickBot="1">
      <c r="A209" s="63">
        <v>45115</v>
      </c>
      <c r="B209" s="18" t="s">
        <v>2678</v>
      </c>
      <c r="C209" s="18" t="s">
        <v>2396</v>
      </c>
      <c r="D209" s="18" t="s">
        <v>2648</v>
      </c>
      <c r="E209" s="18" t="s">
        <v>2641</v>
      </c>
      <c r="F209" s="18" t="s">
        <v>2374</v>
      </c>
      <c r="G209" s="18" t="s">
        <v>2700</v>
      </c>
      <c r="H209" s="16">
        <v>11</v>
      </c>
      <c r="I209" s="16">
        <v>3687.73</v>
      </c>
      <c r="J209" s="16">
        <v>40565.03</v>
      </c>
      <c r="O209" t="str">
        <v>Coimbatore</v>
      </c>
      <c r="P209" t="str">
        <v>Tamil Nadu</v>
      </c>
      <c r="Q209" t="str">
        <v>South</v>
      </c>
      <c r="R209" t="str">
        <v>Groceries</v>
      </c>
      <c r="S209" t="str">
        <v>Oil</v>
      </c>
      <c r="T209">
        <v>14</v>
      </c>
      <c r="U209">
        <v>4532.88</v>
      </c>
      <c r="V209">
        <v>63460.32</v>
      </c>
    </row>
    <row r="210" spans="1:22" ht="15" thickBot="1">
      <c r="A210" s="16" t="s">
        <v>2578</v>
      </c>
      <c r="B210" s="18" t="s">
        <v>2679</v>
      </c>
      <c r="C210" s="18" t="s">
        <v>2656</v>
      </c>
      <c r="D210" s="18" t="s">
        <v>2648</v>
      </c>
      <c r="E210" s="18" t="s">
        <v>2641</v>
      </c>
      <c r="F210" s="18" t="s">
        <v>2661</v>
      </c>
      <c r="G210" s="18" t="s">
        <v>2698</v>
      </c>
      <c r="H210" s="16">
        <v>12</v>
      </c>
      <c r="I210" s="16">
        <v>548.36</v>
      </c>
      <c r="J210" s="16">
        <v>6580.32</v>
      </c>
    </row>
    <row r="211" spans="1:22" ht="15" thickBot="1">
      <c r="A211" s="63">
        <v>45175</v>
      </c>
      <c r="B211" s="18" t="s">
        <v>2684</v>
      </c>
      <c r="C211" s="18" t="s">
        <v>2658</v>
      </c>
      <c r="D211" s="18" t="s">
        <v>2645</v>
      </c>
      <c r="E211" s="18" t="s">
        <v>2642</v>
      </c>
      <c r="F211" s="18" t="s">
        <v>2372</v>
      </c>
      <c r="G211" s="18" t="s">
        <v>2690</v>
      </c>
      <c r="H211" s="16">
        <v>6</v>
      </c>
      <c r="I211" s="16">
        <v>3931.61</v>
      </c>
      <c r="J211" s="16">
        <v>23589.66</v>
      </c>
    </row>
    <row r="212" spans="1:22" ht="15" thickBot="1">
      <c r="A212" s="63">
        <v>45237</v>
      </c>
      <c r="B212" s="18" t="s">
        <v>2678</v>
      </c>
      <c r="C212" s="18" t="s">
        <v>2653</v>
      </c>
      <c r="D212" s="18" t="s">
        <v>2644</v>
      </c>
      <c r="E212" s="18" t="s">
        <v>2641</v>
      </c>
      <c r="F212" s="18" t="s">
        <v>2372</v>
      </c>
      <c r="G212" s="18" t="s">
        <v>2693</v>
      </c>
      <c r="H212" s="16">
        <v>18</v>
      </c>
      <c r="I212" s="16">
        <v>1120.0999999999999</v>
      </c>
      <c r="J212" s="16">
        <v>20161.8</v>
      </c>
    </row>
    <row r="213" spans="1:22" ht="15" thickBot="1">
      <c r="A213" s="16" t="s">
        <v>2459</v>
      </c>
      <c r="B213" s="18" t="s">
        <v>2686</v>
      </c>
      <c r="C213" s="18" t="s">
        <v>2649</v>
      </c>
      <c r="D213" s="18" t="s">
        <v>2645</v>
      </c>
      <c r="E213" s="18" t="s">
        <v>2642</v>
      </c>
      <c r="F213" s="18" t="s">
        <v>2374</v>
      </c>
      <c r="G213" s="18" t="s">
        <v>2704</v>
      </c>
      <c r="H213" s="16">
        <v>11</v>
      </c>
      <c r="I213" s="16">
        <v>1473.35</v>
      </c>
      <c r="J213" s="16">
        <v>16206.85</v>
      </c>
    </row>
    <row r="214" spans="1:22" ht="15" thickBot="1">
      <c r="A214" s="16" t="s">
        <v>2556</v>
      </c>
      <c r="B214" s="18" t="s">
        <v>2681</v>
      </c>
      <c r="C214" s="18" t="s">
        <v>2396</v>
      </c>
      <c r="D214" s="18" t="s">
        <v>2648</v>
      </c>
      <c r="E214" s="18" t="s">
        <v>2641</v>
      </c>
      <c r="F214" s="18" t="s">
        <v>2370</v>
      </c>
      <c r="G214" s="18" t="s">
        <v>1336</v>
      </c>
      <c r="H214" s="16">
        <v>6</v>
      </c>
      <c r="I214" s="16">
        <v>297.27</v>
      </c>
      <c r="J214" s="16">
        <v>1783.62</v>
      </c>
    </row>
    <row r="215" spans="1:22" ht="15" thickBot="1">
      <c r="A215" s="16" t="s">
        <v>2520</v>
      </c>
      <c r="B215" s="18" t="s">
        <v>2678</v>
      </c>
      <c r="C215" s="18" t="s">
        <v>2392</v>
      </c>
      <c r="D215" s="18" t="s">
        <v>2644</v>
      </c>
      <c r="E215" s="18" t="s">
        <v>2641</v>
      </c>
      <c r="F215" s="18" t="s">
        <v>2661</v>
      </c>
      <c r="G215" s="18" t="s">
        <v>2695</v>
      </c>
      <c r="H215" s="16">
        <v>5</v>
      </c>
      <c r="I215" s="16">
        <v>4872.8900000000003</v>
      </c>
      <c r="J215" s="16">
        <v>24364.45</v>
      </c>
    </row>
    <row r="216" spans="1:22" ht="15" thickBot="1">
      <c r="A216" s="16" t="s">
        <v>2623</v>
      </c>
      <c r="B216" s="18" t="s">
        <v>2683</v>
      </c>
      <c r="C216" s="18" t="s">
        <v>2660</v>
      </c>
      <c r="D216" s="18" t="s">
        <v>2647</v>
      </c>
      <c r="E216" s="18" t="s">
        <v>2643</v>
      </c>
      <c r="F216" s="18" t="s">
        <v>2661</v>
      </c>
      <c r="G216" s="18" t="s">
        <v>2696</v>
      </c>
      <c r="H216" s="16">
        <v>20</v>
      </c>
      <c r="I216" s="16">
        <v>4711.51</v>
      </c>
      <c r="J216" s="16">
        <v>94230.2</v>
      </c>
    </row>
    <row r="217" spans="1:22" ht="15" thickBot="1">
      <c r="A217" s="16" t="s">
        <v>2487</v>
      </c>
      <c r="B217" s="18" t="s">
        <v>2687</v>
      </c>
      <c r="C217" s="18" t="s">
        <v>2396</v>
      </c>
      <c r="D217" s="18" t="s">
        <v>2648</v>
      </c>
      <c r="E217" s="18" t="s">
        <v>2641</v>
      </c>
      <c r="F217" s="18" t="s">
        <v>2370</v>
      </c>
      <c r="G217" s="18" t="s">
        <v>1336</v>
      </c>
      <c r="H217" s="16">
        <v>5</v>
      </c>
      <c r="I217" s="16">
        <v>4096.54</v>
      </c>
      <c r="J217" s="16">
        <v>20482.7</v>
      </c>
    </row>
    <row r="218" spans="1:22" ht="15" thickBot="1">
      <c r="A218" s="16" t="s">
        <v>2499</v>
      </c>
      <c r="B218" s="18" t="s">
        <v>2684</v>
      </c>
      <c r="C218" s="18" t="s">
        <v>2660</v>
      </c>
      <c r="D218" s="18" t="s">
        <v>2647</v>
      </c>
      <c r="E218" s="18" t="s">
        <v>2643</v>
      </c>
      <c r="F218" s="18" t="s">
        <v>2661</v>
      </c>
      <c r="G218" s="18" t="s">
        <v>2696</v>
      </c>
      <c r="H218" s="16">
        <v>6</v>
      </c>
      <c r="I218" s="16">
        <v>830.82</v>
      </c>
      <c r="J218" s="16">
        <v>4984.92</v>
      </c>
    </row>
    <row r="219" spans="1:22" ht="15" thickBot="1">
      <c r="A219" s="63">
        <v>44992</v>
      </c>
      <c r="B219" s="18" t="s">
        <v>2685</v>
      </c>
      <c r="C219" s="18" t="s">
        <v>2659</v>
      </c>
      <c r="D219" s="18" t="s">
        <v>2647</v>
      </c>
      <c r="E219" s="18" t="s">
        <v>2643</v>
      </c>
      <c r="F219" s="18" t="s">
        <v>2661</v>
      </c>
      <c r="G219" s="18" t="s">
        <v>2691</v>
      </c>
      <c r="H219" s="16">
        <v>3</v>
      </c>
      <c r="I219" s="16">
        <v>4637.38</v>
      </c>
      <c r="J219" s="16">
        <v>13912.14</v>
      </c>
    </row>
    <row r="220" spans="1:22" ht="15" thickBot="1">
      <c r="A220" s="63">
        <v>44959</v>
      </c>
      <c r="B220" s="18" t="s">
        <v>2686</v>
      </c>
      <c r="C220" s="18" t="s">
        <v>2658</v>
      </c>
      <c r="D220" s="18" t="s">
        <v>2645</v>
      </c>
      <c r="E220" s="18" t="s">
        <v>2642</v>
      </c>
      <c r="F220" s="18" t="s">
        <v>2374</v>
      </c>
      <c r="G220" s="18" t="s">
        <v>2689</v>
      </c>
      <c r="H220" s="16">
        <v>5</v>
      </c>
      <c r="I220" s="16">
        <v>3770.1</v>
      </c>
      <c r="J220" s="16">
        <v>18850.5</v>
      </c>
    </row>
    <row r="221" spans="1:22" ht="15" thickBot="1">
      <c r="A221" s="16" t="s">
        <v>2435</v>
      </c>
      <c r="B221" s="18" t="s">
        <v>2682</v>
      </c>
      <c r="C221" s="18" t="s">
        <v>2655</v>
      </c>
      <c r="D221" s="18" t="s">
        <v>2645</v>
      </c>
      <c r="E221" s="18" t="s">
        <v>2642</v>
      </c>
      <c r="F221" s="18" t="s">
        <v>2661</v>
      </c>
      <c r="G221" s="18" t="s">
        <v>2695</v>
      </c>
      <c r="H221" s="16">
        <v>20</v>
      </c>
      <c r="I221" s="16">
        <v>285.95999999999998</v>
      </c>
      <c r="J221" s="16">
        <v>5719.2</v>
      </c>
    </row>
    <row r="222" spans="1:22" ht="15" thickBot="1">
      <c r="A222" s="63">
        <v>45142</v>
      </c>
      <c r="B222" s="18" t="s">
        <v>2683</v>
      </c>
      <c r="C222" s="18" t="s">
        <v>2659</v>
      </c>
      <c r="D222" s="18" t="s">
        <v>2647</v>
      </c>
      <c r="E222" s="18" t="s">
        <v>2643</v>
      </c>
      <c r="F222" s="18" t="s">
        <v>2373</v>
      </c>
      <c r="G222" s="18" t="s">
        <v>2705</v>
      </c>
      <c r="H222" s="16">
        <v>6</v>
      </c>
      <c r="I222" s="16">
        <v>1912.36</v>
      </c>
      <c r="J222" s="16">
        <v>11474.16</v>
      </c>
    </row>
    <row r="223" spans="1:22" ht="15" thickBot="1">
      <c r="A223" s="16" t="s">
        <v>2630</v>
      </c>
      <c r="B223" s="18" t="s">
        <v>2679</v>
      </c>
      <c r="C223" s="18" t="s">
        <v>2657</v>
      </c>
      <c r="D223" s="18" t="s">
        <v>2648</v>
      </c>
      <c r="E223" s="18" t="s">
        <v>2641</v>
      </c>
      <c r="F223" s="18" t="s">
        <v>2372</v>
      </c>
      <c r="G223" s="18" t="s">
        <v>2690</v>
      </c>
      <c r="H223" s="16">
        <v>19</v>
      </c>
      <c r="I223" s="16">
        <v>3648.27</v>
      </c>
      <c r="J223" s="16">
        <v>69317.13</v>
      </c>
    </row>
    <row r="224" spans="1:22" ht="15" thickBot="1">
      <c r="A224" s="63">
        <v>45022</v>
      </c>
      <c r="B224" s="18" t="s">
        <v>2680</v>
      </c>
      <c r="C224" s="18" t="s">
        <v>2658</v>
      </c>
      <c r="D224" s="18" t="s">
        <v>2645</v>
      </c>
      <c r="E224" s="18" t="s">
        <v>2642</v>
      </c>
      <c r="F224" s="18" t="s">
        <v>2373</v>
      </c>
      <c r="G224" s="18" t="s">
        <v>2703</v>
      </c>
      <c r="H224" s="16">
        <v>20</v>
      </c>
      <c r="I224" s="16">
        <v>473.23</v>
      </c>
      <c r="J224" s="16">
        <v>9464.6</v>
      </c>
    </row>
    <row r="225" spans="1:10" ht="15" thickBot="1">
      <c r="A225" s="16" t="s">
        <v>2547</v>
      </c>
      <c r="B225" s="18" t="s">
        <v>2678</v>
      </c>
      <c r="C225" s="18" t="s">
        <v>2651</v>
      </c>
      <c r="D225" s="18" t="s">
        <v>2646</v>
      </c>
      <c r="E225" s="18" t="s">
        <v>2642</v>
      </c>
      <c r="F225" s="18" t="s">
        <v>2370</v>
      </c>
      <c r="G225" s="18" t="s">
        <v>1335</v>
      </c>
      <c r="H225" s="16">
        <v>16</v>
      </c>
      <c r="I225" s="16">
        <v>1870.47</v>
      </c>
      <c r="J225" s="16">
        <v>29927.52</v>
      </c>
    </row>
    <row r="226" spans="1:10" ht="15" thickBot="1">
      <c r="A226" s="16" t="s">
        <v>2543</v>
      </c>
      <c r="B226" s="18" t="s">
        <v>2684</v>
      </c>
      <c r="C226" s="18" t="s">
        <v>2652</v>
      </c>
      <c r="D226" s="18" t="s">
        <v>2647</v>
      </c>
      <c r="E226" s="18" t="s">
        <v>2643</v>
      </c>
      <c r="F226" s="18" t="s">
        <v>2661</v>
      </c>
      <c r="G226" s="18" t="s">
        <v>2696</v>
      </c>
      <c r="H226" s="16">
        <v>18</v>
      </c>
      <c r="I226" s="16">
        <v>835.8</v>
      </c>
      <c r="J226" s="16">
        <v>15044.4</v>
      </c>
    </row>
    <row r="227" spans="1:10" ht="15" thickBot="1">
      <c r="A227" s="63">
        <v>44992</v>
      </c>
      <c r="B227" s="18" t="s">
        <v>2687</v>
      </c>
      <c r="C227" s="18" t="s">
        <v>2653</v>
      </c>
      <c r="D227" s="18" t="s">
        <v>2644</v>
      </c>
      <c r="E227" s="18" t="s">
        <v>2641</v>
      </c>
      <c r="F227" s="18" t="s">
        <v>2374</v>
      </c>
      <c r="G227" s="18" t="s">
        <v>2700</v>
      </c>
      <c r="H227" s="16">
        <v>18</v>
      </c>
      <c r="I227" s="16">
        <v>4850.91</v>
      </c>
      <c r="J227" s="16">
        <v>87316.38</v>
      </c>
    </row>
    <row r="228" spans="1:10" ht="15" thickBot="1">
      <c r="A228" s="16" t="s">
        <v>2537</v>
      </c>
      <c r="B228" s="18" t="s">
        <v>2680</v>
      </c>
      <c r="C228" s="18" t="s">
        <v>2393</v>
      </c>
      <c r="D228" s="18" t="s">
        <v>2644</v>
      </c>
      <c r="E228" s="18" t="s">
        <v>2641</v>
      </c>
      <c r="F228" s="18" t="s">
        <v>2373</v>
      </c>
      <c r="G228" s="18" t="s">
        <v>2688</v>
      </c>
      <c r="H228" s="16">
        <v>10</v>
      </c>
      <c r="I228" s="16">
        <v>2200.91</v>
      </c>
      <c r="J228" s="16">
        <v>22009.1</v>
      </c>
    </row>
    <row r="229" spans="1:10" ht="15" thickBot="1">
      <c r="A229" s="63">
        <v>45211</v>
      </c>
      <c r="B229" s="18" t="s">
        <v>2686</v>
      </c>
      <c r="C229" s="18" t="s">
        <v>2649</v>
      </c>
      <c r="D229" s="18" t="s">
        <v>2645</v>
      </c>
      <c r="E229" s="18" t="s">
        <v>2642</v>
      </c>
      <c r="F229" s="18" t="s">
        <v>2370</v>
      </c>
      <c r="G229" s="18" t="s">
        <v>1335</v>
      </c>
      <c r="H229" s="16">
        <v>9</v>
      </c>
      <c r="I229" s="16">
        <v>1694.83</v>
      </c>
      <c r="J229" s="16">
        <v>15253.47</v>
      </c>
    </row>
    <row r="230" spans="1:10" ht="15" thickBot="1">
      <c r="A230" s="63">
        <v>45079</v>
      </c>
      <c r="B230" s="18" t="s">
        <v>2687</v>
      </c>
      <c r="C230" s="18" t="s">
        <v>2654</v>
      </c>
      <c r="D230" s="18" t="s">
        <v>2646</v>
      </c>
      <c r="E230" s="18" t="s">
        <v>2642</v>
      </c>
      <c r="F230" s="18" t="s">
        <v>2373</v>
      </c>
      <c r="G230" s="18" t="s">
        <v>2703</v>
      </c>
      <c r="H230" s="16">
        <v>10</v>
      </c>
      <c r="I230" s="16">
        <v>1229.56</v>
      </c>
      <c r="J230" s="16">
        <v>12295.6</v>
      </c>
    </row>
    <row r="231" spans="1:10" ht="15" thickBot="1">
      <c r="A231" s="16" t="s">
        <v>2497</v>
      </c>
      <c r="B231" s="18" t="s">
        <v>2687</v>
      </c>
      <c r="C231" s="18" t="s">
        <v>2396</v>
      </c>
      <c r="D231" s="18" t="s">
        <v>2648</v>
      </c>
      <c r="E231" s="18" t="s">
        <v>2641</v>
      </c>
      <c r="F231" s="18" t="s">
        <v>2661</v>
      </c>
      <c r="G231" s="18" t="s">
        <v>2691</v>
      </c>
      <c r="H231" s="16">
        <v>14</v>
      </c>
      <c r="I231" s="16">
        <v>705.15</v>
      </c>
      <c r="J231" s="16">
        <v>9872.1</v>
      </c>
    </row>
    <row r="232" spans="1:10" ht="15" thickBot="1">
      <c r="A232" s="16" t="s">
        <v>2492</v>
      </c>
      <c r="B232" s="18" t="s">
        <v>2685</v>
      </c>
      <c r="C232" s="18" t="s">
        <v>2659</v>
      </c>
      <c r="D232" s="18" t="s">
        <v>2647</v>
      </c>
      <c r="E232" s="18" t="s">
        <v>2643</v>
      </c>
      <c r="F232" s="18" t="s">
        <v>2372</v>
      </c>
      <c r="G232" s="18" t="s">
        <v>2693</v>
      </c>
      <c r="H232" s="16">
        <v>19</v>
      </c>
      <c r="I232" s="16">
        <v>3485.85</v>
      </c>
      <c r="J232" s="16">
        <v>66231.149999999994</v>
      </c>
    </row>
    <row r="233" spans="1:10" ht="15" thickBot="1">
      <c r="A233" s="16" t="s">
        <v>2449</v>
      </c>
      <c r="B233" s="18" t="s">
        <v>2679</v>
      </c>
      <c r="C233" s="18" t="s">
        <v>2660</v>
      </c>
      <c r="D233" s="18" t="s">
        <v>2647</v>
      </c>
      <c r="E233" s="18" t="s">
        <v>2643</v>
      </c>
      <c r="F233" s="18" t="s">
        <v>2370</v>
      </c>
      <c r="G233" s="18" t="s">
        <v>1335</v>
      </c>
      <c r="H233" s="16">
        <v>10</v>
      </c>
      <c r="I233" s="16">
        <v>3633.26</v>
      </c>
      <c r="J233" s="16">
        <v>36332.6</v>
      </c>
    </row>
    <row r="234" spans="1:10" ht="15" thickBot="1">
      <c r="A234" s="63">
        <v>45208</v>
      </c>
      <c r="B234" s="18" t="s">
        <v>2685</v>
      </c>
      <c r="C234" s="18" t="s">
        <v>2653</v>
      </c>
      <c r="D234" s="18" t="s">
        <v>2644</v>
      </c>
      <c r="E234" s="18" t="s">
        <v>2641</v>
      </c>
      <c r="F234" s="18" t="s">
        <v>2661</v>
      </c>
      <c r="G234" s="18" t="s">
        <v>2698</v>
      </c>
      <c r="H234" s="16">
        <v>14</v>
      </c>
      <c r="I234" s="16">
        <v>1245.9000000000001</v>
      </c>
      <c r="J234" s="16">
        <v>17442.599999999999</v>
      </c>
    </row>
    <row r="235" spans="1:10" ht="15" thickBot="1">
      <c r="A235" s="16" t="s">
        <v>2455</v>
      </c>
      <c r="B235" s="18" t="s">
        <v>2681</v>
      </c>
      <c r="C235" s="18" t="s">
        <v>2660</v>
      </c>
      <c r="D235" s="18" t="s">
        <v>2647</v>
      </c>
      <c r="E235" s="18" t="s">
        <v>2643</v>
      </c>
      <c r="F235" s="18" t="s">
        <v>2373</v>
      </c>
      <c r="G235" s="18" t="s">
        <v>2688</v>
      </c>
      <c r="H235" s="16">
        <v>4</v>
      </c>
      <c r="I235" s="16">
        <v>4553.5200000000004</v>
      </c>
      <c r="J235" s="16">
        <v>18214.080000000002</v>
      </c>
    </row>
    <row r="236" spans="1:10" ht="15" thickBot="1">
      <c r="A236" s="63">
        <v>45146</v>
      </c>
      <c r="B236" s="18" t="s">
        <v>2679</v>
      </c>
      <c r="C236" s="18" t="s">
        <v>2393</v>
      </c>
      <c r="D236" s="18" t="s">
        <v>2644</v>
      </c>
      <c r="E236" s="18" t="s">
        <v>2641</v>
      </c>
      <c r="F236" s="18" t="s">
        <v>2373</v>
      </c>
      <c r="G236" s="18" t="s">
        <v>2697</v>
      </c>
      <c r="H236" s="16">
        <v>3</v>
      </c>
      <c r="I236" s="16">
        <v>1417.18</v>
      </c>
      <c r="J236" s="16">
        <v>4251.54</v>
      </c>
    </row>
    <row r="237" spans="1:10" ht="15" thickBot="1">
      <c r="A237" s="16" t="s">
        <v>2465</v>
      </c>
      <c r="B237" s="18" t="s">
        <v>2683</v>
      </c>
      <c r="C237" s="18" t="s">
        <v>2653</v>
      </c>
      <c r="D237" s="18" t="s">
        <v>2644</v>
      </c>
      <c r="E237" s="18" t="s">
        <v>2641</v>
      </c>
      <c r="F237" s="18" t="s">
        <v>2370</v>
      </c>
      <c r="G237" s="18" t="s">
        <v>2702</v>
      </c>
      <c r="H237" s="16">
        <v>7</v>
      </c>
      <c r="I237" s="16">
        <v>1249.3599999999999</v>
      </c>
      <c r="J237" s="16">
        <v>8745.52</v>
      </c>
    </row>
    <row r="238" spans="1:10" ht="15" thickBot="1">
      <c r="A238" s="16" t="s">
        <v>2609</v>
      </c>
      <c r="B238" s="18" t="s">
        <v>2682</v>
      </c>
      <c r="C238" s="18" t="s">
        <v>2654</v>
      </c>
      <c r="D238" s="18" t="s">
        <v>2646</v>
      </c>
      <c r="E238" s="18" t="s">
        <v>2642</v>
      </c>
      <c r="F238" s="18" t="s">
        <v>2372</v>
      </c>
      <c r="G238" s="18" t="s">
        <v>2699</v>
      </c>
      <c r="H238" s="16">
        <v>7</v>
      </c>
      <c r="I238" s="16">
        <v>3911.96</v>
      </c>
      <c r="J238" s="16">
        <v>27383.72</v>
      </c>
    </row>
    <row r="239" spans="1:10" ht="15" thickBot="1">
      <c r="A239" s="16" t="s">
        <v>2600</v>
      </c>
      <c r="B239" s="18" t="s">
        <v>2681</v>
      </c>
      <c r="C239" s="18" t="s">
        <v>2649</v>
      </c>
      <c r="D239" s="18" t="s">
        <v>2645</v>
      </c>
      <c r="E239" s="18" t="s">
        <v>2642</v>
      </c>
      <c r="F239" s="18" t="s">
        <v>2372</v>
      </c>
      <c r="G239" s="18" t="s">
        <v>2693</v>
      </c>
      <c r="H239" s="16">
        <v>4</v>
      </c>
      <c r="I239" s="16">
        <v>3087.87</v>
      </c>
      <c r="J239" s="16">
        <v>12351.48</v>
      </c>
    </row>
    <row r="240" spans="1:10" ht="15" thickBot="1">
      <c r="A240" s="63">
        <v>45241</v>
      </c>
      <c r="B240" s="18" t="s">
        <v>2681</v>
      </c>
      <c r="C240" s="18" t="s">
        <v>2653</v>
      </c>
      <c r="D240" s="18" t="s">
        <v>2644</v>
      </c>
      <c r="E240" s="18" t="s">
        <v>2641</v>
      </c>
      <c r="F240" s="18" t="s">
        <v>2370</v>
      </c>
      <c r="G240" s="18" t="s">
        <v>2702</v>
      </c>
      <c r="H240" s="16">
        <v>16</v>
      </c>
      <c r="I240" s="16">
        <v>628.15</v>
      </c>
      <c r="J240" s="16">
        <v>10050.4</v>
      </c>
    </row>
    <row r="241" spans="1:10" ht="15" thickBot="1">
      <c r="A241" s="16" t="s">
        <v>2479</v>
      </c>
      <c r="B241" s="18" t="s">
        <v>2683</v>
      </c>
      <c r="C241" s="18" t="s">
        <v>2658</v>
      </c>
      <c r="D241" s="18" t="s">
        <v>2645</v>
      </c>
      <c r="E241" s="18" t="s">
        <v>2642</v>
      </c>
      <c r="F241" s="18" t="s">
        <v>2661</v>
      </c>
      <c r="G241" s="18" t="s">
        <v>2698</v>
      </c>
      <c r="H241" s="16">
        <v>15</v>
      </c>
      <c r="I241" s="16">
        <v>3100.61</v>
      </c>
      <c r="J241" s="16">
        <v>46509.15</v>
      </c>
    </row>
    <row r="242" spans="1:10" ht="15" thickBot="1">
      <c r="A242" s="16" t="s">
        <v>2588</v>
      </c>
      <c r="B242" s="18" t="s">
        <v>2679</v>
      </c>
      <c r="C242" s="18" t="s">
        <v>2649</v>
      </c>
      <c r="D242" s="18" t="s">
        <v>2645</v>
      </c>
      <c r="E242" s="18" t="s">
        <v>2642</v>
      </c>
      <c r="F242" s="18" t="s">
        <v>2372</v>
      </c>
      <c r="G242" s="18" t="s">
        <v>2693</v>
      </c>
      <c r="H242" s="16">
        <v>10</v>
      </c>
      <c r="I242" s="16">
        <v>4017.66</v>
      </c>
      <c r="J242" s="16">
        <v>40176.6</v>
      </c>
    </row>
    <row r="243" spans="1:10" ht="15" thickBot="1">
      <c r="A243" s="16" t="s">
        <v>2544</v>
      </c>
      <c r="B243" s="18" t="s">
        <v>2679</v>
      </c>
      <c r="C243" s="18" t="s">
        <v>2655</v>
      </c>
      <c r="D243" s="18" t="s">
        <v>2645</v>
      </c>
      <c r="E243" s="18" t="s">
        <v>2642</v>
      </c>
      <c r="F243" s="18" t="s">
        <v>2373</v>
      </c>
      <c r="G243" s="18" t="s">
        <v>2697</v>
      </c>
      <c r="H243" s="16">
        <v>3</v>
      </c>
      <c r="I243" s="16">
        <v>3389.2</v>
      </c>
      <c r="J243" s="16">
        <v>10167.6</v>
      </c>
    </row>
    <row r="244" spans="1:10" ht="15" thickBot="1">
      <c r="A244" s="16" t="s">
        <v>2621</v>
      </c>
      <c r="B244" s="18" t="s">
        <v>2680</v>
      </c>
      <c r="C244" s="18" t="s">
        <v>2653</v>
      </c>
      <c r="D244" s="18" t="s">
        <v>2644</v>
      </c>
      <c r="E244" s="18" t="s">
        <v>2641</v>
      </c>
      <c r="F244" s="18" t="s">
        <v>2661</v>
      </c>
      <c r="G244" s="18" t="s">
        <v>2691</v>
      </c>
      <c r="H244" s="16">
        <v>20</v>
      </c>
      <c r="I244" s="16">
        <v>2441.83</v>
      </c>
      <c r="J244" s="16">
        <v>48836.6</v>
      </c>
    </row>
    <row r="245" spans="1:10" ht="15" thickBot="1">
      <c r="A245" s="63">
        <v>45181</v>
      </c>
      <c r="B245" s="18" t="s">
        <v>2679</v>
      </c>
      <c r="C245" s="18" t="s">
        <v>2652</v>
      </c>
      <c r="D245" s="18" t="s">
        <v>2647</v>
      </c>
      <c r="E245" s="18" t="s">
        <v>2643</v>
      </c>
      <c r="F245" s="18" t="s">
        <v>2373</v>
      </c>
      <c r="G245" s="18" t="s">
        <v>2703</v>
      </c>
      <c r="H245" s="16">
        <v>17</v>
      </c>
      <c r="I245" s="16">
        <v>2655.98</v>
      </c>
      <c r="J245" s="16">
        <v>45151.66</v>
      </c>
    </row>
    <row r="246" spans="1:10" ht="15" thickBot="1">
      <c r="A246" s="63">
        <v>44986</v>
      </c>
      <c r="B246" s="18" t="s">
        <v>2679</v>
      </c>
      <c r="C246" s="18" t="s">
        <v>2649</v>
      </c>
      <c r="D246" s="18" t="s">
        <v>2645</v>
      </c>
      <c r="E246" s="18" t="s">
        <v>2642</v>
      </c>
      <c r="F246" s="18" t="s">
        <v>2370</v>
      </c>
      <c r="G246" s="18" t="s">
        <v>2702</v>
      </c>
      <c r="H246" s="16">
        <v>3</v>
      </c>
      <c r="I246" s="16">
        <v>4908.74</v>
      </c>
      <c r="J246" s="16">
        <v>14726.22</v>
      </c>
    </row>
    <row r="247" spans="1:10" ht="15" thickBot="1">
      <c r="A247" s="16" t="s">
        <v>2587</v>
      </c>
      <c r="B247" s="18" t="s">
        <v>2685</v>
      </c>
      <c r="C247" s="18" t="s">
        <v>2659</v>
      </c>
      <c r="D247" s="18" t="s">
        <v>2647</v>
      </c>
      <c r="E247" s="18" t="s">
        <v>2643</v>
      </c>
      <c r="F247" s="18" t="s">
        <v>2370</v>
      </c>
      <c r="G247" s="18" t="s">
        <v>2702</v>
      </c>
      <c r="H247" s="16">
        <v>13</v>
      </c>
      <c r="I247" s="16">
        <v>4121.8</v>
      </c>
      <c r="J247" s="16">
        <v>53583.4</v>
      </c>
    </row>
    <row r="248" spans="1:10" ht="15" thickBot="1">
      <c r="A248" s="63">
        <v>45080</v>
      </c>
      <c r="B248" s="18" t="s">
        <v>2687</v>
      </c>
      <c r="C248" s="18" t="s">
        <v>2653</v>
      </c>
      <c r="D248" s="18" t="s">
        <v>2644</v>
      </c>
      <c r="E248" s="18" t="s">
        <v>2641</v>
      </c>
      <c r="F248" s="18" t="s">
        <v>2370</v>
      </c>
      <c r="G248" s="18" t="s">
        <v>2702</v>
      </c>
      <c r="H248" s="16">
        <v>7</v>
      </c>
      <c r="I248" s="16">
        <v>2083.7800000000002</v>
      </c>
      <c r="J248" s="16">
        <v>14586.46</v>
      </c>
    </row>
    <row r="249" spans="1:10" ht="15" thickBot="1">
      <c r="A249" s="63">
        <v>45201</v>
      </c>
      <c r="B249" s="18" t="s">
        <v>2683</v>
      </c>
      <c r="C249" s="18" t="s">
        <v>2393</v>
      </c>
      <c r="D249" s="18" t="s">
        <v>2644</v>
      </c>
      <c r="E249" s="18" t="s">
        <v>2641</v>
      </c>
      <c r="F249" s="18" t="s">
        <v>2372</v>
      </c>
      <c r="G249" s="18" t="s">
        <v>2699</v>
      </c>
      <c r="H249" s="16">
        <v>4</v>
      </c>
      <c r="I249" s="16">
        <v>697.88</v>
      </c>
      <c r="J249" s="16">
        <v>2791.52</v>
      </c>
    </row>
    <row r="250" spans="1:10" ht="15" thickBot="1">
      <c r="A250" s="63">
        <v>44930</v>
      </c>
      <c r="B250" s="18" t="s">
        <v>2687</v>
      </c>
      <c r="C250" s="18" t="s">
        <v>2660</v>
      </c>
      <c r="D250" s="18" t="s">
        <v>2647</v>
      </c>
      <c r="E250" s="18" t="s">
        <v>2643</v>
      </c>
      <c r="F250" s="18" t="s">
        <v>2370</v>
      </c>
      <c r="G250" s="18" t="s">
        <v>2701</v>
      </c>
      <c r="H250" s="16">
        <v>3</v>
      </c>
      <c r="I250" s="16">
        <v>3754.7</v>
      </c>
      <c r="J250" s="16">
        <v>11264.1</v>
      </c>
    </row>
    <row r="251" spans="1:10" ht="15" thickBot="1">
      <c r="A251" s="16" t="s">
        <v>2450</v>
      </c>
      <c r="B251" s="18" t="s">
        <v>2680</v>
      </c>
      <c r="C251" s="18" t="s">
        <v>2654</v>
      </c>
      <c r="D251" s="18" t="s">
        <v>2646</v>
      </c>
      <c r="E251" s="18" t="s">
        <v>2642</v>
      </c>
      <c r="F251" s="18" t="s">
        <v>2373</v>
      </c>
      <c r="G251" s="18" t="s">
        <v>2705</v>
      </c>
      <c r="H251" s="16">
        <v>20</v>
      </c>
      <c r="I251" s="16">
        <v>2449.44</v>
      </c>
      <c r="J251" s="16">
        <v>48988.800000000003</v>
      </c>
    </row>
    <row r="252" spans="1:10" ht="15" thickBot="1">
      <c r="A252" s="63">
        <v>44964</v>
      </c>
      <c r="B252" s="18" t="s">
        <v>2681</v>
      </c>
      <c r="C252" s="18" t="s">
        <v>2650</v>
      </c>
      <c r="D252" s="18" t="s">
        <v>2646</v>
      </c>
      <c r="E252" s="18" t="s">
        <v>2642</v>
      </c>
      <c r="F252" s="18" t="s">
        <v>2370</v>
      </c>
      <c r="G252" s="18" t="s">
        <v>1336</v>
      </c>
      <c r="H252" s="16">
        <v>6</v>
      </c>
      <c r="I252" s="16">
        <v>2862.86</v>
      </c>
      <c r="J252" s="16">
        <v>17177.16</v>
      </c>
    </row>
    <row r="253" spans="1:10" ht="15" thickBot="1">
      <c r="A253" s="16" t="s">
        <v>2494</v>
      </c>
      <c r="B253" s="18" t="s">
        <v>2684</v>
      </c>
      <c r="C253" s="18" t="s">
        <v>2650</v>
      </c>
      <c r="D253" s="18" t="s">
        <v>2646</v>
      </c>
      <c r="E253" s="18" t="s">
        <v>2642</v>
      </c>
      <c r="F253" s="18" t="s">
        <v>2374</v>
      </c>
      <c r="G253" s="18" t="s">
        <v>2689</v>
      </c>
      <c r="H253" s="16">
        <v>4</v>
      </c>
      <c r="I253" s="16">
        <v>4795.3999999999996</v>
      </c>
      <c r="J253" s="16">
        <v>19181.599999999999</v>
      </c>
    </row>
    <row r="254" spans="1:10" ht="15" thickBot="1">
      <c r="A254" s="63">
        <v>45271</v>
      </c>
      <c r="B254" s="18" t="s">
        <v>2684</v>
      </c>
      <c r="C254" s="18" t="s">
        <v>2660</v>
      </c>
      <c r="D254" s="18" t="s">
        <v>2647</v>
      </c>
      <c r="E254" s="18" t="s">
        <v>2643</v>
      </c>
      <c r="F254" s="18" t="s">
        <v>2373</v>
      </c>
      <c r="G254" s="18" t="s">
        <v>2703</v>
      </c>
      <c r="H254" s="16">
        <v>3</v>
      </c>
      <c r="I254" s="16">
        <v>672.84</v>
      </c>
      <c r="J254" s="16">
        <v>2018.52</v>
      </c>
    </row>
    <row r="255" spans="1:10" ht="15" thickBot="1">
      <c r="A255" s="63">
        <v>45086</v>
      </c>
      <c r="B255" s="18" t="s">
        <v>2687</v>
      </c>
      <c r="C255" s="18" t="s">
        <v>2655</v>
      </c>
      <c r="D255" s="18" t="s">
        <v>2645</v>
      </c>
      <c r="E255" s="18" t="s">
        <v>2642</v>
      </c>
      <c r="F255" s="18" t="s">
        <v>2373</v>
      </c>
      <c r="G255" s="18" t="s">
        <v>2705</v>
      </c>
      <c r="H255" s="16">
        <v>5</v>
      </c>
      <c r="I255" s="16">
        <v>4423.53</v>
      </c>
      <c r="J255" s="16">
        <v>22117.65</v>
      </c>
    </row>
    <row r="256" spans="1:10" ht="15" thickBot="1">
      <c r="A256" s="63">
        <v>44990</v>
      </c>
      <c r="B256" s="18" t="s">
        <v>2684</v>
      </c>
      <c r="C256" s="18" t="s">
        <v>2650</v>
      </c>
      <c r="D256" s="18" t="s">
        <v>2646</v>
      </c>
      <c r="E256" s="18" t="s">
        <v>2642</v>
      </c>
      <c r="F256" s="18" t="s">
        <v>2373</v>
      </c>
      <c r="G256" s="18" t="s">
        <v>2705</v>
      </c>
      <c r="H256" s="16">
        <v>13</v>
      </c>
      <c r="I256" s="16">
        <v>1330.85</v>
      </c>
      <c r="J256" s="16">
        <v>17301.05</v>
      </c>
    </row>
    <row r="257" spans="1:10" ht="15" thickBot="1">
      <c r="A257" s="16" t="s">
        <v>2596</v>
      </c>
      <c r="B257" s="18" t="s">
        <v>2687</v>
      </c>
      <c r="C257" s="18" t="s">
        <v>2653</v>
      </c>
      <c r="D257" s="18" t="s">
        <v>2644</v>
      </c>
      <c r="E257" s="18" t="s">
        <v>2641</v>
      </c>
      <c r="F257" s="18" t="s">
        <v>2374</v>
      </c>
      <c r="G257" s="18" t="s">
        <v>2700</v>
      </c>
      <c r="H257" s="16">
        <v>2</v>
      </c>
      <c r="I257" s="16">
        <v>1785.76</v>
      </c>
      <c r="J257" s="16">
        <v>3571.52</v>
      </c>
    </row>
    <row r="258" spans="1:10" ht="15" thickBot="1">
      <c r="A258" s="16" t="s">
        <v>2615</v>
      </c>
      <c r="B258" s="18" t="s">
        <v>2680</v>
      </c>
      <c r="C258" s="18" t="s">
        <v>2660</v>
      </c>
      <c r="D258" s="18" t="s">
        <v>2647</v>
      </c>
      <c r="E258" s="18" t="s">
        <v>2643</v>
      </c>
      <c r="F258" s="18" t="s">
        <v>2373</v>
      </c>
      <c r="G258" s="18" t="s">
        <v>2703</v>
      </c>
      <c r="H258" s="16">
        <v>10</v>
      </c>
      <c r="I258" s="16">
        <v>505.39</v>
      </c>
      <c r="J258" s="16">
        <v>5053.8999999999996</v>
      </c>
    </row>
    <row r="259" spans="1:10" ht="15" thickBot="1">
      <c r="A259" s="16" t="s">
        <v>2512</v>
      </c>
      <c r="B259" s="18" t="s">
        <v>2682</v>
      </c>
      <c r="C259" s="18" t="s">
        <v>2658</v>
      </c>
      <c r="D259" s="18" t="s">
        <v>2645</v>
      </c>
      <c r="E259" s="18" t="s">
        <v>2642</v>
      </c>
      <c r="F259" s="18" t="s">
        <v>2370</v>
      </c>
      <c r="G259" s="18" t="s">
        <v>2701</v>
      </c>
      <c r="H259" s="16">
        <v>1</v>
      </c>
      <c r="I259" s="16">
        <v>4966.8599999999997</v>
      </c>
      <c r="J259" s="16">
        <v>4966.8599999999997</v>
      </c>
    </row>
    <row r="260" spans="1:10" ht="15" thickBot="1">
      <c r="A260" s="16" t="s">
        <v>2613</v>
      </c>
      <c r="B260" s="18" t="s">
        <v>2680</v>
      </c>
      <c r="C260" s="18" t="s">
        <v>2657</v>
      </c>
      <c r="D260" s="18" t="s">
        <v>2648</v>
      </c>
      <c r="E260" s="18" t="s">
        <v>2641</v>
      </c>
      <c r="F260" s="18" t="s">
        <v>2373</v>
      </c>
      <c r="G260" s="18" t="s">
        <v>2697</v>
      </c>
      <c r="H260" s="16">
        <v>5</v>
      </c>
      <c r="I260" s="16">
        <v>4988.76</v>
      </c>
      <c r="J260" s="16">
        <v>24943.8</v>
      </c>
    </row>
    <row r="261" spans="1:10" ht="15" thickBot="1">
      <c r="A261" s="16" t="s">
        <v>2629</v>
      </c>
      <c r="B261" s="18" t="s">
        <v>2683</v>
      </c>
      <c r="C261" s="18" t="s">
        <v>2649</v>
      </c>
      <c r="D261" s="18" t="s">
        <v>2645</v>
      </c>
      <c r="E261" s="18" t="s">
        <v>2642</v>
      </c>
      <c r="F261" s="18" t="s">
        <v>2370</v>
      </c>
      <c r="G261" s="18" t="s">
        <v>2701</v>
      </c>
      <c r="H261" s="16">
        <v>18</v>
      </c>
      <c r="I261" s="16">
        <v>1745.63</v>
      </c>
      <c r="J261" s="16">
        <v>31421.34</v>
      </c>
    </row>
    <row r="262" spans="1:10" ht="15" thickBot="1">
      <c r="A262" s="16" t="s">
        <v>2491</v>
      </c>
      <c r="B262" s="18" t="s">
        <v>2680</v>
      </c>
      <c r="C262" s="18" t="s">
        <v>2392</v>
      </c>
      <c r="D262" s="18" t="s">
        <v>2644</v>
      </c>
      <c r="E262" s="18" t="s">
        <v>2641</v>
      </c>
      <c r="F262" s="18" t="s">
        <v>2372</v>
      </c>
      <c r="G262" s="18" t="s">
        <v>2699</v>
      </c>
      <c r="H262" s="16">
        <v>2</v>
      </c>
      <c r="I262" s="16">
        <v>3024.56</v>
      </c>
      <c r="J262" s="16">
        <v>6049.12</v>
      </c>
    </row>
    <row r="263" spans="1:10" ht="15" thickBot="1">
      <c r="A263" s="63">
        <v>45083</v>
      </c>
      <c r="B263" s="18" t="s">
        <v>2685</v>
      </c>
      <c r="C263" s="18" t="s">
        <v>2654</v>
      </c>
      <c r="D263" s="18" t="s">
        <v>2646</v>
      </c>
      <c r="E263" s="18" t="s">
        <v>2642</v>
      </c>
      <c r="F263" s="18" t="s">
        <v>2374</v>
      </c>
      <c r="G263" s="18" t="s">
        <v>2692</v>
      </c>
      <c r="H263" s="16">
        <v>15</v>
      </c>
      <c r="I263" s="16">
        <v>4599.74</v>
      </c>
      <c r="J263" s="16">
        <v>68996.100000000006</v>
      </c>
    </row>
    <row r="264" spans="1:10" ht="15" thickBot="1">
      <c r="A264" s="16" t="s">
        <v>2515</v>
      </c>
      <c r="B264" s="18" t="s">
        <v>2680</v>
      </c>
      <c r="C264" s="18" t="s">
        <v>2660</v>
      </c>
      <c r="D264" s="18" t="s">
        <v>2647</v>
      </c>
      <c r="E264" s="18" t="s">
        <v>2643</v>
      </c>
      <c r="F264" s="18" t="s">
        <v>2661</v>
      </c>
      <c r="G264" s="18" t="s">
        <v>2698</v>
      </c>
      <c r="H264" s="16">
        <v>18</v>
      </c>
      <c r="I264" s="16">
        <v>330.49</v>
      </c>
      <c r="J264" s="16">
        <v>5948.82</v>
      </c>
    </row>
    <row r="265" spans="1:10" ht="15" thickBot="1">
      <c r="A265" s="16" t="s">
        <v>2534</v>
      </c>
      <c r="B265" s="18" t="s">
        <v>2681</v>
      </c>
      <c r="C265" s="18" t="s">
        <v>2655</v>
      </c>
      <c r="D265" s="18" t="s">
        <v>2645</v>
      </c>
      <c r="E265" s="18" t="s">
        <v>2642</v>
      </c>
      <c r="F265" s="18" t="s">
        <v>2372</v>
      </c>
      <c r="G265" s="18" t="s">
        <v>2690</v>
      </c>
      <c r="H265" s="16">
        <v>8</v>
      </c>
      <c r="I265" s="16">
        <v>4775.74</v>
      </c>
      <c r="J265" s="16">
        <v>38205.919999999998</v>
      </c>
    </row>
    <row r="266" spans="1:10" ht="15" thickBot="1">
      <c r="A266" s="16" t="s">
        <v>2442</v>
      </c>
      <c r="B266" s="18" t="s">
        <v>2687</v>
      </c>
      <c r="C266" s="18" t="s">
        <v>2657</v>
      </c>
      <c r="D266" s="18" t="s">
        <v>2648</v>
      </c>
      <c r="E266" s="18" t="s">
        <v>2641</v>
      </c>
      <c r="F266" s="18" t="s">
        <v>2374</v>
      </c>
      <c r="G266" s="18" t="s">
        <v>2692</v>
      </c>
      <c r="H266" s="16">
        <v>16</v>
      </c>
      <c r="I266" s="16">
        <v>2329.86</v>
      </c>
      <c r="J266" s="16">
        <v>37277.760000000002</v>
      </c>
    </row>
    <row r="267" spans="1:10" ht="15" thickBot="1">
      <c r="A267" s="16" t="s">
        <v>2609</v>
      </c>
      <c r="B267" s="18" t="s">
        <v>2679</v>
      </c>
      <c r="C267" s="18" t="s">
        <v>2656</v>
      </c>
      <c r="D267" s="18" t="s">
        <v>2648</v>
      </c>
      <c r="E267" s="18" t="s">
        <v>2641</v>
      </c>
      <c r="F267" s="18" t="s">
        <v>2370</v>
      </c>
      <c r="G267" s="18" t="s">
        <v>1335</v>
      </c>
      <c r="H267" s="16">
        <v>16</v>
      </c>
      <c r="I267" s="16">
        <v>1426.64</v>
      </c>
      <c r="J267" s="16">
        <v>22826.240000000002</v>
      </c>
    </row>
    <row r="268" spans="1:10" ht="15" thickBot="1">
      <c r="A268" s="16" t="s">
        <v>2441</v>
      </c>
      <c r="B268" s="18" t="s">
        <v>2682</v>
      </c>
      <c r="C268" s="18" t="s">
        <v>2657</v>
      </c>
      <c r="D268" s="18" t="s">
        <v>2648</v>
      </c>
      <c r="E268" s="18" t="s">
        <v>2641</v>
      </c>
      <c r="F268" s="18" t="s">
        <v>2372</v>
      </c>
      <c r="G268" s="18" t="s">
        <v>2694</v>
      </c>
      <c r="H268" s="16">
        <v>8</v>
      </c>
      <c r="I268" s="16">
        <v>2663.16</v>
      </c>
      <c r="J268" s="16">
        <v>21305.279999999999</v>
      </c>
    </row>
    <row r="269" spans="1:10" ht="15" thickBot="1">
      <c r="A269" s="63">
        <v>45233</v>
      </c>
      <c r="B269" s="18" t="s">
        <v>2686</v>
      </c>
      <c r="C269" s="18" t="s">
        <v>2656</v>
      </c>
      <c r="D269" s="18" t="s">
        <v>2648</v>
      </c>
      <c r="E269" s="18" t="s">
        <v>2641</v>
      </c>
      <c r="F269" s="18" t="s">
        <v>2372</v>
      </c>
      <c r="G269" s="18" t="s">
        <v>2690</v>
      </c>
      <c r="H269" s="16">
        <v>20</v>
      </c>
      <c r="I269" s="16">
        <v>1690.56</v>
      </c>
      <c r="J269" s="16">
        <v>33811.199999999997</v>
      </c>
    </row>
    <row r="270" spans="1:10" ht="15" thickBot="1">
      <c r="A270" s="16" t="s">
        <v>2625</v>
      </c>
      <c r="B270" s="18" t="s">
        <v>2686</v>
      </c>
      <c r="C270" s="18" t="s">
        <v>2393</v>
      </c>
      <c r="D270" s="18" t="s">
        <v>2644</v>
      </c>
      <c r="E270" s="18" t="s">
        <v>2641</v>
      </c>
      <c r="F270" s="18" t="s">
        <v>2372</v>
      </c>
      <c r="G270" s="18" t="s">
        <v>2690</v>
      </c>
      <c r="H270" s="16">
        <v>1</v>
      </c>
      <c r="I270" s="16">
        <v>776.08</v>
      </c>
      <c r="J270" s="16">
        <v>776.08</v>
      </c>
    </row>
    <row r="271" spans="1:10" ht="15" thickBot="1">
      <c r="A271" s="63">
        <v>44961</v>
      </c>
      <c r="B271" s="18" t="s">
        <v>2679</v>
      </c>
      <c r="C271" s="18" t="s">
        <v>2658</v>
      </c>
      <c r="D271" s="18" t="s">
        <v>2645</v>
      </c>
      <c r="E271" s="18" t="s">
        <v>2642</v>
      </c>
      <c r="F271" s="18" t="s">
        <v>2661</v>
      </c>
      <c r="G271" s="18" t="s">
        <v>2696</v>
      </c>
      <c r="H271" s="16">
        <v>3</v>
      </c>
      <c r="I271" s="16">
        <v>1435.01</v>
      </c>
      <c r="J271" s="16">
        <v>4305.03</v>
      </c>
    </row>
    <row r="272" spans="1:10" ht="15" thickBot="1">
      <c r="A272" s="63">
        <v>45116</v>
      </c>
      <c r="B272" s="18" t="s">
        <v>2681</v>
      </c>
      <c r="C272" s="18" t="s">
        <v>2396</v>
      </c>
      <c r="D272" s="18" t="s">
        <v>2648</v>
      </c>
      <c r="E272" s="18" t="s">
        <v>2641</v>
      </c>
      <c r="F272" s="18" t="s">
        <v>2374</v>
      </c>
      <c r="G272" s="18" t="s">
        <v>2700</v>
      </c>
      <c r="H272" s="16">
        <v>16</v>
      </c>
      <c r="I272" s="16">
        <v>1473.98</v>
      </c>
      <c r="J272" s="16">
        <v>23583.68</v>
      </c>
    </row>
    <row r="273" spans="1:10" ht="15" thickBot="1">
      <c r="A273" s="63">
        <v>45057</v>
      </c>
      <c r="B273" s="18" t="s">
        <v>2686</v>
      </c>
      <c r="C273" s="18" t="s">
        <v>2652</v>
      </c>
      <c r="D273" s="18" t="s">
        <v>2647</v>
      </c>
      <c r="E273" s="18" t="s">
        <v>2643</v>
      </c>
      <c r="F273" s="18" t="s">
        <v>2373</v>
      </c>
      <c r="G273" s="18" t="s">
        <v>2697</v>
      </c>
      <c r="H273" s="16">
        <v>6</v>
      </c>
      <c r="I273" s="16">
        <v>1822.86</v>
      </c>
      <c r="J273" s="16">
        <v>10937.16</v>
      </c>
    </row>
    <row r="274" spans="1:10" ht="15" thickBot="1">
      <c r="A274" s="63">
        <v>45079</v>
      </c>
      <c r="B274" s="18" t="s">
        <v>2686</v>
      </c>
      <c r="C274" s="18" t="s">
        <v>2651</v>
      </c>
      <c r="D274" s="18" t="s">
        <v>2646</v>
      </c>
      <c r="E274" s="18" t="s">
        <v>2642</v>
      </c>
      <c r="F274" s="18" t="s">
        <v>2372</v>
      </c>
      <c r="G274" s="18" t="s">
        <v>2693</v>
      </c>
      <c r="H274" s="16">
        <v>13</v>
      </c>
      <c r="I274" s="16">
        <v>739.6</v>
      </c>
      <c r="J274" s="16">
        <v>9614.7999999999993</v>
      </c>
    </row>
    <row r="275" spans="1:10" ht="15" thickBot="1">
      <c r="A275" s="63">
        <v>45172</v>
      </c>
      <c r="B275" s="18" t="s">
        <v>2683</v>
      </c>
      <c r="C275" s="18" t="s">
        <v>2656</v>
      </c>
      <c r="D275" s="18" t="s">
        <v>2648</v>
      </c>
      <c r="E275" s="18" t="s">
        <v>2641</v>
      </c>
      <c r="F275" s="18" t="s">
        <v>2661</v>
      </c>
      <c r="G275" s="18" t="s">
        <v>2698</v>
      </c>
      <c r="H275" s="16">
        <v>11</v>
      </c>
      <c r="I275" s="16">
        <v>4209.66</v>
      </c>
      <c r="J275" s="16">
        <v>46306.26</v>
      </c>
    </row>
    <row r="276" spans="1:10" ht="15" thickBot="1">
      <c r="A276" s="63">
        <v>44929</v>
      </c>
      <c r="B276" s="18" t="s">
        <v>2679</v>
      </c>
      <c r="C276" s="18" t="s">
        <v>2655</v>
      </c>
      <c r="D276" s="18" t="s">
        <v>2645</v>
      </c>
      <c r="E276" s="18" t="s">
        <v>2642</v>
      </c>
      <c r="F276" s="18" t="s">
        <v>2370</v>
      </c>
      <c r="G276" s="18" t="s">
        <v>1336</v>
      </c>
      <c r="H276" s="16">
        <v>8</v>
      </c>
      <c r="I276" s="16">
        <v>4105.17</v>
      </c>
      <c r="J276" s="16">
        <v>32841.360000000001</v>
      </c>
    </row>
    <row r="277" spans="1:10" ht="15" thickBot="1">
      <c r="A277" s="16" t="s">
        <v>2621</v>
      </c>
      <c r="B277" s="18" t="s">
        <v>2683</v>
      </c>
      <c r="C277" s="18" t="s">
        <v>2660</v>
      </c>
      <c r="D277" s="18" t="s">
        <v>2647</v>
      </c>
      <c r="E277" s="18" t="s">
        <v>2643</v>
      </c>
      <c r="F277" s="18" t="s">
        <v>2373</v>
      </c>
      <c r="G277" s="18" t="s">
        <v>2688</v>
      </c>
      <c r="H277" s="16">
        <v>2</v>
      </c>
      <c r="I277" s="16">
        <v>4100.3999999999996</v>
      </c>
      <c r="J277" s="16">
        <v>8200.7999999999993</v>
      </c>
    </row>
    <row r="278" spans="1:10" ht="15" thickBot="1">
      <c r="A278" s="16" t="s">
        <v>2670</v>
      </c>
      <c r="B278" s="18" t="s">
        <v>2679</v>
      </c>
      <c r="C278" s="18" t="s">
        <v>2654</v>
      </c>
      <c r="D278" s="18" t="s">
        <v>2646</v>
      </c>
      <c r="E278" s="18" t="s">
        <v>2642</v>
      </c>
      <c r="F278" s="18" t="s">
        <v>2661</v>
      </c>
      <c r="G278" s="18" t="s">
        <v>2691</v>
      </c>
      <c r="H278" s="16">
        <v>20</v>
      </c>
      <c r="I278" s="16">
        <v>2295.08</v>
      </c>
      <c r="J278" s="16">
        <v>45901.599999999999</v>
      </c>
    </row>
    <row r="279" spans="1:10" ht="15" thickBot="1">
      <c r="A279" s="63">
        <v>45241</v>
      </c>
      <c r="B279" s="18" t="s">
        <v>2686</v>
      </c>
      <c r="C279" s="18" t="s">
        <v>2392</v>
      </c>
      <c r="D279" s="18" t="s">
        <v>2644</v>
      </c>
      <c r="E279" s="18" t="s">
        <v>2641</v>
      </c>
      <c r="F279" s="18" t="s">
        <v>2661</v>
      </c>
      <c r="G279" s="18" t="s">
        <v>2695</v>
      </c>
      <c r="H279" s="16">
        <v>20</v>
      </c>
      <c r="I279" s="16">
        <v>4970.33</v>
      </c>
      <c r="J279" s="16">
        <v>99406.6</v>
      </c>
    </row>
    <row r="280" spans="1:10" ht="15" thickBot="1">
      <c r="A280" s="63">
        <v>45272</v>
      </c>
      <c r="B280" s="18" t="s">
        <v>2683</v>
      </c>
      <c r="C280" s="18" t="s">
        <v>2657</v>
      </c>
      <c r="D280" s="18" t="s">
        <v>2648</v>
      </c>
      <c r="E280" s="18" t="s">
        <v>2641</v>
      </c>
      <c r="F280" s="18" t="s">
        <v>2373</v>
      </c>
      <c r="G280" s="18" t="s">
        <v>2697</v>
      </c>
      <c r="H280" s="16">
        <v>12</v>
      </c>
      <c r="I280" s="16">
        <v>3939.5</v>
      </c>
      <c r="J280" s="16">
        <v>47274</v>
      </c>
    </row>
    <row r="281" spans="1:10" ht="15" thickBot="1">
      <c r="A281" s="16" t="s">
        <v>2482</v>
      </c>
      <c r="B281" s="18" t="s">
        <v>2684</v>
      </c>
      <c r="C281" s="18" t="s">
        <v>2649</v>
      </c>
      <c r="D281" s="18" t="s">
        <v>2645</v>
      </c>
      <c r="E281" s="18" t="s">
        <v>2642</v>
      </c>
      <c r="F281" s="18" t="s">
        <v>2370</v>
      </c>
      <c r="G281" s="18" t="s">
        <v>2701</v>
      </c>
      <c r="H281" s="16">
        <v>15</v>
      </c>
      <c r="I281" s="16">
        <v>1450.75</v>
      </c>
      <c r="J281" s="16">
        <v>21761.25</v>
      </c>
    </row>
    <row r="282" spans="1:10" ht="15" thickBot="1">
      <c r="A282" s="63">
        <v>45057</v>
      </c>
      <c r="B282" s="18" t="s">
        <v>2684</v>
      </c>
      <c r="C282" s="18" t="s">
        <v>2651</v>
      </c>
      <c r="D282" s="18" t="s">
        <v>2646</v>
      </c>
      <c r="E282" s="18" t="s">
        <v>2642</v>
      </c>
      <c r="F282" s="18" t="s">
        <v>2373</v>
      </c>
      <c r="G282" s="18" t="s">
        <v>2688</v>
      </c>
      <c r="H282" s="16">
        <v>8</v>
      </c>
      <c r="I282" s="16">
        <v>3279.33</v>
      </c>
      <c r="J282" s="16">
        <v>26234.639999999999</v>
      </c>
    </row>
    <row r="283" spans="1:10" ht="15" thickBot="1">
      <c r="A283" s="16" t="s">
        <v>2489</v>
      </c>
      <c r="B283" s="18" t="s">
        <v>2686</v>
      </c>
      <c r="C283" s="18" t="s">
        <v>2393</v>
      </c>
      <c r="D283" s="18" t="s">
        <v>2644</v>
      </c>
      <c r="E283" s="18" t="s">
        <v>2641</v>
      </c>
      <c r="F283" s="18" t="s">
        <v>2372</v>
      </c>
      <c r="G283" s="18" t="s">
        <v>2694</v>
      </c>
      <c r="H283" s="16">
        <v>7</v>
      </c>
      <c r="I283" s="16">
        <v>579.91999999999996</v>
      </c>
      <c r="J283" s="16">
        <v>4059.44</v>
      </c>
    </row>
    <row r="284" spans="1:10" ht="15" thickBot="1">
      <c r="A284" s="63">
        <v>45048</v>
      </c>
      <c r="B284" s="18" t="s">
        <v>2684</v>
      </c>
      <c r="C284" s="18" t="s">
        <v>2651</v>
      </c>
      <c r="D284" s="18" t="s">
        <v>2646</v>
      </c>
      <c r="E284" s="18" t="s">
        <v>2642</v>
      </c>
      <c r="F284" s="18" t="s">
        <v>2370</v>
      </c>
      <c r="G284" s="18" t="s">
        <v>1335</v>
      </c>
      <c r="H284" s="16">
        <v>10</v>
      </c>
      <c r="I284" s="16">
        <v>2515.54</v>
      </c>
      <c r="J284" s="16">
        <v>25155.4</v>
      </c>
    </row>
    <row r="285" spans="1:10" ht="15" thickBot="1">
      <c r="A285" s="16" t="s">
        <v>2672</v>
      </c>
      <c r="B285" s="18" t="s">
        <v>2681</v>
      </c>
      <c r="C285" s="18" t="s">
        <v>2393</v>
      </c>
      <c r="D285" s="18" t="s">
        <v>2644</v>
      </c>
      <c r="E285" s="18" t="s">
        <v>2641</v>
      </c>
      <c r="F285" s="18" t="s">
        <v>2661</v>
      </c>
      <c r="G285" s="18" t="s">
        <v>2695</v>
      </c>
      <c r="H285" s="16">
        <v>10</v>
      </c>
      <c r="I285" s="16">
        <v>2976.69</v>
      </c>
      <c r="J285" s="16">
        <v>29766.9</v>
      </c>
    </row>
    <row r="286" spans="1:10" ht="15" thickBot="1">
      <c r="A286" s="16" t="s">
        <v>2580</v>
      </c>
      <c r="B286" s="18" t="s">
        <v>2681</v>
      </c>
      <c r="C286" s="18" t="s">
        <v>2654</v>
      </c>
      <c r="D286" s="18" t="s">
        <v>2646</v>
      </c>
      <c r="E286" s="18" t="s">
        <v>2642</v>
      </c>
      <c r="F286" s="18" t="s">
        <v>2661</v>
      </c>
      <c r="G286" s="18" t="s">
        <v>2698</v>
      </c>
      <c r="H286" s="16">
        <v>16</v>
      </c>
      <c r="I286" s="16">
        <v>4047.21</v>
      </c>
      <c r="J286" s="16">
        <v>64755.360000000001</v>
      </c>
    </row>
    <row r="287" spans="1:10" ht="15" thickBot="1">
      <c r="A287" s="63">
        <v>45203</v>
      </c>
      <c r="B287" s="18" t="s">
        <v>2682</v>
      </c>
      <c r="C287" s="18" t="s">
        <v>2396</v>
      </c>
      <c r="D287" s="18" t="s">
        <v>2648</v>
      </c>
      <c r="E287" s="18" t="s">
        <v>2641</v>
      </c>
      <c r="F287" s="18" t="s">
        <v>2661</v>
      </c>
      <c r="G287" s="18" t="s">
        <v>2696</v>
      </c>
      <c r="H287" s="16">
        <v>18</v>
      </c>
      <c r="I287" s="16">
        <v>2825.07</v>
      </c>
      <c r="J287" s="16">
        <v>50851.26</v>
      </c>
    </row>
    <row r="288" spans="1:10" ht="15" thickBot="1">
      <c r="A288" s="16" t="s">
        <v>2629</v>
      </c>
      <c r="B288" s="18" t="s">
        <v>2683</v>
      </c>
      <c r="C288" s="18" t="s">
        <v>2650</v>
      </c>
      <c r="D288" s="18" t="s">
        <v>2646</v>
      </c>
      <c r="E288" s="18" t="s">
        <v>2642</v>
      </c>
      <c r="F288" s="18" t="s">
        <v>2372</v>
      </c>
      <c r="G288" s="18" t="s">
        <v>2699</v>
      </c>
      <c r="H288" s="16">
        <v>13</v>
      </c>
      <c r="I288" s="16">
        <v>1406.82</v>
      </c>
      <c r="J288" s="16">
        <v>18288.66</v>
      </c>
    </row>
    <row r="289" spans="1:10" ht="15" thickBot="1">
      <c r="A289" s="16" t="s">
        <v>2591</v>
      </c>
      <c r="B289" s="18" t="s">
        <v>2687</v>
      </c>
      <c r="C289" s="18" t="s">
        <v>2653</v>
      </c>
      <c r="D289" s="18" t="s">
        <v>2644</v>
      </c>
      <c r="E289" s="18" t="s">
        <v>2641</v>
      </c>
      <c r="F289" s="18" t="s">
        <v>2374</v>
      </c>
      <c r="G289" s="18" t="s">
        <v>2704</v>
      </c>
      <c r="H289" s="16">
        <v>16</v>
      </c>
      <c r="I289" s="16">
        <v>1090.18</v>
      </c>
      <c r="J289" s="16">
        <v>17442.88</v>
      </c>
    </row>
    <row r="290" spans="1:10" ht="15" thickBot="1">
      <c r="A290" s="63">
        <v>44987</v>
      </c>
      <c r="B290" s="18" t="s">
        <v>2685</v>
      </c>
      <c r="C290" s="18" t="s">
        <v>2652</v>
      </c>
      <c r="D290" s="18" t="s">
        <v>2647</v>
      </c>
      <c r="E290" s="18" t="s">
        <v>2643</v>
      </c>
      <c r="F290" s="18" t="s">
        <v>2370</v>
      </c>
      <c r="G290" s="18" t="s">
        <v>2701</v>
      </c>
      <c r="H290" s="16">
        <v>12</v>
      </c>
      <c r="I290" s="16">
        <v>3696.43</v>
      </c>
      <c r="J290" s="16">
        <v>44357.16</v>
      </c>
    </row>
    <row r="291" spans="1:10" ht="15" thickBot="1">
      <c r="A291" s="63">
        <v>45180</v>
      </c>
      <c r="B291" s="18" t="s">
        <v>2681</v>
      </c>
      <c r="C291" s="18" t="s">
        <v>2655</v>
      </c>
      <c r="D291" s="18" t="s">
        <v>2645</v>
      </c>
      <c r="E291" s="18" t="s">
        <v>2642</v>
      </c>
      <c r="F291" s="18" t="s">
        <v>2370</v>
      </c>
      <c r="G291" s="18" t="s">
        <v>2701</v>
      </c>
      <c r="H291" s="16">
        <v>7</v>
      </c>
      <c r="I291" s="16">
        <v>4535.1400000000003</v>
      </c>
      <c r="J291" s="16">
        <v>31745.98</v>
      </c>
    </row>
    <row r="292" spans="1:10" ht="15" thickBot="1">
      <c r="A292" s="63">
        <v>44968</v>
      </c>
      <c r="B292" s="18" t="s">
        <v>2682</v>
      </c>
      <c r="C292" s="18" t="s">
        <v>2654</v>
      </c>
      <c r="D292" s="18" t="s">
        <v>2646</v>
      </c>
      <c r="E292" s="18" t="s">
        <v>2642</v>
      </c>
      <c r="F292" s="18" t="s">
        <v>2661</v>
      </c>
      <c r="G292" s="18" t="s">
        <v>2698</v>
      </c>
      <c r="H292" s="16">
        <v>3</v>
      </c>
      <c r="I292" s="16">
        <v>4931.6899999999996</v>
      </c>
      <c r="J292" s="16">
        <v>14795.07</v>
      </c>
    </row>
    <row r="293" spans="1:10" ht="15" thickBot="1">
      <c r="A293" s="16" t="s">
        <v>2537</v>
      </c>
      <c r="B293" s="18" t="s">
        <v>2687</v>
      </c>
      <c r="C293" s="18" t="s">
        <v>2659</v>
      </c>
      <c r="D293" s="18" t="s">
        <v>2647</v>
      </c>
      <c r="E293" s="18" t="s">
        <v>2643</v>
      </c>
      <c r="F293" s="18" t="s">
        <v>2661</v>
      </c>
      <c r="G293" s="18" t="s">
        <v>2691</v>
      </c>
      <c r="H293" s="16">
        <v>16</v>
      </c>
      <c r="I293" s="16">
        <v>3263.65</v>
      </c>
      <c r="J293" s="16">
        <v>52218.400000000001</v>
      </c>
    </row>
    <row r="294" spans="1:10" ht="15" thickBot="1">
      <c r="A294" s="16" t="s">
        <v>2488</v>
      </c>
      <c r="B294" s="18" t="s">
        <v>2680</v>
      </c>
      <c r="C294" s="18" t="s">
        <v>2392</v>
      </c>
      <c r="D294" s="18" t="s">
        <v>2644</v>
      </c>
      <c r="E294" s="18" t="s">
        <v>2641</v>
      </c>
      <c r="F294" s="18" t="s">
        <v>2374</v>
      </c>
      <c r="G294" s="18" t="s">
        <v>2700</v>
      </c>
      <c r="H294" s="16">
        <v>17</v>
      </c>
      <c r="I294" s="16">
        <v>4083.07</v>
      </c>
      <c r="J294" s="16">
        <v>69412.19</v>
      </c>
    </row>
    <row r="295" spans="1:10" ht="15" thickBot="1">
      <c r="A295" s="16" t="s">
        <v>2536</v>
      </c>
      <c r="B295" s="18" t="s">
        <v>2684</v>
      </c>
      <c r="C295" s="18" t="s">
        <v>2393</v>
      </c>
      <c r="D295" s="18" t="s">
        <v>2644</v>
      </c>
      <c r="E295" s="18" t="s">
        <v>2641</v>
      </c>
      <c r="F295" s="18" t="s">
        <v>2374</v>
      </c>
      <c r="G295" s="18" t="s">
        <v>2689</v>
      </c>
      <c r="H295" s="16">
        <v>12</v>
      </c>
      <c r="I295" s="16">
        <v>528.69000000000005</v>
      </c>
      <c r="J295" s="16">
        <v>6344.28</v>
      </c>
    </row>
    <row r="296" spans="1:10" ht="15" thickBot="1">
      <c r="A296" s="63">
        <v>45024</v>
      </c>
      <c r="B296" s="18" t="s">
        <v>2686</v>
      </c>
      <c r="C296" s="18" t="s">
        <v>2651</v>
      </c>
      <c r="D296" s="18" t="s">
        <v>2646</v>
      </c>
      <c r="E296" s="18" t="s">
        <v>2642</v>
      </c>
      <c r="F296" s="18" t="s">
        <v>2370</v>
      </c>
      <c r="G296" s="18" t="s">
        <v>2702</v>
      </c>
      <c r="H296" s="16">
        <v>8</v>
      </c>
      <c r="I296" s="16">
        <v>528.92999999999995</v>
      </c>
      <c r="J296" s="16">
        <v>4231.4399999999996</v>
      </c>
    </row>
    <row r="297" spans="1:10" ht="15" thickBot="1">
      <c r="A297" s="63">
        <v>45268</v>
      </c>
      <c r="B297" s="18" t="s">
        <v>2678</v>
      </c>
      <c r="C297" s="18" t="s">
        <v>2392</v>
      </c>
      <c r="D297" s="18" t="s">
        <v>2644</v>
      </c>
      <c r="E297" s="18" t="s">
        <v>2641</v>
      </c>
      <c r="F297" s="18" t="s">
        <v>2661</v>
      </c>
      <c r="G297" s="18" t="s">
        <v>2691</v>
      </c>
      <c r="H297" s="16">
        <v>11</v>
      </c>
      <c r="I297" s="16">
        <v>1749.31</v>
      </c>
      <c r="J297" s="16">
        <v>19242.41</v>
      </c>
    </row>
    <row r="298" spans="1:10" ht="15" thickBot="1">
      <c r="A298" s="63">
        <v>44969</v>
      </c>
      <c r="B298" s="18" t="s">
        <v>2678</v>
      </c>
      <c r="C298" s="18" t="s">
        <v>2653</v>
      </c>
      <c r="D298" s="18" t="s">
        <v>2644</v>
      </c>
      <c r="E298" s="18" t="s">
        <v>2641</v>
      </c>
      <c r="F298" s="18" t="s">
        <v>2374</v>
      </c>
      <c r="G298" s="18" t="s">
        <v>2689</v>
      </c>
      <c r="H298" s="16">
        <v>11</v>
      </c>
      <c r="I298" s="16">
        <v>2635.95</v>
      </c>
      <c r="J298" s="16">
        <v>28995.45</v>
      </c>
    </row>
    <row r="299" spans="1:10" ht="15" thickBot="1">
      <c r="A299" s="16" t="s">
        <v>2509</v>
      </c>
      <c r="B299" s="18" t="s">
        <v>2683</v>
      </c>
      <c r="C299" s="18" t="s">
        <v>2653</v>
      </c>
      <c r="D299" s="18" t="s">
        <v>2644</v>
      </c>
      <c r="E299" s="18" t="s">
        <v>2641</v>
      </c>
      <c r="F299" s="18" t="s">
        <v>2661</v>
      </c>
      <c r="G299" s="18" t="s">
        <v>2691</v>
      </c>
      <c r="H299" s="16">
        <v>6</v>
      </c>
      <c r="I299" s="16">
        <v>2850.31</v>
      </c>
      <c r="J299" s="16">
        <v>17101.86</v>
      </c>
    </row>
    <row r="300" spans="1:10" ht="15" thickBot="1">
      <c r="A300" s="16" t="s">
        <v>2493</v>
      </c>
      <c r="B300" s="18" t="s">
        <v>2687</v>
      </c>
      <c r="C300" s="18" t="s">
        <v>2658</v>
      </c>
      <c r="D300" s="18" t="s">
        <v>2645</v>
      </c>
      <c r="E300" s="18" t="s">
        <v>2642</v>
      </c>
      <c r="F300" s="18" t="s">
        <v>2370</v>
      </c>
      <c r="G300" s="18" t="s">
        <v>1336</v>
      </c>
      <c r="H300" s="16">
        <v>5</v>
      </c>
      <c r="I300" s="16">
        <v>1413.03</v>
      </c>
      <c r="J300" s="16">
        <v>7065.15</v>
      </c>
    </row>
    <row r="301" spans="1:10" ht="15" thickBot="1">
      <c r="A301" s="16" t="s">
        <v>2581</v>
      </c>
      <c r="B301" s="18" t="s">
        <v>2682</v>
      </c>
      <c r="C301" s="18" t="s">
        <v>2393</v>
      </c>
      <c r="D301" s="18" t="s">
        <v>2644</v>
      </c>
      <c r="E301" s="18" t="s">
        <v>2641</v>
      </c>
      <c r="F301" s="18" t="s">
        <v>2370</v>
      </c>
      <c r="G301" s="18" t="s">
        <v>2701</v>
      </c>
      <c r="H301" s="16">
        <v>14</v>
      </c>
      <c r="I301" s="16">
        <v>4541.87</v>
      </c>
      <c r="J301" s="16">
        <v>63586.18</v>
      </c>
    </row>
    <row r="302" spans="1:10" ht="15" thickBot="1">
      <c r="A302" s="16" t="s">
        <v>2575</v>
      </c>
      <c r="B302" s="18" t="s">
        <v>2682</v>
      </c>
      <c r="C302" s="18" t="s">
        <v>2660</v>
      </c>
      <c r="D302" s="18" t="s">
        <v>2647</v>
      </c>
      <c r="E302" s="18" t="s">
        <v>2643</v>
      </c>
      <c r="F302" s="18" t="s">
        <v>2372</v>
      </c>
      <c r="G302" s="18" t="s">
        <v>2694</v>
      </c>
      <c r="H302" s="16">
        <v>5</v>
      </c>
      <c r="I302" s="16">
        <v>3395.71</v>
      </c>
      <c r="J302" s="16">
        <v>16978.55</v>
      </c>
    </row>
    <row r="303" spans="1:10" ht="15" thickBot="1">
      <c r="A303" s="63">
        <v>45118</v>
      </c>
      <c r="B303" s="18" t="s">
        <v>2681</v>
      </c>
      <c r="C303" s="18" t="s">
        <v>2656</v>
      </c>
      <c r="D303" s="18" t="s">
        <v>2648</v>
      </c>
      <c r="E303" s="18" t="s">
        <v>2641</v>
      </c>
      <c r="F303" s="18" t="s">
        <v>2374</v>
      </c>
      <c r="G303" s="18" t="s">
        <v>2700</v>
      </c>
      <c r="H303" s="16">
        <v>2</v>
      </c>
      <c r="I303" s="16">
        <v>4050.46</v>
      </c>
      <c r="J303" s="16">
        <v>8100.92</v>
      </c>
    </row>
    <row r="304" spans="1:10" ht="15" thickBot="1">
      <c r="A304" s="63">
        <v>44993</v>
      </c>
      <c r="B304" s="18" t="s">
        <v>2685</v>
      </c>
      <c r="C304" s="18" t="s">
        <v>2657</v>
      </c>
      <c r="D304" s="18" t="s">
        <v>2648</v>
      </c>
      <c r="E304" s="18" t="s">
        <v>2641</v>
      </c>
      <c r="F304" s="18" t="s">
        <v>2372</v>
      </c>
      <c r="G304" s="18" t="s">
        <v>2690</v>
      </c>
      <c r="H304" s="16">
        <v>6</v>
      </c>
      <c r="I304" s="16">
        <v>3617.81</v>
      </c>
      <c r="J304" s="16">
        <v>21706.86</v>
      </c>
    </row>
    <row r="305" spans="1:10" ht="15" thickBot="1">
      <c r="A305" s="16" t="s">
        <v>2539</v>
      </c>
      <c r="B305" s="18" t="s">
        <v>2681</v>
      </c>
      <c r="C305" s="18" t="s">
        <v>2654</v>
      </c>
      <c r="D305" s="18" t="s">
        <v>2646</v>
      </c>
      <c r="E305" s="18" t="s">
        <v>2642</v>
      </c>
      <c r="F305" s="18" t="s">
        <v>2661</v>
      </c>
      <c r="G305" s="18" t="s">
        <v>2695</v>
      </c>
      <c r="H305" s="16">
        <v>11</v>
      </c>
      <c r="I305" s="16">
        <v>1527.71</v>
      </c>
      <c r="J305" s="16">
        <v>16804.810000000001</v>
      </c>
    </row>
    <row r="306" spans="1:10" ht="15" thickBot="1">
      <c r="A306" s="63">
        <v>45079</v>
      </c>
      <c r="B306" s="18" t="s">
        <v>2685</v>
      </c>
      <c r="C306" s="18" t="s">
        <v>2652</v>
      </c>
      <c r="D306" s="18" t="s">
        <v>2647</v>
      </c>
      <c r="E306" s="18" t="s">
        <v>2643</v>
      </c>
      <c r="F306" s="18" t="s">
        <v>2370</v>
      </c>
      <c r="G306" s="18" t="s">
        <v>2702</v>
      </c>
      <c r="H306" s="16">
        <v>7</v>
      </c>
      <c r="I306" s="16">
        <v>1420.32</v>
      </c>
      <c r="J306" s="16">
        <v>9942.24</v>
      </c>
    </row>
    <row r="307" spans="1:10" ht="15" thickBot="1">
      <c r="A307" s="16" t="s">
        <v>2497</v>
      </c>
      <c r="B307" s="18" t="s">
        <v>2682</v>
      </c>
      <c r="C307" s="18" t="s">
        <v>2651</v>
      </c>
      <c r="D307" s="18" t="s">
        <v>2646</v>
      </c>
      <c r="E307" s="18" t="s">
        <v>2642</v>
      </c>
      <c r="F307" s="18" t="s">
        <v>2370</v>
      </c>
      <c r="G307" s="18" t="s">
        <v>1335</v>
      </c>
      <c r="H307" s="16">
        <v>17</v>
      </c>
      <c r="I307" s="16">
        <v>1336.86</v>
      </c>
      <c r="J307" s="16">
        <v>22726.62</v>
      </c>
    </row>
    <row r="308" spans="1:10" ht="15" thickBot="1">
      <c r="A308" s="63">
        <v>45200</v>
      </c>
      <c r="B308" s="18" t="s">
        <v>2678</v>
      </c>
      <c r="C308" s="18" t="s">
        <v>2657</v>
      </c>
      <c r="D308" s="18" t="s">
        <v>2648</v>
      </c>
      <c r="E308" s="18" t="s">
        <v>2641</v>
      </c>
      <c r="F308" s="18" t="s">
        <v>2372</v>
      </c>
      <c r="G308" s="18" t="s">
        <v>2690</v>
      </c>
      <c r="H308" s="16">
        <v>15</v>
      </c>
      <c r="I308" s="16">
        <v>359.4</v>
      </c>
      <c r="J308" s="16">
        <v>5391</v>
      </c>
    </row>
    <row r="309" spans="1:10" ht="15" thickBot="1">
      <c r="A309" s="16" t="s">
        <v>2587</v>
      </c>
      <c r="B309" s="18" t="s">
        <v>2686</v>
      </c>
      <c r="C309" s="18" t="s">
        <v>2652</v>
      </c>
      <c r="D309" s="18" t="s">
        <v>2647</v>
      </c>
      <c r="E309" s="18" t="s">
        <v>2643</v>
      </c>
      <c r="F309" s="18" t="s">
        <v>2373</v>
      </c>
      <c r="G309" s="18" t="s">
        <v>2705</v>
      </c>
      <c r="H309" s="16">
        <v>6</v>
      </c>
      <c r="I309" s="16">
        <v>4109.0200000000004</v>
      </c>
      <c r="J309" s="16">
        <v>24654.12</v>
      </c>
    </row>
    <row r="310" spans="1:10" ht="15" thickBot="1">
      <c r="A310" s="63">
        <v>45140</v>
      </c>
      <c r="B310" s="18" t="s">
        <v>2680</v>
      </c>
      <c r="C310" s="18" t="s">
        <v>2658</v>
      </c>
      <c r="D310" s="18" t="s">
        <v>2645</v>
      </c>
      <c r="E310" s="18" t="s">
        <v>2642</v>
      </c>
      <c r="F310" s="18" t="s">
        <v>2373</v>
      </c>
      <c r="G310" s="18" t="s">
        <v>2688</v>
      </c>
      <c r="H310" s="16">
        <v>12</v>
      </c>
      <c r="I310" s="16">
        <v>3700.23</v>
      </c>
      <c r="J310" s="16">
        <v>44402.76</v>
      </c>
    </row>
    <row r="311" spans="1:10" ht="15" thickBot="1">
      <c r="A311" s="16" t="s">
        <v>2543</v>
      </c>
      <c r="B311" s="18" t="s">
        <v>2681</v>
      </c>
      <c r="C311" s="18" t="s">
        <v>2651</v>
      </c>
      <c r="D311" s="18" t="s">
        <v>2646</v>
      </c>
      <c r="E311" s="18" t="s">
        <v>2642</v>
      </c>
      <c r="F311" s="18" t="s">
        <v>2373</v>
      </c>
      <c r="G311" s="18" t="s">
        <v>2705</v>
      </c>
      <c r="H311" s="16">
        <v>5</v>
      </c>
      <c r="I311" s="16">
        <v>221.41</v>
      </c>
      <c r="J311" s="16">
        <v>1107.05</v>
      </c>
    </row>
    <row r="312" spans="1:10" ht="15" thickBot="1">
      <c r="A312" s="16" t="s">
        <v>2632</v>
      </c>
      <c r="B312" s="18" t="s">
        <v>2686</v>
      </c>
      <c r="C312" s="18" t="s">
        <v>2655</v>
      </c>
      <c r="D312" s="18" t="s">
        <v>2645</v>
      </c>
      <c r="E312" s="18" t="s">
        <v>2642</v>
      </c>
      <c r="F312" s="18" t="s">
        <v>2372</v>
      </c>
      <c r="G312" s="18" t="s">
        <v>2690</v>
      </c>
      <c r="H312" s="16">
        <v>12</v>
      </c>
      <c r="I312" s="16">
        <v>4446.1499999999996</v>
      </c>
      <c r="J312" s="16">
        <v>53353.8</v>
      </c>
    </row>
    <row r="313" spans="1:10" ht="15" thickBot="1">
      <c r="A313" s="63">
        <v>45145</v>
      </c>
      <c r="B313" s="18" t="s">
        <v>2682</v>
      </c>
      <c r="C313" s="18" t="s">
        <v>2655</v>
      </c>
      <c r="D313" s="18" t="s">
        <v>2645</v>
      </c>
      <c r="E313" s="18" t="s">
        <v>2642</v>
      </c>
      <c r="F313" s="18" t="s">
        <v>2661</v>
      </c>
      <c r="G313" s="18" t="s">
        <v>2691</v>
      </c>
      <c r="H313" s="16">
        <v>12</v>
      </c>
      <c r="I313" s="16">
        <v>2393.9699999999998</v>
      </c>
      <c r="J313" s="16">
        <v>28727.64</v>
      </c>
    </row>
    <row r="314" spans="1:10" ht="15" thickBot="1">
      <c r="A314" s="63">
        <v>45266</v>
      </c>
      <c r="B314" s="18" t="s">
        <v>2683</v>
      </c>
      <c r="C314" s="18" t="s">
        <v>2660</v>
      </c>
      <c r="D314" s="18" t="s">
        <v>2647</v>
      </c>
      <c r="E314" s="18" t="s">
        <v>2643</v>
      </c>
      <c r="F314" s="18" t="s">
        <v>2661</v>
      </c>
      <c r="G314" s="18" t="s">
        <v>2696</v>
      </c>
      <c r="H314" s="16">
        <v>7</v>
      </c>
      <c r="I314" s="16">
        <v>256.57</v>
      </c>
      <c r="J314" s="16">
        <v>1795.99</v>
      </c>
    </row>
    <row r="315" spans="1:10" ht="15" thickBot="1">
      <c r="A315" s="16" t="s">
        <v>2564</v>
      </c>
      <c r="B315" s="18" t="s">
        <v>2686</v>
      </c>
      <c r="C315" s="18" t="s">
        <v>2650</v>
      </c>
      <c r="D315" s="18" t="s">
        <v>2646</v>
      </c>
      <c r="E315" s="18" t="s">
        <v>2642</v>
      </c>
      <c r="F315" s="18" t="s">
        <v>2372</v>
      </c>
      <c r="G315" s="18" t="s">
        <v>2699</v>
      </c>
      <c r="H315" s="16">
        <v>9</v>
      </c>
      <c r="I315" s="16">
        <v>4218.3599999999997</v>
      </c>
      <c r="J315" s="16">
        <v>37965.24</v>
      </c>
    </row>
    <row r="316" spans="1:10" ht="15" thickBot="1">
      <c r="A316" s="16" t="s">
        <v>2555</v>
      </c>
      <c r="B316" s="18" t="s">
        <v>2682</v>
      </c>
      <c r="C316" s="18" t="s">
        <v>2660</v>
      </c>
      <c r="D316" s="18" t="s">
        <v>2647</v>
      </c>
      <c r="E316" s="18" t="s">
        <v>2643</v>
      </c>
      <c r="F316" s="18" t="s">
        <v>2372</v>
      </c>
      <c r="G316" s="18" t="s">
        <v>2693</v>
      </c>
      <c r="H316" s="16">
        <v>8</v>
      </c>
      <c r="I316" s="16">
        <v>4930.67</v>
      </c>
      <c r="J316" s="16">
        <v>39445.360000000001</v>
      </c>
    </row>
    <row r="317" spans="1:10" ht="15" thickBot="1">
      <c r="A317" s="16" t="s">
        <v>2513</v>
      </c>
      <c r="B317" s="18" t="s">
        <v>2679</v>
      </c>
      <c r="C317" s="18" t="s">
        <v>2651</v>
      </c>
      <c r="D317" s="18" t="s">
        <v>2646</v>
      </c>
      <c r="E317" s="18" t="s">
        <v>2642</v>
      </c>
      <c r="F317" s="18" t="s">
        <v>2372</v>
      </c>
      <c r="G317" s="18" t="s">
        <v>2693</v>
      </c>
      <c r="H317" s="16">
        <v>2</v>
      </c>
      <c r="I317" s="16">
        <v>1264.68</v>
      </c>
      <c r="J317" s="16">
        <v>2529.36</v>
      </c>
    </row>
    <row r="318" spans="1:10" ht="15" thickBot="1">
      <c r="A318" s="63">
        <v>45113</v>
      </c>
      <c r="B318" s="18" t="s">
        <v>2678</v>
      </c>
      <c r="C318" s="18" t="s">
        <v>2393</v>
      </c>
      <c r="D318" s="18" t="s">
        <v>2644</v>
      </c>
      <c r="E318" s="18" t="s">
        <v>2641</v>
      </c>
      <c r="F318" s="18" t="s">
        <v>2374</v>
      </c>
      <c r="G318" s="18" t="s">
        <v>2692</v>
      </c>
      <c r="H318" s="16">
        <v>16</v>
      </c>
      <c r="I318" s="16">
        <v>2192.7399999999998</v>
      </c>
      <c r="J318" s="16">
        <v>35083.839999999997</v>
      </c>
    </row>
    <row r="319" spans="1:10" ht="15" thickBot="1">
      <c r="A319" s="16" t="s">
        <v>2506</v>
      </c>
      <c r="B319" s="18" t="s">
        <v>2679</v>
      </c>
      <c r="C319" s="18" t="s">
        <v>2393</v>
      </c>
      <c r="D319" s="18" t="s">
        <v>2644</v>
      </c>
      <c r="E319" s="18" t="s">
        <v>2641</v>
      </c>
      <c r="F319" s="18" t="s">
        <v>2661</v>
      </c>
      <c r="G319" s="18" t="s">
        <v>2695</v>
      </c>
      <c r="H319" s="16">
        <v>14</v>
      </c>
      <c r="I319" s="16">
        <v>3943.42</v>
      </c>
      <c r="J319" s="16">
        <v>55207.88</v>
      </c>
    </row>
    <row r="320" spans="1:10" ht="15" thickBot="1">
      <c r="A320" s="63">
        <v>44994</v>
      </c>
      <c r="B320" s="18" t="s">
        <v>2685</v>
      </c>
      <c r="C320" s="18" t="s">
        <v>2396</v>
      </c>
      <c r="D320" s="18" t="s">
        <v>2648</v>
      </c>
      <c r="E320" s="18" t="s">
        <v>2641</v>
      </c>
      <c r="F320" s="18" t="s">
        <v>2661</v>
      </c>
      <c r="G320" s="18" t="s">
        <v>2698</v>
      </c>
      <c r="H320" s="16">
        <v>11</v>
      </c>
      <c r="I320" s="16">
        <v>2951.18</v>
      </c>
      <c r="J320" s="16">
        <v>32462.98</v>
      </c>
    </row>
    <row r="321" spans="1:10" ht="15" thickBot="1">
      <c r="A321" s="16" t="s">
        <v>2674</v>
      </c>
      <c r="B321" s="18" t="s">
        <v>2684</v>
      </c>
      <c r="C321" s="18" t="s">
        <v>2651</v>
      </c>
      <c r="D321" s="18" t="s">
        <v>2646</v>
      </c>
      <c r="E321" s="18" t="s">
        <v>2642</v>
      </c>
      <c r="F321" s="18" t="s">
        <v>2661</v>
      </c>
      <c r="G321" s="18" t="s">
        <v>2696</v>
      </c>
      <c r="H321" s="16">
        <v>11</v>
      </c>
      <c r="I321" s="16">
        <v>4325.83</v>
      </c>
      <c r="J321" s="16">
        <v>47584.13</v>
      </c>
    </row>
    <row r="322" spans="1:10" ht="15" thickBot="1">
      <c r="A322" s="16" t="s">
        <v>2505</v>
      </c>
      <c r="B322" s="18" t="s">
        <v>2684</v>
      </c>
      <c r="C322" s="18" t="s">
        <v>2396</v>
      </c>
      <c r="D322" s="18" t="s">
        <v>2648</v>
      </c>
      <c r="E322" s="18" t="s">
        <v>2641</v>
      </c>
      <c r="F322" s="18" t="s">
        <v>2370</v>
      </c>
      <c r="G322" s="18" t="s">
        <v>2702</v>
      </c>
      <c r="H322" s="16">
        <v>2</v>
      </c>
      <c r="I322" s="16">
        <v>1417.87</v>
      </c>
      <c r="J322" s="16">
        <v>2835.74</v>
      </c>
    </row>
    <row r="323" spans="1:10" ht="15" thickBot="1">
      <c r="A323" s="16" t="s">
        <v>2453</v>
      </c>
      <c r="B323" s="18" t="s">
        <v>2684</v>
      </c>
      <c r="C323" s="18" t="s">
        <v>2392</v>
      </c>
      <c r="D323" s="18" t="s">
        <v>2644</v>
      </c>
      <c r="E323" s="18" t="s">
        <v>2641</v>
      </c>
      <c r="F323" s="18" t="s">
        <v>2374</v>
      </c>
      <c r="G323" s="18" t="s">
        <v>2689</v>
      </c>
      <c r="H323" s="16">
        <v>13</v>
      </c>
      <c r="I323" s="16">
        <v>2511.64</v>
      </c>
      <c r="J323" s="16">
        <v>32651.32</v>
      </c>
    </row>
    <row r="324" spans="1:10" ht="15" thickBot="1">
      <c r="A324" s="63">
        <v>44931</v>
      </c>
      <c r="B324" s="18" t="s">
        <v>2685</v>
      </c>
      <c r="C324" s="18" t="s">
        <v>2392</v>
      </c>
      <c r="D324" s="18" t="s">
        <v>2644</v>
      </c>
      <c r="E324" s="18" t="s">
        <v>2641</v>
      </c>
      <c r="F324" s="18" t="s">
        <v>2373</v>
      </c>
      <c r="G324" s="18" t="s">
        <v>2688</v>
      </c>
      <c r="H324" s="16">
        <v>7</v>
      </c>
      <c r="I324" s="16">
        <v>862.76</v>
      </c>
      <c r="J324" s="16">
        <v>6039.32</v>
      </c>
    </row>
    <row r="325" spans="1:10" ht="15" thickBot="1">
      <c r="A325" s="63">
        <v>44936</v>
      </c>
      <c r="B325" s="18" t="s">
        <v>2679</v>
      </c>
      <c r="C325" s="18" t="s">
        <v>2649</v>
      </c>
      <c r="D325" s="18" t="s">
        <v>2645</v>
      </c>
      <c r="E325" s="18" t="s">
        <v>2642</v>
      </c>
      <c r="F325" s="18" t="s">
        <v>2372</v>
      </c>
      <c r="G325" s="18" t="s">
        <v>2699</v>
      </c>
      <c r="H325" s="16">
        <v>18</v>
      </c>
      <c r="I325" s="16">
        <v>1412.15</v>
      </c>
      <c r="J325" s="16">
        <v>25418.7</v>
      </c>
    </row>
    <row r="326" spans="1:10" ht="15" thickBot="1">
      <c r="A326" s="63">
        <v>45261</v>
      </c>
      <c r="B326" s="18" t="s">
        <v>2685</v>
      </c>
      <c r="C326" s="18" t="s">
        <v>2657</v>
      </c>
      <c r="D326" s="18" t="s">
        <v>2648</v>
      </c>
      <c r="E326" s="18" t="s">
        <v>2641</v>
      </c>
      <c r="F326" s="18" t="s">
        <v>2374</v>
      </c>
      <c r="G326" s="18" t="s">
        <v>2689</v>
      </c>
      <c r="H326" s="16">
        <v>6</v>
      </c>
      <c r="I326" s="16">
        <v>3295.29</v>
      </c>
      <c r="J326" s="16">
        <v>19771.740000000002</v>
      </c>
    </row>
    <row r="327" spans="1:10" ht="15" thickBot="1">
      <c r="A327" s="16" t="s">
        <v>2592</v>
      </c>
      <c r="B327" s="18" t="s">
        <v>2687</v>
      </c>
      <c r="C327" s="18" t="s">
        <v>2654</v>
      </c>
      <c r="D327" s="18" t="s">
        <v>2646</v>
      </c>
      <c r="E327" s="18" t="s">
        <v>2642</v>
      </c>
      <c r="F327" s="18" t="s">
        <v>2374</v>
      </c>
      <c r="G327" s="18" t="s">
        <v>2700</v>
      </c>
      <c r="H327" s="16">
        <v>18</v>
      </c>
      <c r="I327" s="16">
        <v>4132.6899999999996</v>
      </c>
      <c r="J327" s="16">
        <v>74388.42</v>
      </c>
    </row>
    <row r="328" spans="1:10" ht="15" thickBot="1">
      <c r="A328" s="63">
        <v>45179</v>
      </c>
      <c r="B328" s="18" t="s">
        <v>2680</v>
      </c>
      <c r="C328" s="18" t="s">
        <v>2651</v>
      </c>
      <c r="D328" s="18" t="s">
        <v>2646</v>
      </c>
      <c r="E328" s="18" t="s">
        <v>2642</v>
      </c>
      <c r="F328" s="18" t="s">
        <v>2370</v>
      </c>
      <c r="G328" s="18" t="s">
        <v>2701</v>
      </c>
      <c r="H328" s="16">
        <v>7</v>
      </c>
      <c r="I328" s="16">
        <v>1557.83</v>
      </c>
      <c r="J328" s="16">
        <v>10904.81</v>
      </c>
    </row>
    <row r="329" spans="1:10" ht="15" thickBot="1">
      <c r="A329" s="16" t="s">
        <v>2619</v>
      </c>
      <c r="B329" s="18" t="s">
        <v>2686</v>
      </c>
      <c r="C329" s="18" t="s">
        <v>2660</v>
      </c>
      <c r="D329" s="18" t="s">
        <v>2647</v>
      </c>
      <c r="E329" s="18" t="s">
        <v>2643</v>
      </c>
      <c r="F329" s="18" t="s">
        <v>2374</v>
      </c>
      <c r="G329" s="18" t="s">
        <v>2692</v>
      </c>
      <c r="H329" s="16">
        <v>7</v>
      </c>
      <c r="I329" s="16">
        <v>4673.3100000000004</v>
      </c>
      <c r="J329" s="16">
        <v>32713.17</v>
      </c>
    </row>
    <row r="330" spans="1:10" ht="15" thickBot="1">
      <c r="A330" s="16" t="s">
        <v>2469</v>
      </c>
      <c r="B330" s="18" t="s">
        <v>2680</v>
      </c>
      <c r="C330" s="18" t="s">
        <v>2392</v>
      </c>
      <c r="D330" s="18" t="s">
        <v>2644</v>
      </c>
      <c r="E330" s="18" t="s">
        <v>2641</v>
      </c>
      <c r="F330" s="18" t="s">
        <v>2661</v>
      </c>
      <c r="G330" s="18" t="s">
        <v>2698</v>
      </c>
      <c r="H330" s="16">
        <v>5</v>
      </c>
      <c r="I330" s="16">
        <v>3775.72</v>
      </c>
      <c r="J330" s="16">
        <v>18878.599999999999</v>
      </c>
    </row>
    <row r="331" spans="1:10" ht="15" thickBot="1">
      <c r="A331" s="16" t="s">
        <v>2550</v>
      </c>
      <c r="B331" s="18" t="s">
        <v>2685</v>
      </c>
      <c r="C331" s="18" t="s">
        <v>2392</v>
      </c>
      <c r="D331" s="18" t="s">
        <v>2644</v>
      </c>
      <c r="E331" s="18" t="s">
        <v>2641</v>
      </c>
      <c r="F331" s="18" t="s">
        <v>2373</v>
      </c>
      <c r="G331" s="18" t="s">
        <v>2697</v>
      </c>
      <c r="H331" s="16">
        <v>6</v>
      </c>
      <c r="I331" s="16">
        <v>3524.48</v>
      </c>
      <c r="J331" s="16">
        <v>21146.880000000001</v>
      </c>
    </row>
    <row r="332" spans="1:10" ht="15" thickBot="1">
      <c r="A332" s="16" t="s">
        <v>2529</v>
      </c>
      <c r="B332" s="18" t="s">
        <v>2681</v>
      </c>
      <c r="C332" s="18" t="s">
        <v>2396</v>
      </c>
      <c r="D332" s="18" t="s">
        <v>2648</v>
      </c>
      <c r="E332" s="18" t="s">
        <v>2641</v>
      </c>
      <c r="F332" s="18" t="s">
        <v>2370</v>
      </c>
      <c r="G332" s="18" t="s">
        <v>1336</v>
      </c>
      <c r="H332" s="16">
        <v>1</v>
      </c>
      <c r="I332" s="16">
        <v>2961.1</v>
      </c>
      <c r="J332" s="16">
        <v>2961.1</v>
      </c>
    </row>
    <row r="333" spans="1:10" ht="15" thickBot="1">
      <c r="A333" s="63">
        <v>44930</v>
      </c>
      <c r="B333" s="18" t="s">
        <v>2680</v>
      </c>
      <c r="C333" s="18" t="s">
        <v>2658</v>
      </c>
      <c r="D333" s="18" t="s">
        <v>2645</v>
      </c>
      <c r="E333" s="18" t="s">
        <v>2642</v>
      </c>
      <c r="F333" s="18" t="s">
        <v>2374</v>
      </c>
      <c r="G333" s="18" t="s">
        <v>2704</v>
      </c>
      <c r="H333" s="16">
        <v>13</v>
      </c>
      <c r="I333" s="16">
        <v>513.05999999999995</v>
      </c>
      <c r="J333" s="16">
        <v>6669.78</v>
      </c>
    </row>
    <row r="334" spans="1:10" ht="15" thickBot="1">
      <c r="A334" s="16" t="s">
        <v>2588</v>
      </c>
      <c r="B334" s="18" t="s">
        <v>2680</v>
      </c>
      <c r="C334" s="18" t="s">
        <v>2658</v>
      </c>
      <c r="D334" s="18" t="s">
        <v>2645</v>
      </c>
      <c r="E334" s="18" t="s">
        <v>2642</v>
      </c>
      <c r="F334" s="18" t="s">
        <v>2373</v>
      </c>
      <c r="G334" s="18" t="s">
        <v>2703</v>
      </c>
      <c r="H334" s="16">
        <v>3</v>
      </c>
      <c r="I334" s="16">
        <v>953.26</v>
      </c>
      <c r="J334" s="16">
        <v>2859.78</v>
      </c>
    </row>
    <row r="335" spans="1:10" ht="15" thickBot="1">
      <c r="A335" s="16" t="s">
        <v>2549</v>
      </c>
      <c r="B335" s="18" t="s">
        <v>2678</v>
      </c>
      <c r="C335" s="18" t="s">
        <v>2659</v>
      </c>
      <c r="D335" s="18" t="s">
        <v>2647</v>
      </c>
      <c r="E335" s="18" t="s">
        <v>2643</v>
      </c>
      <c r="F335" s="18" t="s">
        <v>2374</v>
      </c>
      <c r="G335" s="18" t="s">
        <v>2692</v>
      </c>
      <c r="H335" s="16">
        <v>2</v>
      </c>
      <c r="I335" s="16">
        <v>1189.6500000000001</v>
      </c>
      <c r="J335" s="16">
        <v>2379.3000000000002</v>
      </c>
    </row>
    <row r="336" spans="1:10" ht="15" thickBot="1">
      <c r="A336" s="63">
        <v>44933</v>
      </c>
      <c r="B336" s="18" t="s">
        <v>2686</v>
      </c>
      <c r="C336" s="18" t="s">
        <v>2658</v>
      </c>
      <c r="D336" s="18" t="s">
        <v>2645</v>
      </c>
      <c r="E336" s="18" t="s">
        <v>2642</v>
      </c>
      <c r="F336" s="18" t="s">
        <v>2374</v>
      </c>
      <c r="G336" s="18" t="s">
        <v>2692</v>
      </c>
      <c r="H336" s="16">
        <v>1</v>
      </c>
      <c r="I336" s="16">
        <v>1915.3</v>
      </c>
      <c r="J336" s="16">
        <v>1915.3</v>
      </c>
    </row>
    <row r="337" spans="1:10" ht="15" thickBot="1">
      <c r="A337" s="63">
        <v>45178</v>
      </c>
      <c r="B337" s="18" t="s">
        <v>2685</v>
      </c>
      <c r="C337" s="18" t="s">
        <v>2650</v>
      </c>
      <c r="D337" s="18" t="s">
        <v>2646</v>
      </c>
      <c r="E337" s="18" t="s">
        <v>2642</v>
      </c>
      <c r="F337" s="18" t="s">
        <v>2374</v>
      </c>
      <c r="G337" s="18" t="s">
        <v>2700</v>
      </c>
      <c r="H337" s="16">
        <v>8</v>
      </c>
      <c r="I337" s="16">
        <v>3927.74</v>
      </c>
      <c r="J337" s="16">
        <v>31421.919999999998</v>
      </c>
    </row>
    <row r="338" spans="1:10" ht="15" thickBot="1">
      <c r="A338" s="16" t="s">
        <v>2488</v>
      </c>
      <c r="B338" s="18" t="s">
        <v>2687</v>
      </c>
      <c r="C338" s="18" t="s">
        <v>2652</v>
      </c>
      <c r="D338" s="18" t="s">
        <v>2647</v>
      </c>
      <c r="E338" s="18" t="s">
        <v>2643</v>
      </c>
      <c r="F338" s="18" t="s">
        <v>2372</v>
      </c>
      <c r="G338" s="18" t="s">
        <v>2699</v>
      </c>
      <c r="H338" s="16">
        <v>10</v>
      </c>
      <c r="I338" s="16">
        <v>2682.33</v>
      </c>
      <c r="J338" s="16">
        <v>26823.3</v>
      </c>
    </row>
    <row r="339" spans="1:10" ht="15" thickBot="1">
      <c r="A339" s="63">
        <v>44995</v>
      </c>
      <c r="B339" s="18" t="s">
        <v>2686</v>
      </c>
      <c r="C339" s="18" t="s">
        <v>2651</v>
      </c>
      <c r="D339" s="18" t="s">
        <v>2646</v>
      </c>
      <c r="E339" s="18" t="s">
        <v>2642</v>
      </c>
      <c r="F339" s="18" t="s">
        <v>2370</v>
      </c>
      <c r="G339" s="18" t="s">
        <v>2701</v>
      </c>
      <c r="H339" s="16">
        <v>6</v>
      </c>
      <c r="I339" s="16">
        <v>4086.27</v>
      </c>
      <c r="J339" s="16">
        <v>24517.62</v>
      </c>
    </row>
    <row r="340" spans="1:10" ht="15" thickBot="1">
      <c r="A340" s="16" t="s">
        <v>2568</v>
      </c>
      <c r="B340" s="18" t="s">
        <v>2686</v>
      </c>
      <c r="C340" s="18" t="s">
        <v>2651</v>
      </c>
      <c r="D340" s="18" t="s">
        <v>2646</v>
      </c>
      <c r="E340" s="18" t="s">
        <v>2642</v>
      </c>
      <c r="F340" s="18" t="s">
        <v>2370</v>
      </c>
      <c r="G340" s="18" t="s">
        <v>1335</v>
      </c>
      <c r="H340" s="16">
        <v>8</v>
      </c>
      <c r="I340" s="16">
        <v>827.02</v>
      </c>
      <c r="J340" s="16">
        <v>6616.16</v>
      </c>
    </row>
    <row r="341" spans="1:10" ht="15" thickBot="1">
      <c r="A341" s="63">
        <v>45051</v>
      </c>
      <c r="B341" s="18" t="s">
        <v>2687</v>
      </c>
      <c r="C341" s="18" t="s">
        <v>2659</v>
      </c>
      <c r="D341" s="18" t="s">
        <v>2647</v>
      </c>
      <c r="E341" s="18" t="s">
        <v>2643</v>
      </c>
      <c r="F341" s="18" t="s">
        <v>2661</v>
      </c>
      <c r="G341" s="18" t="s">
        <v>2695</v>
      </c>
      <c r="H341" s="16">
        <v>14</v>
      </c>
      <c r="I341" s="16">
        <v>4728.4399999999996</v>
      </c>
      <c r="J341" s="16">
        <v>66198.16</v>
      </c>
    </row>
    <row r="342" spans="1:10" ht="15" thickBot="1">
      <c r="A342" s="16" t="s">
        <v>2510</v>
      </c>
      <c r="B342" s="18" t="s">
        <v>2681</v>
      </c>
      <c r="C342" s="18" t="s">
        <v>2656</v>
      </c>
      <c r="D342" s="18" t="s">
        <v>2648</v>
      </c>
      <c r="E342" s="18" t="s">
        <v>2641</v>
      </c>
      <c r="F342" s="18" t="s">
        <v>2373</v>
      </c>
      <c r="G342" s="18" t="s">
        <v>2697</v>
      </c>
      <c r="H342" s="16">
        <v>11</v>
      </c>
      <c r="I342" s="16">
        <v>575.73</v>
      </c>
      <c r="J342" s="16">
        <v>6333.03</v>
      </c>
    </row>
    <row r="343" spans="1:10" ht="15" thickBot="1">
      <c r="A343" s="16" t="s">
        <v>2675</v>
      </c>
      <c r="B343" s="18" t="s">
        <v>2680</v>
      </c>
      <c r="C343" s="18" t="s">
        <v>2393</v>
      </c>
      <c r="D343" s="18" t="s">
        <v>2644</v>
      </c>
      <c r="E343" s="18" t="s">
        <v>2641</v>
      </c>
      <c r="F343" s="18" t="s">
        <v>2373</v>
      </c>
      <c r="G343" s="18" t="s">
        <v>2697</v>
      </c>
      <c r="H343" s="16">
        <v>4</v>
      </c>
      <c r="I343" s="16">
        <v>578.35</v>
      </c>
      <c r="J343" s="16">
        <v>2313.4</v>
      </c>
    </row>
    <row r="344" spans="1:10" ht="15" thickBot="1">
      <c r="A344" s="16" t="s">
        <v>2528</v>
      </c>
      <c r="B344" s="18" t="s">
        <v>2685</v>
      </c>
      <c r="C344" s="18" t="s">
        <v>2651</v>
      </c>
      <c r="D344" s="18" t="s">
        <v>2646</v>
      </c>
      <c r="E344" s="18" t="s">
        <v>2642</v>
      </c>
      <c r="F344" s="18" t="s">
        <v>2374</v>
      </c>
      <c r="G344" s="18" t="s">
        <v>2689</v>
      </c>
      <c r="H344" s="16">
        <v>8</v>
      </c>
      <c r="I344" s="16">
        <v>3043.72</v>
      </c>
      <c r="J344" s="16">
        <v>24349.759999999998</v>
      </c>
    </row>
    <row r="345" spans="1:10" ht="15" thickBot="1">
      <c r="A345" s="16" t="s">
        <v>2564</v>
      </c>
      <c r="B345" s="18" t="s">
        <v>2682</v>
      </c>
      <c r="C345" s="18" t="s">
        <v>2649</v>
      </c>
      <c r="D345" s="18" t="s">
        <v>2645</v>
      </c>
      <c r="E345" s="18" t="s">
        <v>2642</v>
      </c>
      <c r="F345" s="18" t="s">
        <v>2373</v>
      </c>
      <c r="G345" s="18" t="s">
        <v>2688</v>
      </c>
      <c r="H345" s="16">
        <v>10</v>
      </c>
      <c r="I345" s="16">
        <v>3339.72</v>
      </c>
      <c r="J345" s="16">
        <v>33397.199999999997</v>
      </c>
    </row>
    <row r="346" spans="1:10" ht="15" thickBot="1">
      <c r="A346" s="63">
        <v>45269</v>
      </c>
      <c r="B346" s="18" t="s">
        <v>2678</v>
      </c>
      <c r="C346" s="18" t="s">
        <v>2659</v>
      </c>
      <c r="D346" s="18" t="s">
        <v>2647</v>
      </c>
      <c r="E346" s="18" t="s">
        <v>2643</v>
      </c>
      <c r="F346" s="18" t="s">
        <v>2373</v>
      </c>
      <c r="G346" s="18" t="s">
        <v>2688</v>
      </c>
      <c r="H346" s="16">
        <v>7</v>
      </c>
      <c r="I346" s="16">
        <v>2286.4</v>
      </c>
      <c r="J346" s="16">
        <v>16004.8</v>
      </c>
    </row>
    <row r="347" spans="1:10" ht="15" thickBot="1">
      <c r="A347" s="16" t="s">
        <v>2530</v>
      </c>
      <c r="B347" s="18" t="s">
        <v>2686</v>
      </c>
      <c r="C347" s="18" t="s">
        <v>2650</v>
      </c>
      <c r="D347" s="18" t="s">
        <v>2646</v>
      </c>
      <c r="E347" s="18" t="s">
        <v>2642</v>
      </c>
      <c r="F347" s="18" t="s">
        <v>2374</v>
      </c>
      <c r="G347" s="18" t="s">
        <v>2700</v>
      </c>
      <c r="H347" s="16">
        <v>6</v>
      </c>
      <c r="I347" s="16">
        <v>4862.26</v>
      </c>
      <c r="J347" s="16">
        <v>29173.56</v>
      </c>
    </row>
    <row r="348" spans="1:10" ht="15" thickBot="1">
      <c r="A348" s="16" t="s">
        <v>2455</v>
      </c>
      <c r="B348" s="18" t="s">
        <v>2684</v>
      </c>
      <c r="C348" s="18" t="s">
        <v>2655</v>
      </c>
      <c r="D348" s="18" t="s">
        <v>2645</v>
      </c>
      <c r="E348" s="18" t="s">
        <v>2642</v>
      </c>
      <c r="F348" s="18" t="s">
        <v>2370</v>
      </c>
      <c r="G348" s="18" t="s">
        <v>1336</v>
      </c>
      <c r="H348" s="16">
        <v>6</v>
      </c>
      <c r="I348" s="16">
        <v>3470.44</v>
      </c>
      <c r="J348" s="16">
        <v>20822.64</v>
      </c>
    </row>
    <row r="349" spans="1:10" ht="15" thickBot="1">
      <c r="A349" s="16" t="s">
        <v>2577</v>
      </c>
      <c r="B349" s="18" t="s">
        <v>2683</v>
      </c>
      <c r="C349" s="18" t="s">
        <v>2653</v>
      </c>
      <c r="D349" s="18" t="s">
        <v>2644</v>
      </c>
      <c r="E349" s="18" t="s">
        <v>2641</v>
      </c>
      <c r="F349" s="18" t="s">
        <v>2372</v>
      </c>
      <c r="G349" s="18" t="s">
        <v>2693</v>
      </c>
      <c r="H349" s="16">
        <v>5</v>
      </c>
      <c r="I349" s="16">
        <v>4175.13</v>
      </c>
      <c r="J349" s="16">
        <v>20875.650000000001</v>
      </c>
    </row>
    <row r="350" spans="1:10" ht="15" thickBot="1">
      <c r="A350" s="63">
        <v>45056</v>
      </c>
      <c r="B350" s="18" t="s">
        <v>2685</v>
      </c>
      <c r="C350" s="18" t="s">
        <v>2658</v>
      </c>
      <c r="D350" s="18" t="s">
        <v>2645</v>
      </c>
      <c r="E350" s="18" t="s">
        <v>2642</v>
      </c>
      <c r="F350" s="18" t="s">
        <v>2661</v>
      </c>
      <c r="G350" s="18" t="s">
        <v>2695</v>
      </c>
      <c r="H350" s="16">
        <v>16</v>
      </c>
      <c r="I350" s="16">
        <v>1880.67</v>
      </c>
      <c r="J350" s="16">
        <v>30090.720000000001</v>
      </c>
    </row>
    <row r="351" spans="1:10" ht="15" thickBot="1">
      <c r="A351" s="63">
        <v>45238</v>
      </c>
      <c r="B351" s="18" t="s">
        <v>2684</v>
      </c>
      <c r="C351" s="18" t="s">
        <v>2652</v>
      </c>
      <c r="D351" s="18" t="s">
        <v>2647</v>
      </c>
      <c r="E351" s="18" t="s">
        <v>2643</v>
      </c>
      <c r="F351" s="18" t="s">
        <v>2370</v>
      </c>
      <c r="G351" s="18" t="s">
        <v>2701</v>
      </c>
      <c r="H351" s="16">
        <v>7</v>
      </c>
      <c r="I351" s="16">
        <v>2187.71</v>
      </c>
      <c r="J351" s="16">
        <v>15313.97</v>
      </c>
    </row>
    <row r="352" spans="1:10" ht="15" thickBot="1">
      <c r="A352" s="16" t="s">
        <v>2667</v>
      </c>
      <c r="B352" s="18" t="s">
        <v>2680</v>
      </c>
      <c r="C352" s="18" t="s">
        <v>2655</v>
      </c>
      <c r="D352" s="18" t="s">
        <v>2645</v>
      </c>
      <c r="E352" s="18" t="s">
        <v>2642</v>
      </c>
      <c r="F352" s="18" t="s">
        <v>2372</v>
      </c>
      <c r="G352" s="18" t="s">
        <v>2694</v>
      </c>
      <c r="H352" s="16">
        <v>14</v>
      </c>
      <c r="I352" s="16">
        <v>1024.22</v>
      </c>
      <c r="J352" s="16">
        <v>14339.08</v>
      </c>
    </row>
    <row r="353" spans="1:10" ht="15" thickBot="1">
      <c r="A353" s="16" t="s">
        <v>2435</v>
      </c>
      <c r="B353" s="18" t="s">
        <v>2686</v>
      </c>
      <c r="C353" s="18" t="s">
        <v>2651</v>
      </c>
      <c r="D353" s="18" t="s">
        <v>2646</v>
      </c>
      <c r="E353" s="18" t="s">
        <v>2642</v>
      </c>
      <c r="F353" s="18" t="s">
        <v>2372</v>
      </c>
      <c r="G353" s="18" t="s">
        <v>2693</v>
      </c>
      <c r="H353" s="16">
        <v>17</v>
      </c>
      <c r="I353" s="16">
        <v>544.41999999999996</v>
      </c>
      <c r="J353" s="16">
        <v>9255.14</v>
      </c>
    </row>
    <row r="354" spans="1:10" ht="15" thickBot="1">
      <c r="A354" s="16" t="s">
        <v>2618</v>
      </c>
      <c r="B354" s="18" t="s">
        <v>2682</v>
      </c>
      <c r="C354" s="18" t="s">
        <v>2392</v>
      </c>
      <c r="D354" s="18" t="s">
        <v>2644</v>
      </c>
      <c r="E354" s="18" t="s">
        <v>2641</v>
      </c>
      <c r="F354" s="18" t="s">
        <v>2374</v>
      </c>
      <c r="G354" s="18" t="s">
        <v>2700</v>
      </c>
      <c r="H354" s="16">
        <v>4</v>
      </c>
      <c r="I354" s="16">
        <v>942.96</v>
      </c>
      <c r="J354" s="16">
        <v>3771.84</v>
      </c>
    </row>
    <row r="355" spans="1:10" ht="15" thickBot="1">
      <c r="A355" s="63">
        <v>45211</v>
      </c>
      <c r="B355" s="18" t="s">
        <v>2686</v>
      </c>
      <c r="C355" s="18" t="s">
        <v>2650</v>
      </c>
      <c r="D355" s="18" t="s">
        <v>2646</v>
      </c>
      <c r="E355" s="18" t="s">
        <v>2642</v>
      </c>
      <c r="F355" s="18" t="s">
        <v>2373</v>
      </c>
      <c r="G355" s="18" t="s">
        <v>2705</v>
      </c>
      <c r="H355" s="16">
        <v>12</v>
      </c>
      <c r="I355" s="16">
        <v>1799.38</v>
      </c>
      <c r="J355" s="16">
        <v>21592.560000000001</v>
      </c>
    </row>
    <row r="356" spans="1:10" ht="15" thickBot="1">
      <c r="A356" s="16" t="s">
        <v>2444</v>
      </c>
      <c r="B356" s="18" t="s">
        <v>2681</v>
      </c>
      <c r="C356" s="18" t="s">
        <v>2650</v>
      </c>
      <c r="D356" s="18" t="s">
        <v>2646</v>
      </c>
      <c r="E356" s="18" t="s">
        <v>2642</v>
      </c>
      <c r="F356" s="18" t="s">
        <v>2372</v>
      </c>
      <c r="G356" s="18" t="s">
        <v>2694</v>
      </c>
      <c r="H356" s="16">
        <v>11</v>
      </c>
      <c r="I356" s="16">
        <v>1634.39</v>
      </c>
      <c r="J356" s="16">
        <v>17978.29</v>
      </c>
    </row>
    <row r="357" spans="1:10" ht="15" thickBot="1">
      <c r="A357" s="63">
        <v>45148</v>
      </c>
      <c r="B357" s="18" t="s">
        <v>2687</v>
      </c>
      <c r="C357" s="18" t="s">
        <v>2392</v>
      </c>
      <c r="D357" s="18" t="s">
        <v>2644</v>
      </c>
      <c r="E357" s="18" t="s">
        <v>2641</v>
      </c>
      <c r="F357" s="18" t="s">
        <v>2373</v>
      </c>
      <c r="G357" s="18" t="s">
        <v>2703</v>
      </c>
      <c r="H357" s="16">
        <v>3</v>
      </c>
      <c r="I357" s="16">
        <v>2950.28</v>
      </c>
      <c r="J357" s="16">
        <v>8850.84</v>
      </c>
    </row>
    <row r="358" spans="1:10" ht="15" thickBot="1">
      <c r="A358" s="16" t="s">
        <v>2676</v>
      </c>
      <c r="B358" s="18" t="s">
        <v>2681</v>
      </c>
      <c r="C358" s="18" t="s">
        <v>2393</v>
      </c>
      <c r="D358" s="18" t="s">
        <v>2644</v>
      </c>
      <c r="E358" s="18" t="s">
        <v>2641</v>
      </c>
      <c r="F358" s="18" t="s">
        <v>2661</v>
      </c>
      <c r="G358" s="18" t="s">
        <v>2698</v>
      </c>
      <c r="H358" s="16">
        <v>10</v>
      </c>
      <c r="I358" s="16">
        <v>4788</v>
      </c>
      <c r="J358" s="16">
        <v>47880</v>
      </c>
    </row>
    <row r="359" spans="1:10" ht="15" thickBot="1">
      <c r="A359" s="16" t="s">
        <v>2618</v>
      </c>
      <c r="B359" s="18" t="s">
        <v>2679</v>
      </c>
      <c r="C359" s="18" t="s">
        <v>2654</v>
      </c>
      <c r="D359" s="18" t="s">
        <v>2646</v>
      </c>
      <c r="E359" s="18" t="s">
        <v>2642</v>
      </c>
      <c r="F359" s="18" t="s">
        <v>2373</v>
      </c>
      <c r="G359" s="18" t="s">
        <v>2697</v>
      </c>
      <c r="H359" s="16">
        <v>8</v>
      </c>
      <c r="I359" s="16">
        <v>1807.67</v>
      </c>
      <c r="J359" s="16">
        <v>14461.36</v>
      </c>
    </row>
    <row r="360" spans="1:10" ht="15" thickBot="1">
      <c r="A360" s="63">
        <v>44967</v>
      </c>
      <c r="B360" s="18" t="s">
        <v>2683</v>
      </c>
      <c r="C360" s="18" t="s">
        <v>2658</v>
      </c>
      <c r="D360" s="18" t="s">
        <v>2645</v>
      </c>
      <c r="E360" s="18" t="s">
        <v>2642</v>
      </c>
      <c r="F360" s="18" t="s">
        <v>2661</v>
      </c>
      <c r="G360" s="18" t="s">
        <v>2698</v>
      </c>
      <c r="H360" s="16">
        <v>19</v>
      </c>
      <c r="I360" s="16">
        <v>797.02</v>
      </c>
      <c r="J360" s="16">
        <v>15143.38</v>
      </c>
    </row>
    <row r="361" spans="1:10" ht="15" thickBot="1">
      <c r="A361" s="16" t="s">
        <v>2512</v>
      </c>
      <c r="B361" s="18" t="s">
        <v>2679</v>
      </c>
      <c r="C361" s="18" t="s">
        <v>2654</v>
      </c>
      <c r="D361" s="18" t="s">
        <v>2646</v>
      </c>
      <c r="E361" s="18" t="s">
        <v>2642</v>
      </c>
      <c r="F361" s="18" t="s">
        <v>2370</v>
      </c>
      <c r="G361" s="18" t="s">
        <v>2701</v>
      </c>
      <c r="H361" s="16">
        <v>2</v>
      </c>
      <c r="I361" s="16">
        <v>1195.99</v>
      </c>
      <c r="J361" s="16">
        <v>2391.98</v>
      </c>
    </row>
    <row r="362" spans="1:10" ht="15" thickBot="1">
      <c r="A362" s="63">
        <v>45082</v>
      </c>
      <c r="B362" s="18" t="s">
        <v>2685</v>
      </c>
      <c r="C362" s="18" t="s">
        <v>2396</v>
      </c>
      <c r="D362" s="18" t="s">
        <v>2648</v>
      </c>
      <c r="E362" s="18" t="s">
        <v>2641</v>
      </c>
      <c r="F362" s="18" t="s">
        <v>2372</v>
      </c>
      <c r="G362" s="18" t="s">
        <v>2699</v>
      </c>
      <c r="H362" s="16">
        <v>20</v>
      </c>
      <c r="I362" s="16">
        <v>2056.65</v>
      </c>
      <c r="J362" s="16">
        <v>41133</v>
      </c>
    </row>
    <row r="363" spans="1:10" ht="15" thickBot="1">
      <c r="A363" s="63">
        <v>45019</v>
      </c>
      <c r="B363" s="18" t="s">
        <v>2685</v>
      </c>
      <c r="C363" s="18" t="s">
        <v>2650</v>
      </c>
      <c r="D363" s="18" t="s">
        <v>2646</v>
      </c>
      <c r="E363" s="18" t="s">
        <v>2642</v>
      </c>
      <c r="F363" s="18" t="s">
        <v>2373</v>
      </c>
      <c r="G363" s="18" t="s">
        <v>2705</v>
      </c>
      <c r="H363" s="16">
        <v>16</v>
      </c>
      <c r="I363" s="16">
        <v>4817.63</v>
      </c>
      <c r="J363" s="16">
        <v>77082.080000000002</v>
      </c>
    </row>
    <row r="364" spans="1:10" ht="15" thickBot="1">
      <c r="A364" s="16" t="s">
        <v>2570</v>
      </c>
      <c r="B364" s="18" t="s">
        <v>2679</v>
      </c>
      <c r="C364" s="18" t="s">
        <v>2649</v>
      </c>
      <c r="D364" s="18" t="s">
        <v>2645</v>
      </c>
      <c r="E364" s="18" t="s">
        <v>2642</v>
      </c>
      <c r="F364" s="18" t="s">
        <v>2372</v>
      </c>
      <c r="G364" s="18" t="s">
        <v>2694</v>
      </c>
      <c r="H364" s="16">
        <v>7</v>
      </c>
      <c r="I364" s="16">
        <v>4950.24</v>
      </c>
      <c r="J364" s="16">
        <v>34651.68</v>
      </c>
    </row>
    <row r="365" spans="1:10" ht="15" thickBot="1">
      <c r="A365" s="16" t="s">
        <v>2606</v>
      </c>
      <c r="B365" s="18" t="s">
        <v>2685</v>
      </c>
      <c r="C365" s="18" t="s">
        <v>2392</v>
      </c>
      <c r="D365" s="18" t="s">
        <v>2644</v>
      </c>
      <c r="E365" s="18" t="s">
        <v>2641</v>
      </c>
      <c r="F365" s="18" t="s">
        <v>2372</v>
      </c>
      <c r="G365" s="18" t="s">
        <v>2694</v>
      </c>
      <c r="H365" s="16">
        <v>9</v>
      </c>
      <c r="I365" s="16">
        <v>2935.97</v>
      </c>
      <c r="J365" s="16">
        <v>26423.73</v>
      </c>
    </row>
    <row r="366" spans="1:10" ht="15" thickBot="1">
      <c r="A366" s="63">
        <v>45181</v>
      </c>
      <c r="B366" s="18" t="s">
        <v>2687</v>
      </c>
      <c r="C366" s="18" t="s">
        <v>2657</v>
      </c>
      <c r="D366" s="18" t="s">
        <v>2648</v>
      </c>
      <c r="E366" s="18" t="s">
        <v>2641</v>
      </c>
      <c r="F366" s="18" t="s">
        <v>2661</v>
      </c>
      <c r="G366" s="18" t="s">
        <v>2691</v>
      </c>
      <c r="H366" s="16">
        <v>9</v>
      </c>
      <c r="I366" s="16">
        <v>3560.8</v>
      </c>
      <c r="J366" s="16">
        <v>32047.200000000001</v>
      </c>
    </row>
    <row r="367" spans="1:10" ht="15" thickBot="1">
      <c r="A367" s="63">
        <v>45141</v>
      </c>
      <c r="B367" s="18" t="s">
        <v>2687</v>
      </c>
      <c r="C367" s="18" t="s">
        <v>2396</v>
      </c>
      <c r="D367" s="18" t="s">
        <v>2648</v>
      </c>
      <c r="E367" s="18" t="s">
        <v>2641</v>
      </c>
      <c r="F367" s="18" t="s">
        <v>2374</v>
      </c>
      <c r="G367" s="18" t="s">
        <v>2704</v>
      </c>
      <c r="H367" s="16">
        <v>11</v>
      </c>
      <c r="I367" s="16">
        <v>4890.92</v>
      </c>
      <c r="J367" s="16">
        <v>53800.12</v>
      </c>
    </row>
    <row r="368" spans="1:10" ht="15" thickBot="1">
      <c r="A368" s="16" t="s">
        <v>2449</v>
      </c>
      <c r="B368" s="18" t="s">
        <v>2682</v>
      </c>
      <c r="C368" s="18" t="s">
        <v>2649</v>
      </c>
      <c r="D368" s="18" t="s">
        <v>2645</v>
      </c>
      <c r="E368" s="18" t="s">
        <v>2642</v>
      </c>
      <c r="F368" s="18" t="s">
        <v>2372</v>
      </c>
      <c r="G368" s="18" t="s">
        <v>2690</v>
      </c>
      <c r="H368" s="16">
        <v>8</v>
      </c>
      <c r="I368" s="16">
        <v>4143.5600000000004</v>
      </c>
      <c r="J368" s="16">
        <v>33148.480000000003</v>
      </c>
    </row>
    <row r="369" spans="1:10" ht="15" thickBot="1">
      <c r="A369" s="16" t="s">
        <v>2633</v>
      </c>
      <c r="B369" s="18" t="s">
        <v>2686</v>
      </c>
      <c r="C369" s="18" t="s">
        <v>2650</v>
      </c>
      <c r="D369" s="18" t="s">
        <v>2646</v>
      </c>
      <c r="E369" s="18" t="s">
        <v>2642</v>
      </c>
      <c r="F369" s="18" t="s">
        <v>2661</v>
      </c>
      <c r="G369" s="18" t="s">
        <v>2698</v>
      </c>
      <c r="H369" s="16">
        <v>4</v>
      </c>
      <c r="I369" s="16">
        <v>2395.66</v>
      </c>
      <c r="J369" s="16">
        <v>9582.64</v>
      </c>
    </row>
    <row r="370" spans="1:10" ht="15" thickBot="1">
      <c r="A370" s="63">
        <v>45177</v>
      </c>
      <c r="B370" s="18" t="s">
        <v>2682</v>
      </c>
      <c r="C370" s="18" t="s">
        <v>2657</v>
      </c>
      <c r="D370" s="18" t="s">
        <v>2648</v>
      </c>
      <c r="E370" s="18" t="s">
        <v>2641</v>
      </c>
      <c r="F370" s="18" t="s">
        <v>2372</v>
      </c>
      <c r="G370" s="18" t="s">
        <v>2693</v>
      </c>
      <c r="H370" s="16">
        <v>18</v>
      </c>
      <c r="I370" s="16">
        <v>1582.02</v>
      </c>
      <c r="J370" s="16">
        <v>28476.36</v>
      </c>
    </row>
    <row r="371" spans="1:10" ht="15" thickBot="1">
      <c r="A371" s="16" t="s">
        <v>2567</v>
      </c>
      <c r="B371" s="18" t="s">
        <v>2678</v>
      </c>
      <c r="C371" s="18" t="s">
        <v>2396</v>
      </c>
      <c r="D371" s="18" t="s">
        <v>2648</v>
      </c>
      <c r="E371" s="18" t="s">
        <v>2641</v>
      </c>
      <c r="F371" s="18" t="s">
        <v>2372</v>
      </c>
      <c r="G371" s="18" t="s">
        <v>2694</v>
      </c>
      <c r="H371" s="16">
        <v>14</v>
      </c>
      <c r="I371" s="16">
        <v>3381.77</v>
      </c>
      <c r="J371" s="16">
        <v>47344.78</v>
      </c>
    </row>
    <row r="372" spans="1:10" ht="15" thickBot="1">
      <c r="A372" s="16" t="s">
        <v>2552</v>
      </c>
      <c r="B372" s="18" t="s">
        <v>2687</v>
      </c>
      <c r="C372" s="18" t="s">
        <v>2658</v>
      </c>
      <c r="D372" s="18" t="s">
        <v>2645</v>
      </c>
      <c r="E372" s="18" t="s">
        <v>2642</v>
      </c>
      <c r="F372" s="18" t="s">
        <v>2374</v>
      </c>
      <c r="G372" s="18" t="s">
        <v>2692</v>
      </c>
      <c r="H372" s="16">
        <v>16</v>
      </c>
      <c r="I372" s="16">
        <v>2580.42</v>
      </c>
      <c r="J372" s="16">
        <v>41286.720000000001</v>
      </c>
    </row>
    <row r="373" spans="1:10" ht="15" thickBot="1">
      <c r="A373" s="16" t="s">
        <v>2577</v>
      </c>
      <c r="B373" s="18" t="s">
        <v>2684</v>
      </c>
      <c r="C373" s="18" t="s">
        <v>2657</v>
      </c>
      <c r="D373" s="18" t="s">
        <v>2648</v>
      </c>
      <c r="E373" s="18" t="s">
        <v>2641</v>
      </c>
      <c r="F373" s="18" t="s">
        <v>2372</v>
      </c>
      <c r="G373" s="18" t="s">
        <v>2694</v>
      </c>
      <c r="H373" s="16">
        <v>3</v>
      </c>
      <c r="I373" s="16">
        <v>3838.25</v>
      </c>
      <c r="J373" s="16">
        <v>11514.75</v>
      </c>
    </row>
    <row r="374" spans="1:10" ht="15" thickBot="1">
      <c r="A374" s="16" t="s">
        <v>2518</v>
      </c>
      <c r="B374" s="18" t="s">
        <v>2684</v>
      </c>
      <c r="C374" s="18" t="s">
        <v>2650</v>
      </c>
      <c r="D374" s="18" t="s">
        <v>2646</v>
      </c>
      <c r="E374" s="18" t="s">
        <v>2642</v>
      </c>
      <c r="F374" s="18" t="s">
        <v>2661</v>
      </c>
      <c r="G374" s="18" t="s">
        <v>2695</v>
      </c>
      <c r="H374" s="16">
        <v>2</v>
      </c>
      <c r="I374" s="16">
        <v>591.6</v>
      </c>
      <c r="J374" s="16">
        <v>1183.2</v>
      </c>
    </row>
    <row r="375" spans="1:10" ht="15" thickBot="1">
      <c r="A375" s="16" t="s">
        <v>2617</v>
      </c>
      <c r="B375" s="18" t="s">
        <v>2680</v>
      </c>
      <c r="C375" s="18" t="s">
        <v>2652</v>
      </c>
      <c r="D375" s="18" t="s">
        <v>2647</v>
      </c>
      <c r="E375" s="18" t="s">
        <v>2643</v>
      </c>
      <c r="F375" s="18" t="s">
        <v>2372</v>
      </c>
      <c r="G375" s="18" t="s">
        <v>2694</v>
      </c>
      <c r="H375" s="16">
        <v>1</v>
      </c>
      <c r="I375" s="16">
        <v>2709.05</v>
      </c>
      <c r="J375" s="16">
        <v>2709.05</v>
      </c>
    </row>
    <row r="376" spans="1:10" ht="15" thickBot="1">
      <c r="A376" s="63">
        <v>45177</v>
      </c>
      <c r="B376" s="18" t="s">
        <v>2681</v>
      </c>
      <c r="C376" s="18" t="s">
        <v>2658</v>
      </c>
      <c r="D376" s="18" t="s">
        <v>2645</v>
      </c>
      <c r="E376" s="18" t="s">
        <v>2642</v>
      </c>
      <c r="F376" s="18" t="s">
        <v>2370</v>
      </c>
      <c r="G376" s="18" t="s">
        <v>2701</v>
      </c>
      <c r="H376" s="16">
        <v>5</v>
      </c>
      <c r="I376" s="16">
        <v>194.7</v>
      </c>
      <c r="J376" s="16">
        <v>973.5</v>
      </c>
    </row>
    <row r="377" spans="1:10" ht="15" thickBot="1">
      <c r="A377" s="16" t="s">
        <v>2442</v>
      </c>
      <c r="B377" s="18" t="s">
        <v>2680</v>
      </c>
      <c r="C377" s="18" t="s">
        <v>2396</v>
      </c>
      <c r="D377" s="18" t="s">
        <v>2648</v>
      </c>
      <c r="E377" s="18" t="s">
        <v>2641</v>
      </c>
      <c r="F377" s="18" t="s">
        <v>2374</v>
      </c>
      <c r="G377" s="18" t="s">
        <v>2692</v>
      </c>
      <c r="H377" s="16">
        <v>4</v>
      </c>
      <c r="I377" s="16">
        <v>900.33</v>
      </c>
      <c r="J377" s="16">
        <v>3601.32</v>
      </c>
    </row>
    <row r="378" spans="1:10" ht="15" thickBot="1">
      <c r="A378" s="16" t="s">
        <v>2542</v>
      </c>
      <c r="B378" s="18" t="s">
        <v>2682</v>
      </c>
      <c r="C378" s="18" t="s">
        <v>2651</v>
      </c>
      <c r="D378" s="18" t="s">
        <v>2646</v>
      </c>
      <c r="E378" s="18" t="s">
        <v>2642</v>
      </c>
      <c r="F378" s="18" t="s">
        <v>2661</v>
      </c>
      <c r="G378" s="18" t="s">
        <v>2691</v>
      </c>
      <c r="H378" s="16">
        <v>13</v>
      </c>
      <c r="I378" s="16">
        <v>3574.45</v>
      </c>
      <c r="J378" s="16">
        <v>46467.85</v>
      </c>
    </row>
    <row r="379" spans="1:10" ht="15" thickBot="1">
      <c r="A379" s="16" t="s">
        <v>2445</v>
      </c>
      <c r="B379" s="18" t="s">
        <v>2679</v>
      </c>
      <c r="C379" s="18" t="s">
        <v>2660</v>
      </c>
      <c r="D379" s="18" t="s">
        <v>2647</v>
      </c>
      <c r="E379" s="18" t="s">
        <v>2643</v>
      </c>
      <c r="F379" s="18" t="s">
        <v>2370</v>
      </c>
      <c r="G379" s="18" t="s">
        <v>1335</v>
      </c>
      <c r="H379" s="16">
        <v>20</v>
      </c>
      <c r="I379" s="16">
        <v>1637.44</v>
      </c>
      <c r="J379" s="16">
        <v>32748.799999999999</v>
      </c>
    </row>
    <row r="380" spans="1:10" ht="15" thickBot="1">
      <c r="A380" s="16" t="s">
        <v>2574</v>
      </c>
      <c r="B380" s="18" t="s">
        <v>2680</v>
      </c>
      <c r="C380" s="18" t="s">
        <v>2655</v>
      </c>
      <c r="D380" s="18" t="s">
        <v>2645</v>
      </c>
      <c r="E380" s="18" t="s">
        <v>2642</v>
      </c>
      <c r="F380" s="18" t="s">
        <v>2373</v>
      </c>
      <c r="G380" s="18" t="s">
        <v>2703</v>
      </c>
      <c r="H380" s="16">
        <v>14</v>
      </c>
      <c r="I380" s="16">
        <v>3177.8</v>
      </c>
      <c r="J380" s="16">
        <v>44489.2</v>
      </c>
    </row>
    <row r="381" spans="1:10" ht="15" thickBot="1">
      <c r="A381" s="16" t="s">
        <v>2441</v>
      </c>
      <c r="B381" s="18" t="s">
        <v>2683</v>
      </c>
      <c r="C381" s="18" t="s">
        <v>2649</v>
      </c>
      <c r="D381" s="18" t="s">
        <v>2645</v>
      </c>
      <c r="E381" s="18" t="s">
        <v>2642</v>
      </c>
      <c r="F381" s="18" t="s">
        <v>2370</v>
      </c>
      <c r="G381" s="18" t="s">
        <v>1336</v>
      </c>
      <c r="H381" s="16">
        <v>1</v>
      </c>
      <c r="I381" s="16">
        <v>3382.37</v>
      </c>
      <c r="J381" s="16">
        <v>3382.37</v>
      </c>
    </row>
    <row r="382" spans="1:10" ht="15" thickBot="1">
      <c r="A382" s="16" t="s">
        <v>2600</v>
      </c>
      <c r="B382" s="18" t="s">
        <v>2678</v>
      </c>
      <c r="C382" s="18" t="s">
        <v>2660</v>
      </c>
      <c r="D382" s="18" t="s">
        <v>2647</v>
      </c>
      <c r="E382" s="18" t="s">
        <v>2643</v>
      </c>
      <c r="F382" s="18" t="s">
        <v>2374</v>
      </c>
      <c r="G382" s="18" t="s">
        <v>2704</v>
      </c>
      <c r="H382" s="16">
        <v>19</v>
      </c>
      <c r="I382" s="16">
        <v>2816.52</v>
      </c>
      <c r="J382" s="16">
        <v>53513.88</v>
      </c>
    </row>
    <row r="383" spans="1:10" ht="15" thickBot="1">
      <c r="A383" s="16" t="s">
        <v>2506</v>
      </c>
      <c r="B383" s="18" t="s">
        <v>2678</v>
      </c>
      <c r="C383" s="18" t="s">
        <v>2652</v>
      </c>
      <c r="D383" s="18" t="s">
        <v>2647</v>
      </c>
      <c r="E383" s="18" t="s">
        <v>2643</v>
      </c>
      <c r="F383" s="18" t="s">
        <v>2661</v>
      </c>
      <c r="G383" s="18" t="s">
        <v>2696</v>
      </c>
      <c r="H383" s="16">
        <v>13</v>
      </c>
      <c r="I383" s="16">
        <v>3417.94</v>
      </c>
      <c r="J383" s="16">
        <v>44433.22</v>
      </c>
    </row>
    <row r="384" spans="1:10" ht="15" thickBot="1">
      <c r="A384" s="16" t="s">
        <v>2519</v>
      </c>
      <c r="B384" s="18" t="s">
        <v>2678</v>
      </c>
      <c r="C384" s="18" t="s">
        <v>2649</v>
      </c>
      <c r="D384" s="18" t="s">
        <v>2645</v>
      </c>
      <c r="E384" s="18" t="s">
        <v>2642</v>
      </c>
      <c r="F384" s="18" t="s">
        <v>2372</v>
      </c>
      <c r="G384" s="18" t="s">
        <v>2699</v>
      </c>
      <c r="H384" s="16">
        <v>14</v>
      </c>
      <c r="I384" s="16">
        <v>917.55</v>
      </c>
      <c r="J384" s="16">
        <v>12845.7</v>
      </c>
    </row>
    <row r="385" spans="1:10" ht="15" thickBot="1">
      <c r="A385" s="63">
        <v>45263</v>
      </c>
      <c r="B385" s="18" t="s">
        <v>2684</v>
      </c>
      <c r="C385" s="18" t="s">
        <v>2653</v>
      </c>
      <c r="D385" s="18" t="s">
        <v>2644</v>
      </c>
      <c r="E385" s="18" t="s">
        <v>2641</v>
      </c>
      <c r="F385" s="18" t="s">
        <v>2370</v>
      </c>
      <c r="G385" s="18" t="s">
        <v>1335</v>
      </c>
      <c r="H385" s="16">
        <v>1</v>
      </c>
      <c r="I385" s="16">
        <v>1598.87</v>
      </c>
      <c r="J385" s="16">
        <v>1598.87</v>
      </c>
    </row>
    <row r="386" spans="1:10" ht="15" thickBot="1">
      <c r="A386" s="63">
        <v>44936</v>
      </c>
      <c r="B386" s="18" t="s">
        <v>2684</v>
      </c>
      <c r="C386" s="18" t="s">
        <v>2660</v>
      </c>
      <c r="D386" s="18" t="s">
        <v>2647</v>
      </c>
      <c r="E386" s="18" t="s">
        <v>2643</v>
      </c>
      <c r="F386" s="18" t="s">
        <v>2373</v>
      </c>
      <c r="G386" s="18" t="s">
        <v>2688</v>
      </c>
      <c r="H386" s="16">
        <v>7</v>
      </c>
      <c r="I386" s="16">
        <v>405.27</v>
      </c>
      <c r="J386" s="16">
        <v>2836.89</v>
      </c>
    </row>
    <row r="387" spans="1:10" ht="15" thickBot="1">
      <c r="A387" s="63">
        <v>45270</v>
      </c>
      <c r="B387" s="18" t="s">
        <v>2684</v>
      </c>
      <c r="C387" s="18" t="s">
        <v>2392</v>
      </c>
      <c r="D387" s="18" t="s">
        <v>2644</v>
      </c>
      <c r="E387" s="18" t="s">
        <v>2641</v>
      </c>
      <c r="F387" s="18" t="s">
        <v>2661</v>
      </c>
      <c r="G387" s="18" t="s">
        <v>2695</v>
      </c>
      <c r="H387" s="16">
        <v>5</v>
      </c>
      <c r="I387" s="16">
        <v>2819.92</v>
      </c>
      <c r="J387" s="16">
        <v>14099.6</v>
      </c>
    </row>
    <row r="388" spans="1:10" ht="15" thickBot="1">
      <c r="A388" s="16" t="s">
        <v>2639</v>
      </c>
      <c r="B388" s="18" t="s">
        <v>2680</v>
      </c>
      <c r="C388" s="18" t="s">
        <v>2649</v>
      </c>
      <c r="D388" s="18" t="s">
        <v>2645</v>
      </c>
      <c r="E388" s="18" t="s">
        <v>2642</v>
      </c>
      <c r="F388" s="18" t="s">
        <v>2370</v>
      </c>
      <c r="G388" s="18" t="s">
        <v>1335</v>
      </c>
      <c r="H388" s="16">
        <v>7</v>
      </c>
      <c r="I388" s="16">
        <v>4023.6</v>
      </c>
      <c r="J388" s="16">
        <v>28165.200000000001</v>
      </c>
    </row>
    <row r="389" spans="1:10" ht="15" thickBot="1">
      <c r="A389" s="16" t="s">
        <v>2667</v>
      </c>
      <c r="B389" s="18" t="s">
        <v>2681</v>
      </c>
      <c r="C389" s="18" t="s">
        <v>2650</v>
      </c>
      <c r="D389" s="18" t="s">
        <v>2646</v>
      </c>
      <c r="E389" s="18" t="s">
        <v>2642</v>
      </c>
      <c r="F389" s="18" t="s">
        <v>2661</v>
      </c>
      <c r="G389" s="18" t="s">
        <v>2695</v>
      </c>
      <c r="H389" s="16">
        <v>6</v>
      </c>
      <c r="I389" s="16">
        <v>4911.79</v>
      </c>
      <c r="J389" s="16">
        <v>29470.74</v>
      </c>
    </row>
    <row r="390" spans="1:10" ht="15" thickBot="1">
      <c r="A390" s="63">
        <v>45210</v>
      </c>
      <c r="B390" s="18" t="s">
        <v>2683</v>
      </c>
      <c r="C390" s="18" t="s">
        <v>2655</v>
      </c>
      <c r="D390" s="18" t="s">
        <v>2645</v>
      </c>
      <c r="E390" s="18" t="s">
        <v>2642</v>
      </c>
      <c r="F390" s="18" t="s">
        <v>2373</v>
      </c>
      <c r="G390" s="18" t="s">
        <v>2697</v>
      </c>
      <c r="H390" s="16">
        <v>7</v>
      </c>
      <c r="I390" s="16">
        <v>2186.75</v>
      </c>
      <c r="J390" s="16">
        <v>15307.25</v>
      </c>
    </row>
    <row r="391" spans="1:10" ht="15" thickBot="1">
      <c r="A391" s="16" t="s">
        <v>2550</v>
      </c>
      <c r="B391" s="18" t="s">
        <v>2687</v>
      </c>
      <c r="C391" s="18" t="s">
        <v>2660</v>
      </c>
      <c r="D391" s="18" t="s">
        <v>2647</v>
      </c>
      <c r="E391" s="18" t="s">
        <v>2643</v>
      </c>
      <c r="F391" s="18" t="s">
        <v>2374</v>
      </c>
      <c r="G391" s="18" t="s">
        <v>2689</v>
      </c>
      <c r="H391" s="16">
        <v>9</v>
      </c>
      <c r="I391" s="16">
        <v>2304.23</v>
      </c>
      <c r="J391" s="16">
        <v>20738.07</v>
      </c>
    </row>
    <row r="392" spans="1:10" ht="15" thickBot="1">
      <c r="A392" s="63">
        <v>45021</v>
      </c>
      <c r="B392" s="18" t="s">
        <v>2683</v>
      </c>
      <c r="C392" s="18" t="s">
        <v>2392</v>
      </c>
      <c r="D392" s="18" t="s">
        <v>2644</v>
      </c>
      <c r="E392" s="18" t="s">
        <v>2641</v>
      </c>
      <c r="F392" s="18" t="s">
        <v>2370</v>
      </c>
      <c r="G392" s="18" t="s">
        <v>1336</v>
      </c>
      <c r="H392" s="16">
        <v>6</v>
      </c>
      <c r="I392" s="16">
        <v>2282.5500000000002</v>
      </c>
      <c r="J392" s="16">
        <v>13695.3</v>
      </c>
    </row>
    <row r="393" spans="1:10" ht="15" thickBot="1">
      <c r="A393" s="16" t="s">
        <v>2442</v>
      </c>
      <c r="B393" s="18" t="s">
        <v>2681</v>
      </c>
      <c r="C393" s="18" t="s">
        <v>2656</v>
      </c>
      <c r="D393" s="18" t="s">
        <v>2648</v>
      </c>
      <c r="E393" s="18" t="s">
        <v>2641</v>
      </c>
      <c r="F393" s="18" t="s">
        <v>2370</v>
      </c>
      <c r="G393" s="18" t="s">
        <v>2701</v>
      </c>
      <c r="H393" s="16">
        <v>4</v>
      </c>
      <c r="I393" s="16">
        <v>4778.2299999999996</v>
      </c>
      <c r="J393" s="16">
        <v>19112.919999999998</v>
      </c>
    </row>
    <row r="394" spans="1:10" ht="15" thickBot="1">
      <c r="A394" s="63">
        <v>44931</v>
      </c>
      <c r="B394" s="18" t="s">
        <v>2684</v>
      </c>
      <c r="C394" s="18" t="s">
        <v>2654</v>
      </c>
      <c r="D394" s="18" t="s">
        <v>2646</v>
      </c>
      <c r="E394" s="18" t="s">
        <v>2642</v>
      </c>
      <c r="F394" s="18" t="s">
        <v>2372</v>
      </c>
      <c r="G394" s="18" t="s">
        <v>2694</v>
      </c>
      <c r="H394" s="16">
        <v>11</v>
      </c>
      <c r="I394" s="16">
        <v>1286.08</v>
      </c>
      <c r="J394" s="16">
        <v>14146.88</v>
      </c>
    </row>
    <row r="395" spans="1:10" ht="15" thickBot="1">
      <c r="A395" s="16" t="s">
        <v>2553</v>
      </c>
      <c r="B395" s="18" t="s">
        <v>2685</v>
      </c>
      <c r="C395" s="18" t="s">
        <v>2393</v>
      </c>
      <c r="D395" s="18" t="s">
        <v>2644</v>
      </c>
      <c r="E395" s="18" t="s">
        <v>2641</v>
      </c>
      <c r="F395" s="18" t="s">
        <v>2370</v>
      </c>
      <c r="G395" s="18" t="s">
        <v>2702</v>
      </c>
      <c r="H395" s="16">
        <v>19</v>
      </c>
      <c r="I395" s="16">
        <v>1844.31</v>
      </c>
      <c r="J395" s="16">
        <v>35041.89</v>
      </c>
    </row>
    <row r="396" spans="1:10" ht="15" thickBot="1">
      <c r="A396" s="63">
        <v>44969</v>
      </c>
      <c r="B396" s="18" t="s">
        <v>2685</v>
      </c>
      <c r="C396" s="18" t="s">
        <v>2656</v>
      </c>
      <c r="D396" s="18" t="s">
        <v>2648</v>
      </c>
      <c r="E396" s="18" t="s">
        <v>2641</v>
      </c>
      <c r="F396" s="18" t="s">
        <v>2372</v>
      </c>
      <c r="G396" s="18" t="s">
        <v>2690</v>
      </c>
      <c r="H396" s="16">
        <v>14</v>
      </c>
      <c r="I396" s="16">
        <v>148.43</v>
      </c>
      <c r="J396" s="16">
        <v>2078.02</v>
      </c>
    </row>
    <row r="397" spans="1:10" ht="15" thickBot="1">
      <c r="A397" s="63">
        <v>45140</v>
      </c>
      <c r="B397" s="18" t="s">
        <v>2685</v>
      </c>
      <c r="C397" s="18" t="s">
        <v>2657</v>
      </c>
      <c r="D397" s="18" t="s">
        <v>2648</v>
      </c>
      <c r="E397" s="18" t="s">
        <v>2641</v>
      </c>
      <c r="F397" s="18" t="s">
        <v>2374</v>
      </c>
      <c r="G397" s="18" t="s">
        <v>2692</v>
      </c>
      <c r="H397" s="16">
        <v>3</v>
      </c>
      <c r="I397" s="16">
        <v>2502.81</v>
      </c>
      <c r="J397" s="16">
        <v>7508.43</v>
      </c>
    </row>
    <row r="398" spans="1:10" ht="15" thickBot="1">
      <c r="A398" s="63">
        <v>45082</v>
      </c>
      <c r="B398" s="18" t="s">
        <v>2687</v>
      </c>
      <c r="C398" s="18" t="s">
        <v>2656</v>
      </c>
      <c r="D398" s="18" t="s">
        <v>2648</v>
      </c>
      <c r="E398" s="18" t="s">
        <v>2641</v>
      </c>
      <c r="F398" s="18" t="s">
        <v>2373</v>
      </c>
      <c r="G398" s="18" t="s">
        <v>2697</v>
      </c>
      <c r="H398" s="16">
        <v>7</v>
      </c>
      <c r="I398" s="16">
        <v>3721.37</v>
      </c>
      <c r="J398" s="16">
        <v>26049.59</v>
      </c>
    </row>
    <row r="399" spans="1:10" ht="15" thickBot="1">
      <c r="A399" s="16" t="s">
        <v>2566</v>
      </c>
      <c r="B399" s="18" t="s">
        <v>2685</v>
      </c>
      <c r="C399" s="18" t="s">
        <v>2654</v>
      </c>
      <c r="D399" s="18" t="s">
        <v>2646</v>
      </c>
      <c r="E399" s="18" t="s">
        <v>2642</v>
      </c>
      <c r="F399" s="18" t="s">
        <v>2373</v>
      </c>
      <c r="G399" s="18" t="s">
        <v>2703</v>
      </c>
      <c r="H399" s="16">
        <v>2</v>
      </c>
      <c r="I399" s="16">
        <v>3719.83</v>
      </c>
      <c r="J399" s="16">
        <v>7439.66</v>
      </c>
    </row>
    <row r="400" spans="1:10" ht="15" thickBot="1">
      <c r="A400" s="63">
        <v>45148</v>
      </c>
      <c r="B400" s="18" t="s">
        <v>2680</v>
      </c>
      <c r="C400" s="18" t="s">
        <v>2659</v>
      </c>
      <c r="D400" s="18" t="s">
        <v>2647</v>
      </c>
      <c r="E400" s="18" t="s">
        <v>2643</v>
      </c>
      <c r="F400" s="18" t="s">
        <v>2372</v>
      </c>
      <c r="G400" s="18" t="s">
        <v>2690</v>
      </c>
      <c r="H400" s="16">
        <v>19</v>
      </c>
      <c r="I400" s="16">
        <v>2862.47</v>
      </c>
      <c r="J400" s="16">
        <v>54386.93</v>
      </c>
    </row>
    <row r="401" spans="1:10" ht="15" thickBot="1">
      <c r="A401" s="16" t="s">
        <v>2580</v>
      </c>
      <c r="B401" s="18" t="s">
        <v>2682</v>
      </c>
      <c r="C401" s="18" t="s">
        <v>2651</v>
      </c>
      <c r="D401" s="18" t="s">
        <v>2646</v>
      </c>
      <c r="E401" s="18" t="s">
        <v>2642</v>
      </c>
      <c r="F401" s="18" t="s">
        <v>2374</v>
      </c>
      <c r="G401" s="18" t="s">
        <v>2689</v>
      </c>
      <c r="H401" s="16">
        <v>5</v>
      </c>
      <c r="I401" s="16">
        <v>4715.05</v>
      </c>
      <c r="J401" s="16">
        <v>23575.25</v>
      </c>
    </row>
    <row r="402" spans="1:10" ht="15" thickBot="1">
      <c r="A402" s="16" t="s">
        <v>2581</v>
      </c>
      <c r="B402" s="18" t="s">
        <v>2680</v>
      </c>
      <c r="C402" s="18" t="s">
        <v>2652</v>
      </c>
      <c r="D402" s="18" t="s">
        <v>2647</v>
      </c>
      <c r="E402" s="18" t="s">
        <v>2643</v>
      </c>
      <c r="F402" s="18" t="s">
        <v>2661</v>
      </c>
      <c r="G402" s="18" t="s">
        <v>2696</v>
      </c>
      <c r="H402" s="16">
        <v>11</v>
      </c>
      <c r="I402" s="16">
        <v>3314</v>
      </c>
      <c r="J402" s="16">
        <v>36454</v>
      </c>
    </row>
    <row r="403" spans="1:10" ht="15" thickBot="1">
      <c r="A403" s="63">
        <v>45174</v>
      </c>
      <c r="B403" s="18" t="s">
        <v>2683</v>
      </c>
      <c r="C403" s="18" t="s">
        <v>2649</v>
      </c>
      <c r="D403" s="18" t="s">
        <v>2645</v>
      </c>
      <c r="E403" s="18" t="s">
        <v>2642</v>
      </c>
      <c r="F403" s="18" t="s">
        <v>2373</v>
      </c>
      <c r="G403" s="18" t="s">
        <v>2688</v>
      </c>
      <c r="H403" s="16">
        <v>3</v>
      </c>
      <c r="I403" s="16">
        <v>4146.75</v>
      </c>
      <c r="J403" s="16">
        <v>12440.25</v>
      </c>
    </row>
    <row r="404" spans="1:10" ht="15" thickBot="1">
      <c r="A404" s="63">
        <v>45054</v>
      </c>
      <c r="B404" s="18" t="s">
        <v>2685</v>
      </c>
      <c r="C404" s="18" t="s">
        <v>2650</v>
      </c>
      <c r="D404" s="18" t="s">
        <v>2646</v>
      </c>
      <c r="E404" s="18" t="s">
        <v>2642</v>
      </c>
      <c r="F404" s="18" t="s">
        <v>2370</v>
      </c>
      <c r="G404" s="18" t="s">
        <v>2702</v>
      </c>
      <c r="H404" s="16">
        <v>4</v>
      </c>
      <c r="I404" s="16">
        <v>4062.52</v>
      </c>
      <c r="J404" s="16">
        <v>16250.08</v>
      </c>
    </row>
    <row r="405" spans="1:10" ht="15" thickBot="1">
      <c r="A405" s="63">
        <v>45141</v>
      </c>
      <c r="B405" s="18" t="s">
        <v>2685</v>
      </c>
      <c r="C405" s="18" t="s">
        <v>2655</v>
      </c>
      <c r="D405" s="18" t="s">
        <v>2645</v>
      </c>
      <c r="E405" s="18" t="s">
        <v>2642</v>
      </c>
      <c r="F405" s="18" t="s">
        <v>2370</v>
      </c>
      <c r="G405" s="18" t="s">
        <v>2702</v>
      </c>
      <c r="H405" s="16">
        <v>4</v>
      </c>
      <c r="I405" s="16">
        <v>3022.21</v>
      </c>
      <c r="J405" s="16">
        <v>12088.84</v>
      </c>
    </row>
    <row r="406" spans="1:10" ht="15" thickBot="1">
      <c r="A406" s="63">
        <v>45019</v>
      </c>
      <c r="B406" s="18" t="s">
        <v>2680</v>
      </c>
      <c r="C406" s="18" t="s">
        <v>2659</v>
      </c>
      <c r="D406" s="18" t="s">
        <v>2647</v>
      </c>
      <c r="E406" s="18" t="s">
        <v>2643</v>
      </c>
      <c r="F406" s="18" t="s">
        <v>2661</v>
      </c>
      <c r="G406" s="18" t="s">
        <v>2695</v>
      </c>
      <c r="H406" s="16">
        <v>7</v>
      </c>
      <c r="I406" s="16">
        <v>217.04</v>
      </c>
      <c r="J406" s="16">
        <v>1519.28</v>
      </c>
    </row>
    <row r="407" spans="1:10" ht="15" thickBot="1">
      <c r="A407" s="63">
        <v>45115</v>
      </c>
      <c r="B407" s="18" t="s">
        <v>2685</v>
      </c>
      <c r="C407" s="18" t="s">
        <v>2655</v>
      </c>
      <c r="D407" s="18" t="s">
        <v>2645</v>
      </c>
      <c r="E407" s="18" t="s">
        <v>2642</v>
      </c>
      <c r="F407" s="18" t="s">
        <v>2661</v>
      </c>
      <c r="G407" s="18" t="s">
        <v>2695</v>
      </c>
      <c r="H407" s="16">
        <v>2</v>
      </c>
      <c r="I407" s="16">
        <v>4883.5600000000004</v>
      </c>
      <c r="J407" s="16">
        <v>9767.1200000000008</v>
      </c>
    </row>
    <row r="408" spans="1:10" ht="15" thickBot="1">
      <c r="A408" s="16" t="s">
        <v>2434</v>
      </c>
      <c r="B408" s="18" t="s">
        <v>2687</v>
      </c>
      <c r="C408" s="18" t="s">
        <v>2657</v>
      </c>
      <c r="D408" s="18" t="s">
        <v>2648</v>
      </c>
      <c r="E408" s="18" t="s">
        <v>2641</v>
      </c>
      <c r="F408" s="18" t="s">
        <v>2370</v>
      </c>
      <c r="G408" s="18" t="s">
        <v>2701</v>
      </c>
      <c r="H408" s="16">
        <v>16</v>
      </c>
      <c r="I408" s="16">
        <v>2015.76</v>
      </c>
      <c r="J408" s="16">
        <v>32252.16</v>
      </c>
    </row>
    <row r="409" spans="1:10" ht="15" thickBot="1">
      <c r="A409" s="63">
        <v>45236</v>
      </c>
      <c r="B409" s="18" t="s">
        <v>2686</v>
      </c>
      <c r="C409" s="18" t="s">
        <v>2658</v>
      </c>
      <c r="D409" s="18" t="s">
        <v>2645</v>
      </c>
      <c r="E409" s="18" t="s">
        <v>2642</v>
      </c>
      <c r="F409" s="18" t="s">
        <v>2661</v>
      </c>
      <c r="G409" s="18" t="s">
        <v>2691</v>
      </c>
      <c r="H409" s="16">
        <v>1</v>
      </c>
      <c r="I409" s="16">
        <v>2777.22</v>
      </c>
      <c r="J409" s="16">
        <v>2777.22</v>
      </c>
    </row>
    <row r="410" spans="1:10" ht="15" thickBot="1">
      <c r="A410" s="16" t="s">
        <v>2533</v>
      </c>
      <c r="B410" s="18" t="s">
        <v>2679</v>
      </c>
      <c r="C410" s="18" t="s">
        <v>2658</v>
      </c>
      <c r="D410" s="18" t="s">
        <v>2645</v>
      </c>
      <c r="E410" s="18" t="s">
        <v>2642</v>
      </c>
      <c r="F410" s="18" t="s">
        <v>2373</v>
      </c>
      <c r="G410" s="18" t="s">
        <v>2697</v>
      </c>
      <c r="H410" s="16">
        <v>13</v>
      </c>
      <c r="I410" s="16">
        <v>4318.62</v>
      </c>
      <c r="J410" s="16">
        <v>56142.06</v>
      </c>
    </row>
    <row r="411" spans="1:10" ht="15" thickBot="1">
      <c r="A411" s="16" t="s">
        <v>2517</v>
      </c>
      <c r="B411" s="18" t="s">
        <v>2687</v>
      </c>
      <c r="C411" s="18" t="s">
        <v>2653</v>
      </c>
      <c r="D411" s="18" t="s">
        <v>2644</v>
      </c>
      <c r="E411" s="18" t="s">
        <v>2641</v>
      </c>
      <c r="F411" s="18" t="s">
        <v>2370</v>
      </c>
      <c r="G411" s="18" t="s">
        <v>2701</v>
      </c>
      <c r="H411" s="16">
        <v>15</v>
      </c>
      <c r="I411" s="16">
        <v>3225.2</v>
      </c>
      <c r="J411" s="16">
        <v>48378</v>
      </c>
    </row>
    <row r="412" spans="1:10" ht="15" thickBot="1">
      <c r="A412" s="16" t="s">
        <v>2528</v>
      </c>
      <c r="B412" s="18" t="s">
        <v>2683</v>
      </c>
      <c r="C412" s="18" t="s">
        <v>2653</v>
      </c>
      <c r="D412" s="18" t="s">
        <v>2644</v>
      </c>
      <c r="E412" s="18" t="s">
        <v>2641</v>
      </c>
      <c r="F412" s="18" t="s">
        <v>2370</v>
      </c>
      <c r="G412" s="18" t="s">
        <v>2701</v>
      </c>
      <c r="H412" s="16">
        <v>9</v>
      </c>
      <c r="I412" s="16">
        <v>631.99</v>
      </c>
      <c r="J412" s="16">
        <v>5687.91</v>
      </c>
    </row>
    <row r="413" spans="1:10" ht="15" thickBot="1">
      <c r="A413" s="63">
        <v>45051</v>
      </c>
      <c r="B413" s="18" t="s">
        <v>2681</v>
      </c>
      <c r="C413" s="18" t="s">
        <v>2659</v>
      </c>
      <c r="D413" s="18" t="s">
        <v>2647</v>
      </c>
      <c r="E413" s="18" t="s">
        <v>2643</v>
      </c>
      <c r="F413" s="18" t="s">
        <v>2374</v>
      </c>
      <c r="G413" s="18" t="s">
        <v>2700</v>
      </c>
      <c r="H413" s="16">
        <v>16</v>
      </c>
      <c r="I413" s="16">
        <v>981</v>
      </c>
      <c r="J413" s="16">
        <v>15696</v>
      </c>
    </row>
    <row r="414" spans="1:10" ht="15" thickBot="1">
      <c r="A414" s="63">
        <v>45266</v>
      </c>
      <c r="B414" s="18" t="s">
        <v>2686</v>
      </c>
      <c r="C414" s="18" t="s">
        <v>2656</v>
      </c>
      <c r="D414" s="18" t="s">
        <v>2648</v>
      </c>
      <c r="E414" s="18" t="s">
        <v>2641</v>
      </c>
      <c r="F414" s="18" t="s">
        <v>2370</v>
      </c>
      <c r="G414" s="18" t="s">
        <v>1336</v>
      </c>
      <c r="H414" s="16">
        <v>14</v>
      </c>
      <c r="I414" s="16">
        <v>1049.21</v>
      </c>
      <c r="J414" s="16">
        <v>14688.94</v>
      </c>
    </row>
    <row r="415" spans="1:10" ht="15" thickBot="1">
      <c r="A415" s="16" t="s">
        <v>2566</v>
      </c>
      <c r="B415" s="18" t="s">
        <v>2687</v>
      </c>
      <c r="C415" s="18" t="s">
        <v>2654</v>
      </c>
      <c r="D415" s="18" t="s">
        <v>2646</v>
      </c>
      <c r="E415" s="18" t="s">
        <v>2642</v>
      </c>
      <c r="F415" s="18" t="s">
        <v>2373</v>
      </c>
      <c r="G415" s="18" t="s">
        <v>2688</v>
      </c>
      <c r="H415" s="16">
        <v>3</v>
      </c>
      <c r="I415" s="16">
        <v>3276.84</v>
      </c>
      <c r="J415" s="16">
        <v>9830.52</v>
      </c>
    </row>
    <row r="416" spans="1:10" ht="15" thickBot="1">
      <c r="A416" s="63">
        <v>45207</v>
      </c>
      <c r="B416" s="18" t="s">
        <v>2681</v>
      </c>
      <c r="C416" s="18" t="s">
        <v>2392</v>
      </c>
      <c r="D416" s="18" t="s">
        <v>2644</v>
      </c>
      <c r="E416" s="18" t="s">
        <v>2641</v>
      </c>
      <c r="F416" s="18" t="s">
        <v>2370</v>
      </c>
      <c r="G416" s="18" t="s">
        <v>1335</v>
      </c>
      <c r="H416" s="16">
        <v>10</v>
      </c>
      <c r="I416" s="16">
        <v>1693.46</v>
      </c>
      <c r="J416" s="16">
        <v>16934.599999999999</v>
      </c>
    </row>
    <row r="417" spans="1:10" ht="15" thickBot="1">
      <c r="A417" s="16" t="s">
        <v>2593</v>
      </c>
      <c r="B417" s="18" t="s">
        <v>2686</v>
      </c>
      <c r="C417" s="18" t="s">
        <v>2652</v>
      </c>
      <c r="D417" s="18" t="s">
        <v>2647</v>
      </c>
      <c r="E417" s="18" t="s">
        <v>2643</v>
      </c>
      <c r="F417" s="18" t="s">
        <v>2374</v>
      </c>
      <c r="G417" s="18" t="s">
        <v>2700</v>
      </c>
      <c r="H417" s="16">
        <v>15</v>
      </c>
      <c r="I417" s="16">
        <v>1790.58</v>
      </c>
      <c r="J417" s="16">
        <v>26858.7</v>
      </c>
    </row>
    <row r="418" spans="1:10" ht="15" thickBot="1">
      <c r="A418" s="16" t="s">
        <v>2672</v>
      </c>
      <c r="B418" s="18" t="s">
        <v>2682</v>
      </c>
      <c r="C418" s="18" t="s">
        <v>2656</v>
      </c>
      <c r="D418" s="18" t="s">
        <v>2648</v>
      </c>
      <c r="E418" s="18" t="s">
        <v>2641</v>
      </c>
      <c r="F418" s="18" t="s">
        <v>2373</v>
      </c>
      <c r="G418" s="18" t="s">
        <v>2697</v>
      </c>
      <c r="H418" s="16">
        <v>16</v>
      </c>
      <c r="I418" s="16">
        <v>1018.83</v>
      </c>
      <c r="J418" s="16">
        <v>16301.28</v>
      </c>
    </row>
    <row r="419" spans="1:10" ht="15" thickBot="1">
      <c r="A419" s="63">
        <v>45109</v>
      </c>
      <c r="B419" s="18" t="s">
        <v>2683</v>
      </c>
      <c r="C419" s="18" t="s">
        <v>2655</v>
      </c>
      <c r="D419" s="18" t="s">
        <v>2645</v>
      </c>
      <c r="E419" s="18" t="s">
        <v>2642</v>
      </c>
      <c r="F419" s="18" t="s">
        <v>2370</v>
      </c>
      <c r="G419" s="18" t="s">
        <v>2702</v>
      </c>
      <c r="H419" s="16">
        <v>6</v>
      </c>
      <c r="I419" s="16">
        <v>1246.5899999999999</v>
      </c>
      <c r="J419" s="16">
        <v>7479.54</v>
      </c>
    </row>
    <row r="420" spans="1:10" ht="15" thickBot="1">
      <c r="A420" s="16" t="s">
        <v>2484</v>
      </c>
      <c r="B420" s="18" t="s">
        <v>2685</v>
      </c>
      <c r="C420" s="18" t="s">
        <v>2654</v>
      </c>
      <c r="D420" s="18" t="s">
        <v>2646</v>
      </c>
      <c r="E420" s="18" t="s">
        <v>2642</v>
      </c>
      <c r="F420" s="18" t="s">
        <v>2661</v>
      </c>
      <c r="G420" s="18" t="s">
        <v>2696</v>
      </c>
      <c r="H420" s="16">
        <v>14</v>
      </c>
      <c r="I420" s="16">
        <v>859.79</v>
      </c>
      <c r="J420" s="16">
        <v>12037.06</v>
      </c>
    </row>
    <row r="421" spans="1:10" ht="15" thickBot="1">
      <c r="A421" s="63">
        <v>45180</v>
      </c>
      <c r="B421" s="18" t="s">
        <v>2678</v>
      </c>
      <c r="C421" s="18" t="s">
        <v>2652</v>
      </c>
      <c r="D421" s="18" t="s">
        <v>2647</v>
      </c>
      <c r="E421" s="18" t="s">
        <v>2643</v>
      </c>
      <c r="F421" s="18" t="s">
        <v>2372</v>
      </c>
      <c r="G421" s="18" t="s">
        <v>2693</v>
      </c>
      <c r="H421" s="16">
        <v>12</v>
      </c>
      <c r="I421" s="16">
        <v>149.16</v>
      </c>
      <c r="J421" s="16">
        <v>1789.92</v>
      </c>
    </row>
    <row r="422" spans="1:10" ht="15" thickBot="1">
      <c r="A422" s="16" t="s">
        <v>2438</v>
      </c>
      <c r="B422" s="18" t="s">
        <v>2682</v>
      </c>
      <c r="C422" s="18" t="s">
        <v>2653</v>
      </c>
      <c r="D422" s="18" t="s">
        <v>2644</v>
      </c>
      <c r="E422" s="18" t="s">
        <v>2641</v>
      </c>
      <c r="F422" s="18" t="s">
        <v>2373</v>
      </c>
      <c r="G422" s="18" t="s">
        <v>2697</v>
      </c>
      <c r="H422" s="16">
        <v>20</v>
      </c>
      <c r="I422" s="16">
        <v>1108.83</v>
      </c>
      <c r="J422" s="16">
        <v>22176.6</v>
      </c>
    </row>
    <row r="423" spans="1:10" ht="15" thickBot="1">
      <c r="A423" s="16" t="s">
        <v>2469</v>
      </c>
      <c r="B423" s="18" t="s">
        <v>2683</v>
      </c>
      <c r="C423" s="18" t="s">
        <v>2658</v>
      </c>
      <c r="D423" s="18" t="s">
        <v>2645</v>
      </c>
      <c r="E423" s="18" t="s">
        <v>2642</v>
      </c>
      <c r="F423" s="18" t="s">
        <v>2373</v>
      </c>
      <c r="G423" s="18" t="s">
        <v>2705</v>
      </c>
      <c r="H423" s="16">
        <v>8</v>
      </c>
      <c r="I423" s="16">
        <v>3628.65</v>
      </c>
      <c r="J423" s="16">
        <v>29029.200000000001</v>
      </c>
    </row>
    <row r="424" spans="1:10" ht="15" thickBot="1">
      <c r="A424" s="16" t="s">
        <v>2519</v>
      </c>
      <c r="B424" s="18" t="s">
        <v>2678</v>
      </c>
      <c r="C424" s="18" t="s">
        <v>2656</v>
      </c>
      <c r="D424" s="18" t="s">
        <v>2648</v>
      </c>
      <c r="E424" s="18" t="s">
        <v>2641</v>
      </c>
      <c r="F424" s="18" t="s">
        <v>2372</v>
      </c>
      <c r="G424" s="18" t="s">
        <v>2693</v>
      </c>
      <c r="H424" s="16">
        <v>19</v>
      </c>
      <c r="I424" s="16">
        <v>1317.72</v>
      </c>
      <c r="J424" s="16">
        <v>25036.68</v>
      </c>
    </row>
    <row r="425" spans="1:10" ht="15" thickBot="1">
      <c r="A425" s="16" t="s">
        <v>2582</v>
      </c>
      <c r="B425" s="18" t="s">
        <v>2682</v>
      </c>
      <c r="C425" s="18" t="s">
        <v>2659</v>
      </c>
      <c r="D425" s="18" t="s">
        <v>2647</v>
      </c>
      <c r="E425" s="18" t="s">
        <v>2643</v>
      </c>
      <c r="F425" s="18" t="s">
        <v>2372</v>
      </c>
      <c r="G425" s="18" t="s">
        <v>2699</v>
      </c>
      <c r="H425" s="16">
        <v>16</v>
      </c>
      <c r="I425" s="16">
        <v>2995.01</v>
      </c>
      <c r="J425" s="16">
        <v>47920.160000000003</v>
      </c>
    </row>
    <row r="426" spans="1:10" ht="15" thickBot="1">
      <c r="A426" s="16" t="s">
        <v>2564</v>
      </c>
      <c r="B426" s="18" t="s">
        <v>2683</v>
      </c>
      <c r="C426" s="18" t="s">
        <v>2393</v>
      </c>
      <c r="D426" s="18" t="s">
        <v>2644</v>
      </c>
      <c r="E426" s="18" t="s">
        <v>2641</v>
      </c>
      <c r="F426" s="18" t="s">
        <v>2373</v>
      </c>
      <c r="G426" s="18" t="s">
        <v>2705</v>
      </c>
      <c r="H426" s="16">
        <v>11</v>
      </c>
      <c r="I426" s="16">
        <v>2318.96</v>
      </c>
      <c r="J426" s="16">
        <v>25508.560000000001</v>
      </c>
    </row>
    <row r="427" spans="1:10" ht="15" thickBot="1">
      <c r="A427" s="16" t="s">
        <v>2435</v>
      </c>
      <c r="B427" s="18" t="s">
        <v>2680</v>
      </c>
      <c r="C427" s="18" t="s">
        <v>2649</v>
      </c>
      <c r="D427" s="18" t="s">
        <v>2645</v>
      </c>
      <c r="E427" s="18" t="s">
        <v>2642</v>
      </c>
      <c r="F427" s="18" t="s">
        <v>2661</v>
      </c>
      <c r="G427" s="18" t="s">
        <v>2696</v>
      </c>
      <c r="H427" s="16">
        <v>14</v>
      </c>
      <c r="I427" s="16">
        <v>4935.3</v>
      </c>
      <c r="J427" s="16">
        <v>69094.2</v>
      </c>
    </row>
    <row r="428" spans="1:10" ht="15" thickBot="1">
      <c r="A428" s="16" t="s">
        <v>2458</v>
      </c>
      <c r="B428" s="18" t="s">
        <v>2686</v>
      </c>
      <c r="C428" s="18" t="s">
        <v>2655</v>
      </c>
      <c r="D428" s="18" t="s">
        <v>2645</v>
      </c>
      <c r="E428" s="18" t="s">
        <v>2642</v>
      </c>
      <c r="F428" s="18" t="s">
        <v>2373</v>
      </c>
      <c r="G428" s="18" t="s">
        <v>2697</v>
      </c>
      <c r="H428" s="16">
        <v>1</v>
      </c>
      <c r="I428" s="16">
        <v>1083.26</v>
      </c>
      <c r="J428" s="16">
        <v>1083.26</v>
      </c>
    </row>
    <row r="429" spans="1:10" ht="15" thickBot="1">
      <c r="A429" s="63">
        <v>45056</v>
      </c>
      <c r="B429" s="18" t="s">
        <v>2685</v>
      </c>
      <c r="C429" s="18" t="s">
        <v>2651</v>
      </c>
      <c r="D429" s="18" t="s">
        <v>2646</v>
      </c>
      <c r="E429" s="18" t="s">
        <v>2642</v>
      </c>
      <c r="F429" s="18" t="s">
        <v>2373</v>
      </c>
      <c r="G429" s="18" t="s">
        <v>2697</v>
      </c>
      <c r="H429" s="16">
        <v>11</v>
      </c>
      <c r="I429" s="16">
        <v>1673.53</v>
      </c>
      <c r="J429" s="16">
        <v>18408.830000000002</v>
      </c>
    </row>
    <row r="430" spans="1:10" ht="15" thickBot="1">
      <c r="A430" s="16" t="s">
        <v>2556</v>
      </c>
      <c r="B430" s="18" t="s">
        <v>2681</v>
      </c>
      <c r="C430" s="18" t="s">
        <v>2656</v>
      </c>
      <c r="D430" s="18" t="s">
        <v>2648</v>
      </c>
      <c r="E430" s="18" t="s">
        <v>2641</v>
      </c>
      <c r="F430" s="18" t="s">
        <v>2370</v>
      </c>
      <c r="G430" s="18" t="s">
        <v>2701</v>
      </c>
      <c r="H430" s="16">
        <v>10</v>
      </c>
      <c r="I430" s="16">
        <v>3829.38</v>
      </c>
      <c r="J430" s="16">
        <v>38293.800000000003</v>
      </c>
    </row>
    <row r="431" spans="1:10" ht="15" thickBot="1">
      <c r="A431" s="16" t="s">
        <v>2667</v>
      </c>
      <c r="B431" s="18" t="s">
        <v>2685</v>
      </c>
      <c r="C431" s="18" t="s">
        <v>2658</v>
      </c>
      <c r="D431" s="18" t="s">
        <v>2645</v>
      </c>
      <c r="E431" s="18" t="s">
        <v>2642</v>
      </c>
      <c r="F431" s="18" t="s">
        <v>2372</v>
      </c>
      <c r="G431" s="18" t="s">
        <v>2690</v>
      </c>
      <c r="H431" s="16">
        <v>6</v>
      </c>
      <c r="I431" s="16">
        <v>470.36</v>
      </c>
      <c r="J431" s="16">
        <v>2822.16</v>
      </c>
    </row>
    <row r="432" spans="1:10" ht="15" thickBot="1">
      <c r="A432" s="16" t="s">
        <v>2493</v>
      </c>
      <c r="B432" s="18" t="s">
        <v>2687</v>
      </c>
      <c r="C432" s="18" t="s">
        <v>2393</v>
      </c>
      <c r="D432" s="18" t="s">
        <v>2644</v>
      </c>
      <c r="E432" s="18" t="s">
        <v>2641</v>
      </c>
      <c r="F432" s="18" t="s">
        <v>2370</v>
      </c>
      <c r="G432" s="18" t="s">
        <v>2701</v>
      </c>
      <c r="H432" s="16">
        <v>12</v>
      </c>
      <c r="I432" s="16">
        <v>2489.14</v>
      </c>
      <c r="J432" s="16">
        <v>29869.68</v>
      </c>
    </row>
    <row r="433" spans="1:10" ht="15" thickBot="1">
      <c r="A433" s="16" t="s">
        <v>2673</v>
      </c>
      <c r="B433" s="18" t="s">
        <v>2685</v>
      </c>
      <c r="C433" s="18" t="s">
        <v>2658</v>
      </c>
      <c r="D433" s="18" t="s">
        <v>2645</v>
      </c>
      <c r="E433" s="18" t="s">
        <v>2642</v>
      </c>
      <c r="F433" s="18" t="s">
        <v>2372</v>
      </c>
      <c r="G433" s="18" t="s">
        <v>2699</v>
      </c>
      <c r="H433" s="16">
        <v>14</v>
      </c>
      <c r="I433" s="16">
        <v>1729.16</v>
      </c>
      <c r="J433" s="16">
        <v>24208.240000000002</v>
      </c>
    </row>
    <row r="434" spans="1:10" ht="15" thickBot="1">
      <c r="A434" s="16" t="s">
        <v>2579</v>
      </c>
      <c r="B434" s="18" t="s">
        <v>2678</v>
      </c>
      <c r="C434" s="18" t="s">
        <v>2650</v>
      </c>
      <c r="D434" s="18" t="s">
        <v>2646</v>
      </c>
      <c r="E434" s="18" t="s">
        <v>2642</v>
      </c>
      <c r="F434" s="18" t="s">
        <v>2374</v>
      </c>
      <c r="G434" s="18" t="s">
        <v>2700</v>
      </c>
      <c r="H434" s="16">
        <v>2</v>
      </c>
      <c r="I434" s="16">
        <v>2789.92</v>
      </c>
      <c r="J434" s="16">
        <v>5579.84</v>
      </c>
    </row>
    <row r="435" spans="1:10" ht="15" thickBot="1">
      <c r="A435" s="16" t="s">
        <v>2621</v>
      </c>
      <c r="B435" s="18" t="s">
        <v>2684</v>
      </c>
      <c r="C435" s="18" t="s">
        <v>2649</v>
      </c>
      <c r="D435" s="18" t="s">
        <v>2645</v>
      </c>
      <c r="E435" s="18" t="s">
        <v>2642</v>
      </c>
      <c r="F435" s="18" t="s">
        <v>2372</v>
      </c>
      <c r="G435" s="18" t="s">
        <v>2690</v>
      </c>
      <c r="H435" s="16">
        <v>17</v>
      </c>
      <c r="I435" s="16">
        <v>3244.79</v>
      </c>
      <c r="J435" s="16">
        <v>55161.43</v>
      </c>
    </row>
    <row r="436" spans="1:10" ht="15" thickBot="1">
      <c r="A436" s="16" t="s">
        <v>2549</v>
      </c>
      <c r="B436" s="18" t="s">
        <v>2680</v>
      </c>
      <c r="C436" s="18" t="s">
        <v>2655</v>
      </c>
      <c r="D436" s="18" t="s">
        <v>2645</v>
      </c>
      <c r="E436" s="18" t="s">
        <v>2642</v>
      </c>
      <c r="F436" s="18" t="s">
        <v>2374</v>
      </c>
      <c r="G436" s="18" t="s">
        <v>2689</v>
      </c>
      <c r="H436" s="16">
        <v>20</v>
      </c>
      <c r="I436" s="16">
        <v>2155.17</v>
      </c>
      <c r="J436" s="16">
        <v>43103.4</v>
      </c>
    </row>
    <row r="437" spans="1:10" ht="15" thickBot="1">
      <c r="A437" s="63">
        <v>45145</v>
      </c>
      <c r="B437" s="18" t="s">
        <v>2686</v>
      </c>
      <c r="C437" s="18" t="s">
        <v>2654</v>
      </c>
      <c r="D437" s="18" t="s">
        <v>2646</v>
      </c>
      <c r="E437" s="18" t="s">
        <v>2642</v>
      </c>
      <c r="F437" s="18" t="s">
        <v>2661</v>
      </c>
      <c r="G437" s="18" t="s">
        <v>2696</v>
      </c>
      <c r="H437" s="16">
        <v>13</v>
      </c>
      <c r="I437" s="16">
        <v>2526.1999999999998</v>
      </c>
      <c r="J437" s="16">
        <v>32840.6</v>
      </c>
    </row>
    <row r="438" spans="1:10" ht="15" thickBot="1">
      <c r="A438" s="16" t="s">
        <v>2522</v>
      </c>
      <c r="B438" s="18" t="s">
        <v>2684</v>
      </c>
      <c r="C438" s="18" t="s">
        <v>2651</v>
      </c>
      <c r="D438" s="18" t="s">
        <v>2646</v>
      </c>
      <c r="E438" s="18" t="s">
        <v>2642</v>
      </c>
      <c r="F438" s="18" t="s">
        <v>2370</v>
      </c>
      <c r="G438" s="18" t="s">
        <v>1336</v>
      </c>
      <c r="H438" s="16">
        <v>11</v>
      </c>
      <c r="I438" s="16">
        <v>1995.21</v>
      </c>
      <c r="J438" s="16">
        <v>21947.31</v>
      </c>
    </row>
    <row r="439" spans="1:10" ht="15" thickBot="1">
      <c r="A439" s="63">
        <v>45232</v>
      </c>
      <c r="B439" s="18" t="s">
        <v>2686</v>
      </c>
      <c r="C439" s="18" t="s">
        <v>2656</v>
      </c>
      <c r="D439" s="18" t="s">
        <v>2648</v>
      </c>
      <c r="E439" s="18" t="s">
        <v>2641</v>
      </c>
      <c r="F439" s="18" t="s">
        <v>2374</v>
      </c>
      <c r="G439" s="18" t="s">
        <v>2689</v>
      </c>
      <c r="H439" s="16">
        <v>4</v>
      </c>
      <c r="I439" s="16">
        <v>1139.74</v>
      </c>
      <c r="J439" s="16">
        <v>4558.96</v>
      </c>
    </row>
    <row r="440" spans="1:10" ht="15" thickBot="1">
      <c r="A440" s="16" t="s">
        <v>2479</v>
      </c>
      <c r="B440" s="18" t="s">
        <v>2687</v>
      </c>
      <c r="C440" s="18" t="s">
        <v>2659</v>
      </c>
      <c r="D440" s="18" t="s">
        <v>2647</v>
      </c>
      <c r="E440" s="18" t="s">
        <v>2643</v>
      </c>
      <c r="F440" s="18" t="s">
        <v>2373</v>
      </c>
      <c r="G440" s="18" t="s">
        <v>2703</v>
      </c>
      <c r="H440" s="16">
        <v>4</v>
      </c>
      <c r="I440" s="16">
        <v>3015.93</v>
      </c>
      <c r="J440" s="16">
        <v>12063.72</v>
      </c>
    </row>
    <row r="441" spans="1:10" ht="15" thickBot="1">
      <c r="A441" s="63">
        <v>45203</v>
      </c>
      <c r="B441" s="18" t="s">
        <v>2686</v>
      </c>
      <c r="C441" s="18" t="s">
        <v>2650</v>
      </c>
      <c r="D441" s="18" t="s">
        <v>2646</v>
      </c>
      <c r="E441" s="18" t="s">
        <v>2642</v>
      </c>
      <c r="F441" s="18" t="s">
        <v>2372</v>
      </c>
      <c r="G441" s="18" t="s">
        <v>2693</v>
      </c>
      <c r="H441" s="16">
        <v>4</v>
      </c>
      <c r="I441" s="16">
        <v>3831.39</v>
      </c>
      <c r="J441" s="16">
        <v>15325.56</v>
      </c>
    </row>
    <row r="442" spans="1:10" ht="15" thickBot="1">
      <c r="A442" s="16" t="s">
        <v>2518</v>
      </c>
      <c r="B442" s="18" t="s">
        <v>2678</v>
      </c>
      <c r="C442" s="18" t="s">
        <v>2392</v>
      </c>
      <c r="D442" s="18" t="s">
        <v>2644</v>
      </c>
      <c r="E442" s="18" t="s">
        <v>2641</v>
      </c>
      <c r="F442" s="18" t="s">
        <v>2372</v>
      </c>
      <c r="G442" s="18" t="s">
        <v>2690</v>
      </c>
      <c r="H442" s="16">
        <v>7</v>
      </c>
      <c r="I442" s="16">
        <v>105.05</v>
      </c>
      <c r="J442" s="16">
        <v>735.35</v>
      </c>
    </row>
    <row r="443" spans="1:10" ht="15" thickBot="1">
      <c r="A443" s="63">
        <v>44992</v>
      </c>
      <c r="B443" s="18" t="s">
        <v>2679</v>
      </c>
      <c r="C443" s="18" t="s">
        <v>2656</v>
      </c>
      <c r="D443" s="18" t="s">
        <v>2648</v>
      </c>
      <c r="E443" s="18" t="s">
        <v>2641</v>
      </c>
      <c r="F443" s="18" t="s">
        <v>2374</v>
      </c>
      <c r="G443" s="18" t="s">
        <v>2700</v>
      </c>
      <c r="H443" s="16">
        <v>11</v>
      </c>
      <c r="I443" s="16">
        <v>2416.1799999999998</v>
      </c>
      <c r="J443" s="16">
        <v>26577.98</v>
      </c>
    </row>
    <row r="444" spans="1:10" ht="15" thickBot="1">
      <c r="A444" s="16" t="s">
        <v>2457</v>
      </c>
      <c r="B444" s="18" t="s">
        <v>2683</v>
      </c>
      <c r="C444" s="18" t="s">
        <v>2656</v>
      </c>
      <c r="D444" s="18" t="s">
        <v>2648</v>
      </c>
      <c r="E444" s="18" t="s">
        <v>2641</v>
      </c>
      <c r="F444" s="18" t="s">
        <v>2374</v>
      </c>
      <c r="G444" s="18" t="s">
        <v>2700</v>
      </c>
      <c r="H444" s="16">
        <v>1</v>
      </c>
      <c r="I444" s="16">
        <v>549.14</v>
      </c>
      <c r="J444" s="16">
        <v>549.14</v>
      </c>
    </row>
    <row r="445" spans="1:10" ht="15" thickBot="1">
      <c r="A445" s="16" t="s">
        <v>2575</v>
      </c>
      <c r="B445" s="18" t="s">
        <v>2683</v>
      </c>
      <c r="C445" s="18" t="s">
        <v>2651</v>
      </c>
      <c r="D445" s="18" t="s">
        <v>2646</v>
      </c>
      <c r="E445" s="18" t="s">
        <v>2642</v>
      </c>
      <c r="F445" s="18" t="s">
        <v>2661</v>
      </c>
      <c r="G445" s="18" t="s">
        <v>2691</v>
      </c>
      <c r="H445" s="16">
        <v>10</v>
      </c>
      <c r="I445" s="16">
        <v>3771.5</v>
      </c>
      <c r="J445" s="16">
        <v>37715</v>
      </c>
    </row>
    <row r="446" spans="1:10" ht="15" thickBot="1">
      <c r="A446" s="16" t="s">
        <v>2438</v>
      </c>
      <c r="B446" s="18" t="s">
        <v>2679</v>
      </c>
      <c r="C446" s="18" t="s">
        <v>2656</v>
      </c>
      <c r="D446" s="18" t="s">
        <v>2648</v>
      </c>
      <c r="E446" s="18" t="s">
        <v>2641</v>
      </c>
      <c r="F446" s="18" t="s">
        <v>2373</v>
      </c>
      <c r="G446" s="18" t="s">
        <v>2703</v>
      </c>
      <c r="H446" s="16">
        <v>13</v>
      </c>
      <c r="I446" s="16">
        <v>956.49</v>
      </c>
      <c r="J446" s="16">
        <v>12434.37</v>
      </c>
    </row>
    <row r="447" spans="1:10" ht="15" thickBot="1">
      <c r="A447" s="16" t="s">
        <v>2584</v>
      </c>
      <c r="B447" s="18" t="s">
        <v>2680</v>
      </c>
      <c r="C447" s="18" t="s">
        <v>2658</v>
      </c>
      <c r="D447" s="18" t="s">
        <v>2645</v>
      </c>
      <c r="E447" s="18" t="s">
        <v>2642</v>
      </c>
      <c r="F447" s="18" t="s">
        <v>2373</v>
      </c>
      <c r="G447" s="18" t="s">
        <v>2697</v>
      </c>
      <c r="H447" s="16">
        <v>19</v>
      </c>
      <c r="I447" s="16">
        <v>3575.92</v>
      </c>
      <c r="J447" s="16">
        <v>67942.48</v>
      </c>
    </row>
    <row r="448" spans="1:10" ht="15" thickBot="1">
      <c r="A448" s="16" t="s">
        <v>2446</v>
      </c>
      <c r="B448" s="18" t="s">
        <v>2686</v>
      </c>
      <c r="C448" s="18" t="s">
        <v>2396</v>
      </c>
      <c r="D448" s="18" t="s">
        <v>2648</v>
      </c>
      <c r="E448" s="18" t="s">
        <v>2641</v>
      </c>
      <c r="F448" s="18" t="s">
        <v>2370</v>
      </c>
      <c r="G448" s="18" t="s">
        <v>2701</v>
      </c>
      <c r="H448" s="16">
        <v>8</v>
      </c>
      <c r="I448" s="16">
        <v>3971.12</v>
      </c>
      <c r="J448" s="16">
        <v>31768.959999999999</v>
      </c>
    </row>
    <row r="449" spans="1:10" ht="15" thickBot="1">
      <c r="A449" s="16" t="s">
        <v>2528</v>
      </c>
      <c r="B449" s="18" t="s">
        <v>2682</v>
      </c>
      <c r="C449" s="18" t="s">
        <v>2651</v>
      </c>
      <c r="D449" s="18" t="s">
        <v>2646</v>
      </c>
      <c r="E449" s="18" t="s">
        <v>2642</v>
      </c>
      <c r="F449" s="18" t="s">
        <v>2372</v>
      </c>
      <c r="G449" s="18" t="s">
        <v>2694</v>
      </c>
      <c r="H449" s="16">
        <v>14</v>
      </c>
      <c r="I449" s="16">
        <v>3631.62</v>
      </c>
      <c r="J449" s="16">
        <v>50842.68</v>
      </c>
    </row>
    <row r="450" spans="1:10" ht="15" thickBot="1">
      <c r="A450" s="63">
        <v>44931</v>
      </c>
      <c r="B450" s="18" t="s">
        <v>2685</v>
      </c>
      <c r="C450" s="18" t="s">
        <v>2653</v>
      </c>
      <c r="D450" s="18" t="s">
        <v>2644</v>
      </c>
      <c r="E450" s="18" t="s">
        <v>2641</v>
      </c>
      <c r="F450" s="18" t="s">
        <v>2373</v>
      </c>
      <c r="G450" s="18" t="s">
        <v>2697</v>
      </c>
      <c r="H450" s="16">
        <v>18</v>
      </c>
      <c r="I450" s="16">
        <v>2589.64</v>
      </c>
      <c r="J450" s="16">
        <v>46613.52</v>
      </c>
    </row>
    <row r="451" spans="1:10" ht="15" thickBot="1">
      <c r="A451" s="63">
        <v>45025</v>
      </c>
      <c r="B451" s="18" t="s">
        <v>2682</v>
      </c>
      <c r="C451" s="18" t="s">
        <v>2396</v>
      </c>
      <c r="D451" s="18" t="s">
        <v>2648</v>
      </c>
      <c r="E451" s="18" t="s">
        <v>2641</v>
      </c>
      <c r="F451" s="18" t="s">
        <v>2661</v>
      </c>
      <c r="G451" s="18" t="s">
        <v>2696</v>
      </c>
      <c r="H451" s="16">
        <v>2</v>
      </c>
      <c r="I451" s="16">
        <v>2713.34</v>
      </c>
      <c r="J451" s="16">
        <v>5426.68</v>
      </c>
    </row>
    <row r="452" spans="1:10" ht="15" thickBot="1">
      <c r="A452" s="16" t="s">
        <v>2669</v>
      </c>
      <c r="B452" s="18" t="s">
        <v>2683</v>
      </c>
      <c r="C452" s="18" t="s">
        <v>2658</v>
      </c>
      <c r="D452" s="18" t="s">
        <v>2645</v>
      </c>
      <c r="E452" s="18" t="s">
        <v>2642</v>
      </c>
      <c r="F452" s="18" t="s">
        <v>2374</v>
      </c>
      <c r="G452" s="18" t="s">
        <v>2689</v>
      </c>
      <c r="H452" s="16">
        <v>17</v>
      </c>
      <c r="I452" s="16">
        <v>1294.56</v>
      </c>
      <c r="J452" s="16">
        <v>22007.52</v>
      </c>
    </row>
    <row r="453" spans="1:10" ht="15" thickBot="1">
      <c r="A453" s="16" t="s">
        <v>2461</v>
      </c>
      <c r="B453" s="18" t="s">
        <v>2682</v>
      </c>
      <c r="C453" s="18" t="s">
        <v>2652</v>
      </c>
      <c r="D453" s="18" t="s">
        <v>2647</v>
      </c>
      <c r="E453" s="18" t="s">
        <v>2643</v>
      </c>
      <c r="F453" s="18" t="s">
        <v>2374</v>
      </c>
      <c r="G453" s="18" t="s">
        <v>2689</v>
      </c>
      <c r="H453" s="16">
        <v>8</v>
      </c>
      <c r="I453" s="16">
        <v>1171.53</v>
      </c>
      <c r="J453" s="16">
        <v>9372.24</v>
      </c>
    </row>
    <row r="454" spans="1:10" ht="15" thickBot="1">
      <c r="A454" s="16" t="s">
        <v>2501</v>
      </c>
      <c r="B454" s="18" t="s">
        <v>2685</v>
      </c>
      <c r="C454" s="18" t="s">
        <v>2660</v>
      </c>
      <c r="D454" s="18" t="s">
        <v>2647</v>
      </c>
      <c r="E454" s="18" t="s">
        <v>2643</v>
      </c>
      <c r="F454" s="18" t="s">
        <v>2372</v>
      </c>
      <c r="G454" s="18" t="s">
        <v>2699</v>
      </c>
      <c r="H454" s="16">
        <v>15</v>
      </c>
      <c r="I454" s="16">
        <v>4060.63</v>
      </c>
      <c r="J454" s="16">
        <v>60909.45</v>
      </c>
    </row>
    <row r="455" spans="1:10" ht="15" thickBot="1">
      <c r="A455" s="63">
        <v>45264</v>
      </c>
      <c r="B455" s="18" t="s">
        <v>2683</v>
      </c>
      <c r="C455" s="18" t="s">
        <v>2653</v>
      </c>
      <c r="D455" s="18" t="s">
        <v>2644</v>
      </c>
      <c r="E455" s="18" t="s">
        <v>2641</v>
      </c>
      <c r="F455" s="18" t="s">
        <v>2661</v>
      </c>
      <c r="G455" s="18" t="s">
        <v>2691</v>
      </c>
      <c r="H455" s="16">
        <v>4</v>
      </c>
      <c r="I455" s="16">
        <v>442.23</v>
      </c>
      <c r="J455" s="16">
        <v>1768.92</v>
      </c>
    </row>
    <row r="456" spans="1:10" ht="15" thickBot="1">
      <c r="A456" s="16" t="s">
        <v>2435</v>
      </c>
      <c r="B456" s="18" t="s">
        <v>2685</v>
      </c>
      <c r="C456" s="18" t="s">
        <v>2653</v>
      </c>
      <c r="D456" s="18" t="s">
        <v>2644</v>
      </c>
      <c r="E456" s="18" t="s">
        <v>2641</v>
      </c>
      <c r="F456" s="18" t="s">
        <v>2374</v>
      </c>
      <c r="G456" s="18" t="s">
        <v>2692</v>
      </c>
      <c r="H456" s="16">
        <v>5</v>
      </c>
      <c r="I456" s="16">
        <v>3725.36</v>
      </c>
      <c r="J456" s="16">
        <v>18626.8</v>
      </c>
    </row>
    <row r="457" spans="1:10" ht="15" thickBot="1">
      <c r="A457" s="16" t="s">
        <v>2582</v>
      </c>
      <c r="B457" s="18" t="s">
        <v>2685</v>
      </c>
      <c r="C457" s="18" t="s">
        <v>2656</v>
      </c>
      <c r="D457" s="18" t="s">
        <v>2648</v>
      </c>
      <c r="E457" s="18" t="s">
        <v>2641</v>
      </c>
      <c r="F457" s="18" t="s">
        <v>2372</v>
      </c>
      <c r="G457" s="18" t="s">
        <v>2690</v>
      </c>
      <c r="H457" s="16">
        <v>20</v>
      </c>
      <c r="I457" s="16">
        <v>2974.89</v>
      </c>
      <c r="J457" s="16">
        <v>59497.8</v>
      </c>
    </row>
    <row r="458" spans="1:10" ht="15" thickBot="1">
      <c r="A458" s="63">
        <v>44992</v>
      </c>
      <c r="B458" s="18" t="s">
        <v>2685</v>
      </c>
      <c r="C458" s="18" t="s">
        <v>2651</v>
      </c>
      <c r="D458" s="18" t="s">
        <v>2646</v>
      </c>
      <c r="E458" s="18" t="s">
        <v>2642</v>
      </c>
      <c r="F458" s="18" t="s">
        <v>2372</v>
      </c>
      <c r="G458" s="18" t="s">
        <v>2699</v>
      </c>
      <c r="H458" s="16">
        <v>1</v>
      </c>
      <c r="I458" s="16">
        <v>1717.6</v>
      </c>
      <c r="J458" s="16">
        <v>1717.6</v>
      </c>
    </row>
    <row r="459" spans="1:10" ht="15" thickBot="1">
      <c r="A459" s="63">
        <v>45080</v>
      </c>
      <c r="B459" s="18" t="s">
        <v>2684</v>
      </c>
      <c r="C459" s="18" t="s">
        <v>2652</v>
      </c>
      <c r="D459" s="18" t="s">
        <v>2647</v>
      </c>
      <c r="E459" s="18" t="s">
        <v>2643</v>
      </c>
      <c r="F459" s="18" t="s">
        <v>2373</v>
      </c>
      <c r="G459" s="18" t="s">
        <v>2705</v>
      </c>
      <c r="H459" s="16">
        <v>5</v>
      </c>
      <c r="I459" s="16">
        <v>2849.56</v>
      </c>
      <c r="J459" s="16">
        <v>14247.8</v>
      </c>
    </row>
    <row r="460" spans="1:10" ht="15" thickBot="1">
      <c r="A460" s="16" t="s">
        <v>2667</v>
      </c>
      <c r="B460" s="18" t="s">
        <v>2678</v>
      </c>
      <c r="C460" s="18" t="s">
        <v>2396</v>
      </c>
      <c r="D460" s="18" t="s">
        <v>2648</v>
      </c>
      <c r="E460" s="18" t="s">
        <v>2641</v>
      </c>
      <c r="F460" s="18" t="s">
        <v>2374</v>
      </c>
      <c r="G460" s="18" t="s">
        <v>2689</v>
      </c>
      <c r="H460" s="16">
        <v>18</v>
      </c>
      <c r="I460" s="16">
        <v>4150.7700000000004</v>
      </c>
      <c r="J460" s="16">
        <v>74713.86</v>
      </c>
    </row>
    <row r="461" spans="1:10" ht="15" thickBot="1">
      <c r="A461" s="16" t="s">
        <v>2460</v>
      </c>
      <c r="B461" s="18" t="s">
        <v>2684</v>
      </c>
      <c r="C461" s="18" t="s">
        <v>2393</v>
      </c>
      <c r="D461" s="18" t="s">
        <v>2644</v>
      </c>
      <c r="E461" s="18" t="s">
        <v>2641</v>
      </c>
      <c r="F461" s="18" t="s">
        <v>2374</v>
      </c>
      <c r="G461" s="18" t="s">
        <v>2704</v>
      </c>
      <c r="H461" s="16">
        <v>18</v>
      </c>
      <c r="I461" s="16">
        <v>2490.14</v>
      </c>
      <c r="J461" s="16">
        <v>44822.52</v>
      </c>
    </row>
    <row r="462" spans="1:10" ht="15" thickBot="1">
      <c r="A462" s="16" t="s">
        <v>2545</v>
      </c>
      <c r="B462" s="18" t="s">
        <v>2684</v>
      </c>
      <c r="C462" s="18" t="s">
        <v>2659</v>
      </c>
      <c r="D462" s="18" t="s">
        <v>2647</v>
      </c>
      <c r="E462" s="18" t="s">
        <v>2643</v>
      </c>
      <c r="F462" s="18" t="s">
        <v>2374</v>
      </c>
      <c r="G462" s="18" t="s">
        <v>2689</v>
      </c>
      <c r="H462" s="16">
        <v>17</v>
      </c>
      <c r="I462" s="16">
        <v>500.54</v>
      </c>
      <c r="J462" s="16">
        <v>8509.18</v>
      </c>
    </row>
    <row r="463" spans="1:10" ht="15" thickBot="1">
      <c r="A463" s="16" t="s">
        <v>2627</v>
      </c>
      <c r="B463" s="18" t="s">
        <v>2687</v>
      </c>
      <c r="C463" s="18" t="s">
        <v>2660</v>
      </c>
      <c r="D463" s="18" t="s">
        <v>2647</v>
      </c>
      <c r="E463" s="18" t="s">
        <v>2643</v>
      </c>
      <c r="F463" s="18" t="s">
        <v>2370</v>
      </c>
      <c r="G463" s="18" t="s">
        <v>2701</v>
      </c>
      <c r="H463" s="16">
        <v>19</v>
      </c>
      <c r="I463" s="16">
        <v>1067.94</v>
      </c>
      <c r="J463" s="16">
        <v>20290.86</v>
      </c>
    </row>
    <row r="464" spans="1:10" ht="15" thickBot="1">
      <c r="A464" s="16" t="s">
        <v>2487</v>
      </c>
      <c r="B464" s="18" t="s">
        <v>2687</v>
      </c>
      <c r="C464" s="18" t="s">
        <v>2655</v>
      </c>
      <c r="D464" s="18" t="s">
        <v>2645</v>
      </c>
      <c r="E464" s="18" t="s">
        <v>2642</v>
      </c>
      <c r="F464" s="18" t="s">
        <v>2661</v>
      </c>
      <c r="G464" s="18" t="s">
        <v>2696</v>
      </c>
      <c r="H464" s="16">
        <v>7</v>
      </c>
      <c r="I464" s="16">
        <v>2264.87</v>
      </c>
      <c r="J464" s="16">
        <v>15854.09</v>
      </c>
    </row>
    <row r="465" spans="1:10" ht="15" thickBot="1">
      <c r="A465" s="63">
        <v>45262</v>
      </c>
      <c r="B465" s="18" t="s">
        <v>2679</v>
      </c>
      <c r="C465" s="18" t="s">
        <v>2659</v>
      </c>
      <c r="D465" s="18" t="s">
        <v>2647</v>
      </c>
      <c r="E465" s="18" t="s">
        <v>2643</v>
      </c>
      <c r="F465" s="18" t="s">
        <v>2661</v>
      </c>
      <c r="G465" s="18" t="s">
        <v>2695</v>
      </c>
      <c r="H465" s="16">
        <v>18</v>
      </c>
      <c r="I465" s="16">
        <v>2584.0700000000002</v>
      </c>
      <c r="J465" s="16">
        <v>46513.26</v>
      </c>
    </row>
    <row r="466" spans="1:10" ht="15" thickBot="1">
      <c r="A466" s="16" t="s">
        <v>2627</v>
      </c>
      <c r="B466" s="18" t="s">
        <v>2687</v>
      </c>
      <c r="C466" s="18" t="s">
        <v>2658</v>
      </c>
      <c r="D466" s="18" t="s">
        <v>2645</v>
      </c>
      <c r="E466" s="18" t="s">
        <v>2642</v>
      </c>
      <c r="F466" s="18" t="s">
        <v>2374</v>
      </c>
      <c r="G466" s="18" t="s">
        <v>2700</v>
      </c>
      <c r="H466" s="16">
        <v>13</v>
      </c>
      <c r="I466" s="16">
        <v>4621.13</v>
      </c>
      <c r="J466" s="16">
        <v>60074.69</v>
      </c>
    </row>
    <row r="467" spans="1:10" ht="15" thickBot="1">
      <c r="A467" s="63">
        <v>45269</v>
      </c>
      <c r="B467" s="18" t="s">
        <v>2679</v>
      </c>
      <c r="C467" s="18" t="s">
        <v>2659</v>
      </c>
      <c r="D467" s="18" t="s">
        <v>2647</v>
      </c>
      <c r="E467" s="18" t="s">
        <v>2643</v>
      </c>
      <c r="F467" s="18" t="s">
        <v>2661</v>
      </c>
      <c r="G467" s="18" t="s">
        <v>2691</v>
      </c>
      <c r="H467" s="16">
        <v>16</v>
      </c>
      <c r="I467" s="16">
        <v>4826.2</v>
      </c>
      <c r="J467" s="16">
        <v>77219.199999999997</v>
      </c>
    </row>
    <row r="468" spans="1:10" ht="15" thickBot="1">
      <c r="A468" s="63">
        <v>45052</v>
      </c>
      <c r="B468" s="18" t="s">
        <v>2682</v>
      </c>
      <c r="C468" s="18" t="s">
        <v>2649</v>
      </c>
      <c r="D468" s="18" t="s">
        <v>2645</v>
      </c>
      <c r="E468" s="18" t="s">
        <v>2642</v>
      </c>
      <c r="F468" s="18" t="s">
        <v>2370</v>
      </c>
      <c r="G468" s="18" t="s">
        <v>1336</v>
      </c>
      <c r="H468" s="16">
        <v>5</v>
      </c>
      <c r="I468" s="16">
        <v>4773.5600000000004</v>
      </c>
      <c r="J468" s="16">
        <v>23867.8</v>
      </c>
    </row>
    <row r="469" spans="1:10" ht="15" thickBot="1">
      <c r="A469" s="16" t="s">
        <v>2632</v>
      </c>
      <c r="B469" s="18" t="s">
        <v>2687</v>
      </c>
      <c r="C469" s="18" t="s">
        <v>2651</v>
      </c>
      <c r="D469" s="18" t="s">
        <v>2646</v>
      </c>
      <c r="E469" s="18" t="s">
        <v>2642</v>
      </c>
      <c r="F469" s="18" t="s">
        <v>2661</v>
      </c>
      <c r="G469" s="18" t="s">
        <v>2696</v>
      </c>
      <c r="H469" s="16">
        <v>9</v>
      </c>
      <c r="I469" s="16">
        <v>3220.44</v>
      </c>
      <c r="J469" s="16">
        <v>28983.96</v>
      </c>
    </row>
    <row r="470" spans="1:10" ht="15" thickBot="1">
      <c r="A470" s="16" t="s">
        <v>2489</v>
      </c>
      <c r="B470" s="18" t="s">
        <v>2687</v>
      </c>
      <c r="C470" s="18" t="s">
        <v>2650</v>
      </c>
      <c r="D470" s="18" t="s">
        <v>2646</v>
      </c>
      <c r="E470" s="18" t="s">
        <v>2642</v>
      </c>
      <c r="F470" s="18" t="s">
        <v>2661</v>
      </c>
      <c r="G470" s="18" t="s">
        <v>2695</v>
      </c>
      <c r="H470" s="16">
        <v>15</v>
      </c>
      <c r="I470" s="16">
        <v>4945.79</v>
      </c>
      <c r="J470" s="16">
        <v>74186.850000000006</v>
      </c>
    </row>
    <row r="471" spans="1:10" ht="15" thickBot="1">
      <c r="A471" s="63">
        <v>45140</v>
      </c>
      <c r="B471" s="18" t="s">
        <v>2681</v>
      </c>
      <c r="C471" s="18" t="s">
        <v>2654</v>
      </c>
      <c r="D471" s="18" t="s">
        <v>2646</v>
      </c>
      <c r="E471" s="18" t="s">
        <v>2642</v>
      </c>
      <c r="F471" s="18" t="s">
        <v>2372</v>
      </c>
      <c r="G471" s="18" t="s">
        <v>2699</v>
      </c>
      <c r="H471" s="16">
        <v>14</v>
      </c>
      <c r="I471" s="16">
        <v>2355.56</v>
      </c>
      <c r="J471" s="16">
        <v>32977.839999999997</v>
      </c>
    </row>
    <row r="472" spans="1:10" ht="15" thickBot="1">
      <c r="A472" s="16" t="s">
        <v>2666</v>
      </c>
      <c r="B472" s="18" t="s">
        <v>2679</v>
      </c>
      <c r="C472" s="18" t="s">
        <v>2656</v>
      </c>
      <c r="D472" s="18" t="s">
        <v>2648</v>
      </c>
      <c r="E472" s="18" t="s">
        <v>2641</v>
      </c>
      <c r="F472" s="18" t="s">
        <v>2372</v>
      </c>
      <c r="G472" s="18" t="s">
        <v>2693</v>
      </c>
      <c r="H472" s="16">
        <v>4</v>
      </c>
      <c r="I472" s="16">
        <v>4412.41</v>
      </c>
      <c r="J472" s="16">
        <v>17649.64</v>
      </c>
    </row>
    <row r="473" spans="1:10" ht="15" thickBot="1">
      <c r="A473" s="16" t="s">
        <v>2472</v>
      </c>
      <c r="B473" s="18" t="s">
        <v>2685</v>
      </c>
      <c r="C473" s="18" t="s">
        <v>2660</v>
      </c>
      <c r="D473" s="18" t="s">
        <v>2647</v>
      </c>
      <c r="E473" s="18" t="s">
        <v>2643</v>
      </c>
      <c r="F473" s="18" t="s">
        <v>2374</v>
      </c>
      <c r="G473" s="18" t="s">
        <v>2700</v>
      </c>
      <c r="H473" s="16">
        <v>5</v>
      </c>
      <c r="I473" s="16">
        <v>355.6</v>
      </c>
      <c r="J473" s="16">
        <v>1778</v>
      </c>
    </row>
    <row r="474" spans="1:10" ht="15" thickBot="1">
      <c r="A474" s="16" t="s">
        <v>2596</v>
      </c>
      <c r="B474" s="18" t="s">
        <v>2681</v>
      </c>
      <c r="C474" s="18" t="s">
        <v>2653</v>
      </c>
      <c r="D474" s="18" t="s">
        <v>2644</v>
      </c>
      <c r="E474" s="18" t="s">
        <v>2641</v>
      </c>
      <c r="F474" s="18" t="s">
        <v>2370</v>
      </c>
      <c r="G474" s="18" t="s">
        <v>1335</v>
      </c>
      <c r="H474" s="16">
        <v>12</v>
      </c>
      <c r="I474" s="16">
        <v>4405.1899999999996</v>
      </c>
      <c r="J474" s="16">
        <v>52862.28</v>
      </c>
    </row>
    <row r="475" spans="1:10" ht="15" thickBot="1">
      <c r="A475" s="16" t="s">
        <v>2634</v>
      </c>
      <c r="B475" s="18" t="s">
        <v>2679</v>
      </c>
      <c r="C475" s="18" t="s">
        <v>2652</v>
      </c>
      <c r="D475" s="18" t="s">
        <v>2647</v>
      </c>
      <c r="E475" s="18" t="s">
        <v>2643</v>
      </c>
      <c r="F475" s="18" t="s">
        <v>2661</v>
      </c>
      <c r="G475" s="18" t="s">
        <v>2695</v>
      </c>
      <c r="H475" s="16">
        <v>9</v>
      </c>
      <c r="I475" s="16">
        <v>877.89</v>
      </c>
      <c r="J475" s="16">
        <v>7901.01</v>
      </c>
    </row>
    <row r="476" spans="1:10" ht="15" thickBot="1">
      <c r="A476" s="16" t="s">
        <v>2486</v>
      </c>
      <c r="B476" s="18" t="s">
        <v>2679</v>
      </c>
      <c r="C476" s="18" t="s">
        <v>2657</v>
      </c>
      <c r="D476" s="18" t="s">
        <v>2648</v>
      </c>
      <c r="E476" s="18" t="s">
        <v>2641</v>
      </c>
      <c r="F476" s="18" t="s">
        <v>2372</v>
      </c>
      <c r="G476" s="18" t="s">
        <v>2693</v>
      </c>
      <c r="H476" s="16">
        <v>1</v>
      </c>
      <c r="I476" s="16">
        <v>2970.66</v>
      </c>
      <c r="J476" s="16">
        <v>2970.66</v>
      </c>
    </row>
    <row r="477" spans="1:10" ht="15" thickBot="1">
      <c r="A477" s="16" t="s">
        <v>2582</v>
      </c>
      <c r="B477" s="18" t="s">
        <v>2684</v>
      </c>
      <c r="C477" s="18" t="s">
        <v>2653</v>
      </c>
      <c r="D477" s="18" t="s">
        <v>2644</v>
      </c>
      <c r="E477" s="18" t="s">
        <v>2641</v>
      </c>
      <c r="F477" s="18" t="s">
        <v>2373</v>
      </c>
      <c r="G477" s="18" t="s">
        <v>2703</v>
      </c>
      <c r="H477" s="16">
        <v>15</v>
      </c>
      <c r="I477" s="16">
        <v>3579.98</v>
      </c>
      <c r="J477" s="16">
        <v>53699.7</v>
      </c>
    </row>
    <row r="478" spans="1:10" ht="15" thickBot="1">
      <c r="A478" s="63">
        <v>45056</v>
      </c>
      <c r="B478" s="18" t="s">
        <v>2687</v>
      </c>
      <c r="C478" s="18" t="s">
        <v>2657</v>
      </c>
      <c r="D478" s="18" t="s">
        <v>2648</v>
      </c>
      <c r="E478" s="18" t="s">
        <v>2641</v>
      </c>
      <c r="F478" s="18" t="s">
        <v>2370</v>
      </c>
      <c r="G478" s="18" t="s">
        <v>1336</v>
      </c>
      <c r="H478" s="16">
        <v>9</v>
      </c>
      <c r="I478" s="16">
        <v>1605.02</v>
      </c>
      <c r="J478" s="16">
        <v>14445.18</v>
      </c>
    </row>
    <row r="479" spans="1:10" ht="15" thickBot="1">
      <c r="A479" s="16" t="s">
        <v>2456</v>
      </c>
      <c r="B479" s="18" t="s">
        <v>2678</v>
      </c>
      <c r="C479" s="18" t="s">
        <v>2650</v>
      </c>
      <c r="D479" s="18" t="s">
        <v>2646</v>
      </c>
      <c r="E479" s="18" t="s">
        <v>2642</v>
      </c>
      <c r="F479" s="18" t="s">
        <v>2370</v>
      </c>
      <c r="G479" s="18" t="s">
        <v>1335</v>
      </c>
      <c r="H479" s="16">
        <v>12</v>
      </c>
      <c r="I479" s="16">
        <v>1982.64</v>
      </c>
      <c r="J479" s="16">
        <v>23791.68</v>
      </c>
    </row>
    <row r="480" spans="1:10" ht="15" thickBot="1">
      <c r="A480" s="16" t="s">
        <v>2589</v>
      </c>
      <c r="B480" s="18" t="s">
        <v>2686</v>
      </c>
      <c r="C480" s="18" t="s">
        <v>2657</v>
      </c>
      <c r="D480" s="18" t="s">
        <v>2648</v>
      </c>
      <c r="E480" s="18" t="s">
        <v>2641</v>
      </c>
      <c r="F480" s="18" t="s">
        <v>2374</v>
      </c>
      <c r="G480" s="18" t="s">
        <v>2704</v>
      </c>
      <c r="H480" s="16">
        <v>20</v>
      </c>
      <c r="I480" s="16">
        <v>3195.53</v>
      </c>
      <c r="J480" s="16">
        <v>63910.6</v>
      </c>
    </row>
    <row r="481" spans="1:10" ht="15" thickBot="1">
      <c r="A481" s="63">
        <v>45176</v>
      </c>
      <c r="B481" s="18" t="s">
        <v>2687</v>
      </c>
      <c r="C481" s="18" t="s">
        <v>2656</v>
      </c>
      <c r="D481" s="18" t="s">
        <v>2648</v>
      </c>
      <c r="E481" s="18" t="s">
        <v>2641</v>
      </c>
      <c r="F481" s="18" t="s">
        <v>2661</v>
      </c>
      <c r="G481" s="18" t="s">
        <v>2696</v>
      </c>
      <c r="H481" s="16">
        <v>20</v>
      </c>
      <c r="I481" s="16">
        <v>1580.59</v>
      </c>
      <c r="J481" s="16">
        <v>31611.8</v>
      </c>
    </row>
    <row r="482" spans="1:10" ht="15" thickBot="1">
      <c r="A482" s="16" t="s">
        <v>2482</v>
      </c>
      <c r="B482" s="18" t="s">
        <v>2681</v>
      </c>
      <c r="C482" s="18" t="s">
        <v>2655</v>
      </c>
      <c r="D482" s="18" t="s">
        <v>2645</v>
      </c>
      <c r="E482" s="18" t="s">
        <v>2642</v>
      </c>
      <c r="F482" s="18" t="s">
        <v>2370</v>
      </c>
      <c r="G482" s="18" t="s">
        <v>2701</v>
      </c>
      <c r="H482" s="16">
        <v>6</v>
      </c>
      <c r="I482" s="16">
        <v>809.57</v>
      </c>
      <c r="J482" s="16">
        <v>4857.42</v>
      </c>
    </row>
    <row r="483" spans="1:10" ht="15" thickBot="1">
      <c r="A483" s="16" t="s">
        <v>2467</v>
      </c>
      <c r="B483" s="18" t="s">
        <v>2684</v>
      </c>
      <c r="C483" s="18" t="s">
        <v>2393</v>
      </c>
      <c r="D483" s="18" t="s">
        <v>2644</v>
      </c>
      <c r="E483" s="18" t="s">
        <v>2641</v>
      </c>
      <c r="F483" s="18" t="s">
        <v>2374</v>
      </c>
      <c r="G483" s="18" t="s">
        <v>2692</v>
      </c>
      <c r="H483" s="16">
        <v>6</v>
      </c>
      <c r="I483" s="16">
        <v>1221.52</v>
      </c>
      <c r="J483" s="16">
        <v>7329.12</v>
      </c>
    </row>
    <row r="484" spans="1:10" ht="15" thickBot="1">
      <c r="A484" s="63">
        <v>45054</v>
      </c>
      <c r="B484" s="18" t="s">
        <v>2680</v>
      </c>
      <c r="C484" s="18" t="s">
        <v>2649</v>
      </c>
      <c r="D484" s="18" t="s">
        <v>2645</v>
      </c>
      <c r="E484" s="18" t="s">
        <v>2642</v>
      </c>
      <c r="F484" s="18" t="s">
        <v>2373</v>
      </c>
      <c r="G484" s="18" t="s">
        <v>2688</v>
      </c>
      <c r="H484" s="16">
        <v>4</v>
      </c>
      <c r="I484" s="16">
        <v>2457.5</v>
      </c>
      <c r="J484" s="16">
        <v>9830</v>
      </c>
    </row>
    <row r="485" spans="1:10" ht="15" thickBot="1">
      <c r="A485" s="63">
        <v>45115</v>
      </c>
      <c r="B485" s="18" t="s">
        <v>2680</v>
      </c>
      <c r="C485" s="18" t="s">
        <v>2655</v>
      </c>
      <c r="D485" s="18" t="s">
        <v>2645</v>
      </c>
      <c r="E485" s="18" t="s">
        <v>2642</v>
      </c>
      <c r="F485" s="18" t="s">
        <v>2374</v>
      </c>
      <c r="G485" s="18" t="s">
        <v>2704</v>
      </c>
      <c r="H485" s="16">
        <v>12</v>
      </c>
      <c r="I485" s="16">
        <v>2820.88</v>
      </c>
      <c r="J485" s="16">
        <v>33850.559999999998</v>
      </c>
    </row>
    <row r="486" spans="1:10" ht="15" thickBot="1">
      <c r="A486" s="63">
        <v>45143</v>
      </c>
      <c r="B486" s="18" t="s">
        <v>2686</v>
      </c>
      <c r="C486" s="18" t="s">
        <v>2392</v>
      </c>
      <c r="D486" s="18" t="s">
        <v>2644</v>
      </c>
      <c r="E486" s="18" t="s">
        <v>2641</v>
      </c>
      <c r="F486" s="18" t="s">
        <v>2374</v>
      </c>
      <c r="G486" s="18" t="s">
        <v>2689</v>
      </c>
      <c r="H486" s="16">
        <v>10</v>
      </c>
      <c r="I486" s="16">
        <v>1512.64</v>
      </c>
      <c r="J486" s="16">
        <v>15126.4</v>
      </c>
    </row>
    <row r="487" spans="1:10" ht="15" thickBot="1">
      <c r="A487" s="16" t="s">
        <v>2589</v>
      </c>
      <c r="B487" s="18" t="s">
        <v>2683</v>
      </c>
      <c r="C487" s="18" t="s">
        <v>2660</v>
      </c>
      <c r="D487" s="18" t="s">
        <v>2647</v>
      </c>
      <c r="E487" s="18" t="s">
        <v>2643</v>
      </c>
      <c r="F487" s="18" t="s">
        <v>2661</v>
      </c>
      <c r="G487" s="18" t="s">
        <v>2691</v>
      </c>
      <c r="H487" s="16">
        <v>5</v>
      </c>
      <c r="I487" s="16">
        <v>3199.14</v>
      </c>
      <c r="J487" s="16">
        <v>15995.7</v>
      </c>
    </row>
    <row r="488" spans="1:10" ht="15" thickBot="1">
      <c r="A488" s="16" t="s">
        <v>2504</v>
      </c>
      <c r="B488" s="18" t="s">
        <v>2678</v>
      </c>
      <c r="C488" s="18" t="s">
        <v>2656</v>
      </c>
      <c r="D488" s="18" t="s">
        <v>2648</v>
      </c>
      <c r="E488" s="18" t="s">
        <v>2641</v>
      </c>
      <c r="F488" s="18" t="s">
        <v>2370</v>
      </c>
      <c r="G488" s="18" t="s">
        <v>2702</v>
      </c>
      <c r="H488" s="16">
        <v>11</v>
      </c>
      <c r="I488" s="16">
        <v>4315</v>
      </c>
      <c r="J488" s="16">
        <v>47465</v>
      </c>
    </row>
    <row r="489" spans="1:10" ht="15" thickBot="1">
      <c r="A489" s="63">
        <v>45057</v>
      </c>
      <c r="B489" s="18" t="s">
        <v>2679</v>
      </c>
      <c r="C489" s="18" t="s">
        <v>2653</v>
      </c>
      <c r="D489" s="18" t="s">
        <v>2644</v>
      </c>
      <c r="E489" s="18" t="s">
        <v>2641</v>
      </c>
      <c r="F489" s="18" t="s">
        <v>2661</v>
      </c>
      <c r="G489" s="18" t="s">
        <v>2696</v>
      </c>
      <c r="H489" s="16">
        <v>9</v>
      </c>
      <c r="I489" s="16">
        <v>2118.17</v>
      </c>
      <c r="J489" s="16">
        <v>19063.53</v>
      </c>
    </row>
    <row r="490" spans="1:10" ht="15" thickBot="1">
      <c r="A490" s="63">
        <v>45017</v>
      </c>
      <c r="B490" s="18" t="s">
        <v>2687</v>
      </c>
      <c r="C490" s="18" t="s">
        <v>2660</v>
      </c>
      <c r="D490" s="18" t="s">
        <v>2647</v>
      </c>
      <c r="E490" s="18" t="s">
        <v>2643</v>
      </c>
      <c r="F490" s="18" t="s">
        <v>2374</v>
      </c>
      <c r="G490" s="18" t="s">
        <v>2692</v>
      </c>
      <c r="H490" s="16">
        <v>18</v>
      </c>
      <c r="I490" s="16">
        <v>1042.99</v>
      </c>
      <c r="J490" s="16">
        <v>18773.82</v>
      </c>
    </row>
    <row r="491" spans="1:10" ht="15" thickBot="1">
      <c r="A491" s="16" t="s">
        <v>2468</v>
      </c>
      <c r="B491" s="18" t="s">
        <v>2679</v>
      </c>
      <c r="C491" s="18" t="s">
        <v>2659</v>
      </c>
      <c r="D491" s="18" t="s">
        <v>2647</v>
      </c>
      <c r="E491" s="18" t="s">
        <v>2643</v>
      </c>
      <c r="F491" s="18" t="s">
        <v>2370</v>
      </c>
      <c r="G491" s="18" t="s">
        <v>2702</v>
      </c>
      <c r="H491" s="16">
        <v>6</v>
      </c>
      <c r="I491" s="16">
        <v>4707.38</v>
      </c>
      <c r="J491" s="16">
        <v>28244.28</v>
      </c>
    </row>
    <row r="492" spans="1:10" ht="15" thickBot="1">
      <c r="A492" s="16" t="s">
        <v>2508</v>
      </c>
      <c r="B492" s="18" t="s">
        <v>2682</v>
      </c>
      <c r="C492" s="18" t="s">
        <v>2653</v>
      </c>
      <c r="D492" s="18" t="s">
        <v>2644</v>
      </c>
      <c r="E492" s="18" t="s">
        <v>2641</v>
      </c>
      <c r="F492" s="18" t="s">
        <v>2661</v>
      </c>
      <c r="G492" s="18" t="s">
        <v>2696</v>
      </c>
      <c r="H492" s="16">
        <v>8</v>
      </c>
      <c r="I492" s="16">
        <v>360.87</v>
      </c>
      <c r="J492" s="16">
        <v>2886.96</v>
      </c>
    </row>
    <row r="493" spans="1:10" ht="15" thickBot="1">
      <c r="A493" s="63">
        <v>45140</v>
      </c>
      <c r="B493" s="18" t="s">
        <v>2681</v>
      </c>
      <c r="C493" s="18" t="s">
        <v>2650</v>
      </c>
      <c r="D493" s="18" t="s">
        <v>2646</v>
      </c>
      <c r="E493" s="18" t="s">
        <v>2642</v>
      </c>
      <c r="F493" s="18" t="s">
        <v>2374</v>
      </c>
      <c r="G493" s="18" t="s">
        <v>2700</v>
      </c>
      <c r="H493" s="16">
        <v>12</v>
      </c>
      <c r="I493" s="16">
        <v>2519.65</v>
      </c>
      <c r="J493" s="16">
        <v>30235.8</v>
      </c>
    </row>
    <row r="494" spans="1:10" ht="15" thickBot="1">
      <c r="A494" s="63">
        <v>45176</v>
      </c>
      <c r="B494" s="18" t="s">
        <v>2680</v>
      </c>
      <c r="C494" s="18" t="s">
        <v>2660</v>
      </c>
      <c r="D494" s="18" t="s">
        <v>2647</v>
      </c>
      <c r="E494" s="18" t="s">
        <v>2643</v>
      </c>
      <c r="F494" s="18" t="s">
        <v>2374</v>
      </c>
      <c r="G494" s="18" t="s">
        <v>2692</v>
      </c>
      <c r="H494" s="16">
        <v>7</v>
      </c>
      <c r="I494" s="16">
        <v>2861.67</v>
      </c>
      <c r="J494" s="16">
        <v>20031.689999999999</v>
      </c>
    </row>
    <row r="495" spans="1:10" ht="15" thickBot="1">
      <c r="A495" s="16" t="s">
        <v>2476</v>
      </c>
      <c r="B495" s="18" t="s">
        <v>2680</v>
      </c>
      <c r="C495" s="18" t="s">
        <v>2652</v>
      </c>
      <c r="D495" s="18" t="s">
        <v>2647</v>
      </c>
      <c r="E495" s="18" t="s">
        <v>2643</v>
      </c>
      <c r="F495" s="18" t="s">
        <v>2661</v>
      </c>
      <c r="G495" s="18" t="s">
        <v>2695</v>
      </c>
      <c r="H495" s="16">
        <v>11</v>
      </c>
      <c r="I495" s="16">
        <v>4896.83</v>
      </c>
      <c r="J495" s="16">
        <v>53865.13</v>
      </c>
    </row>
    <row r="496" spans="1:10" ht="15" thickBot="1">
      <c r="A496" s="16" t="s">
        <v>2627</v>
      </c>
      <c r="B496" s="18" t="s">
        <v>2679</v>
      </c>
      <c r="C496" s="18" t="s">
        <v>2656</v>
      </c>
      <c r="D496" s="18" t="s">
        <v>2648</v>
      </c>
      <c r="E496" s="18" t="s">
        <v>2641</v>
      </c>
      <c r="F496" s="18" t="s">
        <v>2370</v>
      </c>
      <c r="G496" s="18" t="s">
        <v>1336</v>
      </c>
      <c r="H496" s="16">
        <v>15</v>
      </c>
      <c r="I496" s="16">
        <v>4180.6099999999997</v>
      </c>
      <c r="J496" s="16">
        <v>62709.15</v>
      </c>
    </row>
    <row r="497" spans="1:10" ht="15" thickBot="1">
      <c r="A497" s="63">
        <v>45242</v>
      </c>
      <c r="B497" s="18" t="s">
        <v>2683</v>
      </c>
      <c r="C497" s="18" t="s">
        <v>2659</v>
      </c>
      <c r="D497" s="18" t="s">
        <v>2647</v>
      </c>
      <c r="E497" s="18" t="s">
        <v>2643</v>
      </c>
      <c r="F497" s="18" t="s">
        <v>2661</v>
      </c>
      <c r="G497" s="18" t="s">
        <v>2691</v>
      </c>
      <c r="H497" s="16">
        <v>2</v>
      </c>
      <c r="I497" s="16">
        <v>3747.71</v>
      </c>
      <c r="J497" s="16">
        <v>7495.42</v>
      </c>
    </row>
    <row r="498" spans="1:10" ht="15" thickBot="1">
      <c r="A498" s="16" t="s">
        <v>2677</v>
      </c>
      <c r="B498" s="18" t="s">
        <v>2686</v>
      </c>
      <c r="C498" s="18" t="s">
        <v>2659</v>
      </c>
      <c r="D498" s="18" t="s">
        <v>2647</v>
      </c>
      <c r="E498" s="18" t="s">
        <v>2643</v>
      </c>
      <c r="F498" s="18" t="s">
        <v>2374</v>
      </c>
      <c r="G498" s="18" t="s">
        <v>2700</v>
      </c>
      <c r="H498" s="16">
        <v>3</v>
      </c>
      <c r="I498" s="16">
        <v>2792.38</v>
      </c>
      <c r="J498" s="16">
        <v>8377.14</v>
      </c>
    </row>
    <row r="499" spans="1:10" ht="15" thickBot="1">
      <c r="A499" s="63">
        <v>45028</v>
      </c>
      <c r="B499" s="18" t="s">
        <v>2682</v>
      </c>
      <c r="C499" s="18" t="s">
        <v>2392</v>
      </c>
      <c r="D499" s="18" t="s">
        <v>2644</v>
      </c>
      <c r="E499" s="18" t="s">
        <v>2641</v>
      </c>
      <c r="F499" s="18" t="s">
        <v>2370</v>
      </c>
      <c r="G499" s="18" t="s">
        <v>1336</v>
      </c>
      <c r="H499" s="16">
        <v>17</v>
      </c>
      <c r="I499" s="16">
        <v>683.31</v>
      </c>
      <c r="J499" s="16">
        <v>11616.27</v>
      </c>
    </row>
    <row r="500" spans="1:10" ht="15" thickBot="1">
      <c r="A500" s="63">
        <v>44986</v>
      </c>
      <c r="B500" s="18" t="s">
        <v>2683</v>
      </c>
      <c r="C500" s="18" t="s">
        <v>2652</v>
      </c>
      <c r="D500" s="18" t="s">
        <v>2647</v>
      </c>
      <c r="E500" s="18" t="s">
        <v>2643</v>
      </c>
      <c r="F500" s="18" t="s">
        <v>2372</v>
      </c>
      <c r="G500" s="18" t="s">
        <v>2694</v>
      </c>
      <c r="H500" s="16">
        <v>20</v>
      </c>
      <c r="I500" s="16">
        <v>3463.6</v>
      </c>
      <c r="J500" s="16">
        <v>69272</v>
      </c>
    </row>
    <row r="501" spans="1:10" ht="15" thickBot="1">
      <c r="A501" s="16" t="s">
        <v>2451</v>
      </c>
      <c r="B501" s="18" t="s">
        <v>2681</v>
      </c>
      <c r="C501" s="18" t="s">
        <v>2649</v>
      </c>
      <c r="D501" s="18" t="s">
        <v>2645</v>
      </c>
      <c r="E501" s="18" t="s">
        <v>2642</v>
      </c>
      <c r="F501" s="18" t="s">
        <v>2374</v>
      </c>
      <c r="G501" s="18" t="s">
        <v>2704</v>
      </c>
      <c r="H501" s="16">
        <v>9</v>
      </c>
      <c r="I501" s="16">
        <v>1609.98</v>
      </c>
      <c r="J501" s="16">
        <v>14489.82</v>
      </c>
    </row>
    <row r="502" spans="1:10" ht="15" thickBot="1">
      <c r="A502" s="63">
        <v>45084</v>
      </c>
      <c r="B502" s="18" t="s">
        <v>2679</v>
      </c>
      <c r="C502" s="18" t="s">
        <v>2392</v>
      </c>
      <c r="D502" s="18" t="s">
        <v>2644</v>
      </c>
      <c r="E502" s="18" t="s">
        <v>2641</v>
      </c>
      <c r="F502" s="18" t="s">
        <v>2374</v>
      </c>
      <c r="G502" s="18" t="s">
        <v>2700</v>
      </c>
      <c r="H502" s="16">
        <v>4</v>
      </c>
      <c r="I502" s="16">
        <v>2836.34</v>
      </c>
      <c r="J502" s="16">
        <v>11345.36</v>
      </c>
    </row>
    <row r="503" spans="1:10" ht="15" thickBot="1">
      <c r="A503" s="16" t="s">
        <v>2584</v>
      </c>
      <c r="B503" s="18" t="s">
        <v>2685</v>
      </c>
      <c r="C503" s="18" t="s">
        <v>2656</v>
      </c>
      <c r="D503" s="18" t="s">
        <v>2648</v>
      </c>
      <c r="E503" s="18" t="s">
        <v>2641</v>
      </c>
      <c r="F503" s="18" t="s">
        <v>2370</v>
      </c>
      <c r="G503" s="18" t="s">
        <v>2701</v>
      </c>
      <c r="H503" s="16">
        <v>18</v>
      </c>
      <c r="I503" s="16">
        <v>3238.98</v>
      </c>
      <c r="J503" s="16">
        <v>58301.64</v>
      </c>
    </row>
    <row r="504" spans="1:10" ht="15" thickBot="1">
      <c r="A504" s="16" t="s">
        <v>2544</v>
      </c>
      <c r="B504" s="18" t="s">
        <v>2681</v>
      </c>
      <c r="C504" s="18" t="s">
        <v>2649</v>
      </c>
      <c r="D504" s="18" t="s">
        <v>2645</v>
      </c>
      <c r="E504" s="18" t="s">
        <v>2642</v>
      </c>
      <c r="F504" s="18" t="s">
        <v>2373</v>
      </c>
      <c r="G504" s="18" t="s">
        <v>2703</v>
      </c>
      <c r="H504" s="16">
        <v>20</v>
      </c>
      <c r="I504" s="16">
        <v>2791.25</v>
      </c>
      <c r="J504" s="16">
        <v>55825</v>
      </c>
    </row>
    <row r="505" spans="1:10" ht="15" thickBot="1">
      <c r="A505" s="16" t="s">
        <v>2579</v>
      </c>
      <c r="B505" s="18" t="s">
        <v>2679</v>
      </c>
      <c r="C505" s="18" t="s">
        <v>2396</v>
      </c>
      <c r="D505" s="18" t="s">
        <v>2648</v>
      </c>
      <c r="E505" s="18" t="s">
        <v>2641</v>
      </c>
      <c r="F505" s="18" t="s">
        <v>2372</v>
      </c>
      <c r="G505" s="18" t="s">
        <v>2690</v>
      </c>
      <c r="H505" s="16">
        <v>1</v>
      </c>
      <c r="I505" s="16">
        <v>3165.04</v>
      </c>
      <c r="J505" s="16">
        <v>3165.04</v>
      </c>
    </row>
    <row r="506" spans="1:10" ht="15" thickBot="1">
      <c r="A506" s="63">
        <v>45117</v>
      </c>
      <c r="B506" s="18" t="s">
        <v>2679</v>
      </c>
      <c r="C506" s="18" t="s">
        <v>2653</v>
      </c>
      <c r="D506" s="18" t="s">
        <v>2644</v>
      </c>
      <c r="E506" s="18" t="s">
        <v>2641</v>
      </c>
      <c r="F506" s="18" t="s">
        <v>2374</v>
      </c>
      <c r="G506" s="18" t="s">
        <v>2689</v>
      </c>
      <c r="H506" s="16">
        <v>14</v>
      </c>
      <c r="I506" s="16">
        <v>3414.59</v>
      </c>
      <c r="J506" s="16">
        <v>47804.26</v>
      </c>
    </row>
    <row r="507" spans="1:10" ht="15" thickBot="1">
      <c r="A507" s="63">
        <v>45240</v>
      </c>
      <c r="B507" s="18" t="s">
        <v>2684</v>
      </c>
      <c r="C507" s="18" t="s">
        <v>2393</v>
      </c>
      <c r="D507" s="18" t="s">
        <v>2644</v>
      </c>
      <c r="E507" s="18" t="s">
        <v>2641</v>
      </c>
      <c r="F507" s="18" t="s">
        <v>2370</v>
      </c>
      <c r="G507" s="18" t="s">
        <v>2701</v>
      </c>
      <c r="H507" s="16">
        <v>4</v>
      </c>
      <c r="I507" s="16">
        <v>3896.69</v>
      </c>
      <c r="J507" s="16">
        <v>15586.76</v>
      </c>
    </row>
    <row r="508" spans="1:10" ht="15" thickBot="1">
      <c r="A508" s="16" t="s">
        <v>2571</v>
      </c>
      <c r="B508" s="18" t="s">
        <v>2681</v>
      </c>
      <c r="C508" s="18" t="s">
        <v>2651</v>
      </c>
      <c r="D508" s="18" t="s">
        <v>2646</v>
      </c>
      <c r="E508" s="18" t="s">
        <v>2642</v>
      </c>
      <c r="F508" s="18" t="s">
        <v>2372</v>
      </c>
      <c r="G508" s="18" t="s">
        <v>2699</v>
      </c>
      <c r="H508" s="16">
        <v>5</v>
      </c>
      <c r="I508" s="16">
        <v>2024.36</v>
      </c>
      <c r="J508" s="16">
        <v>10121.799999999999</v>
      </c>
    </row>
    <row r="509" spans="1:10" ht="15" thickBot="1">
      <c r="A509" s="63">
        <v>45207</v>
      </c>
      <c r="B509" s="18" t="s">
        <v>2682</v>
      </c>
      <c r="C509" s="18" t="s">
        <v>2660</v>
      </c>
      <c r="D509" s="18" t="s">
        <v>2647</v>
      </c>
      <c r="E509" s="18" t="s">
        <v>2643</v>
      </c>
      <c r="F509" s="18" t="s">
        <v>2372</v>
      </c>
      <c r="G509" s="18" t="s">
        <v>2690</v>
      </c>
      <c r="H509" s="16">
        <v>17</v>
      </c>
      <c r="I509" s="16">
        <v>102.62</v>
      </c>
      <c r="J509" s="16">
        <v>1744.54</v>
      </c>
    </row>
    <row r="510" spans="1:10" ht="15" thickBot="1">
      <c r="A510" s="16" t="s">
        <v>2535</v>
      </c>
      <c r="B510" s="18" t="s">
        <v>2681</v>
      </c>
      <c r="C510" s="18" t="s">
        <v>2396</v>
      </c>
      <c r="D510" s="18" t="s">
        <v>2648</v>
      </c>
      <c r="E510" s="18" t="s">
        <v>2641</v>
      </c>
      <c r="F510" s="18" t="s">
        <v>2374</v>
      </c>
      <c r="G510" s="18" t="s">
        <v>2689</v>
      </c>
      <c r="H510" s="16">
        <v>7</v>
      </c>
      <c r="I510" s="16">
        <v>146.52000000000001</v>
      </c>
      <c r="J510" s="16">
        <v>1025.6400000000001</v>
      </c>
    </row>
    <row r="511" spans="1:10" ht="15" thickBot="1">
      <c r="A511" s="16" t="s">
        <v>2551</v>
      </c>
      <c r="B511" s="18" t="s">
        <v>2682</v>
      </c>
      <c r="C511" s="18" t="s">
        <v>2660</v>
      </c>
      <c r="D511" s="18" t="s">
        <v>2647</v>
      </c>
      <c r="E511" s="18" t="s">
        <v>2643</v>
      </c>
      <c r="F511" s="18" t="s">
        <v>2373</v>
      </c>
      <c r="G511" s="18" t="s">
        <v>2703</v>
      </c>
      <c r="H511" s="16">
        <v>2</v>
      </c>
      <c r="I511" s="16">
        <v>4248</v>
      </c>
      <c r="J511" s="16">
        <v>8496</v>
      </c>
    </row>
    <row r="512" spans="1:10" ht="15" thickBot="1">
      <c r="A512" s="63">
        <v>44929</v>
      </c>
      <c r="B512" s="18" t="s">
        <v>2687</v>
      </c>
      <c r="C512" s="18" t="s">
        <v>2653</v>
      </c>
      <c r="D512" s="18" t="s">
        <v>2644</v>
      </c>
      <c r="E512" s="18" t="s">
        <v>2641</v>
      </c>
      <c r="F512" s="18" t="s">
        <v>2372</v>
      </c>
      <c r="G512" s="18" t="s">
        <v>2690</v>
      </c>
      <c r="H512" s="16">
        <v>8</v>
      </c>
      <c r="I512" s="16">
        <v>3075.58</v>
      </c>
      <c r="J512" s="16">
        <v>24604.639999999999</v>
      </c>
    </row>
    <row r="513" spans="1:10" ht="15" thickBot="1">
      <c r="A513" s="16" t="s">
        <v>2535</v>
      </c>
      <c r="B513" s="18" t="s">
        <v>2683</v>
      </c>
      <c r="C513" s="18" t="s">
        <v>2652</v>
      </c>
      <c r="D513" s="18" t="s">
        <v>2647</v>
      </c>
      <c r="E513" s="18" t="s">
        <v>2643</v>
      </c>
      <c r="F513" s="18" t="s">
        <v>2661</v>
      </c>
      <c r="G513" s="18" t="s">
        <v>2691</v>
      </c>
      <c r="H513" s="16">
        <v>13</v>
      </c>
      <c r="I513" s="16">
        <v>1246.1400000000001</v>
      </c>
      <c r="J513" s="16">
        <v>16199.82</v>
      </c>
    </row>
    <row r="514" spans="1:10" ht="15" thickBot="1">
      <c r="A514" s="63">
        <v>44966</v>
      </c>
      <c r="B514" s="18" t="s">
        <v>2686</v>
      </c>
      <c r="C514" s="18" t="s">
        <v>2654</v>
      </c>
      <c r="D514" s="18" t="s">
        <v>2646</v>
      </c>
      <c r="E514" s="18" t="s">
        <v>2642</v>
      </c>
      <c r="F514" s="18" t="s">
        <v>2370</v>
      </c>
      <c r="G514" s="18" t="s">
        <v>1335</v>
      </c>
      <c r="H514" s="16">
        <v>16</v>
      </c>
      <c r="I514" s="16">
        <v>3942.95</v>
      </c>
      <c r="J514" s="16">
        <v>63087.199999999997</v>
      </c>
    </row>
    <row r="515" spans="1:10" ht="15" thickBot="1">
      <c r="A515" s="63">
        <v>45233</v>
      </c>
      <c r="B515" s="18" t="s">
        <v>2687</v>
      </c>
      <c r="C515" s="18" t="s">
        <v>2652</v>
      </c>
      <c r="D515" s="18" t="s">
        <v>2647</v>
      </c>
      <c r="E515" s="18" t="s">
        <v>2643</v>
      </c>
      <c r="F515" s="18" t="s">
        <v>2374</v>
      </c>
      <c r="G515" s="18" t="s">
        <v>2704</v>
      </c>
      <c r="H515" s="16">
        <v>1</v>
      </c>
      <c r="I515" s="16">
        <v>936.56</v>
      </c>
      <c r="J515" s="16">
        <v>936.56</v>
      </c>
    </row>
    <row r="516" spans="1:10" ht="15" thickBot="1">
      <c r="A516" s="16" t="s">
        <v>2529</v>
      </c>
      <c r="B516" s="18" t="s">
        <v>2684</v>
      </c>
      <c r="C516" s="18" t="s">
        <v>2660</v>
      </c>
      <c r="D516" s="18" t="s">
        <v>2647</v>
      </c>
      <c r="E516" s="18" t="s">
        <v>2643</v>
      </c>
      <c r="F516" s="18" t="s">
        <v>2372</v>
      </c>
      <c r="G516" s="18" t="s">
        <v>2690</v>
      </c>
      <c r="H516" s="16">
        <v>7</v>
      </c>
      <c r="I516" s="16">
        <v>1628.68</v>
      </c>
      <c r="J516" s="16">
        <v>11400.76</v>
      </c>
    </row>
    <row r="517" spans="1:10" ht="15" thickBot="1">
      <c r="A517" s="16" t="s">
        <v>2611</v>
      </c>
      <c r="B517" s="18" t="s">
        <v>2685</v>
      </c>
      <c r="C517" s="18" t="s">
        <v>2396</v>
      </c>
      <c r="D517" s="18" t="s">
        <v>2648</v>
      </c>
      <c r="E517" s="18" t="s">
        <v>2641</v>
      </c>
      <c r="F517" s="18" t="s">
        <v>2374</v>
      </c>
      <c r="G517" s="18" t="s">
        <v>2692</v>
      </c>
      <c r="H517" s="16">
        <v>10</v>
      </c>
      <c r="I517" s="16">
        <v>3400.28</v>
      </c>
      <c r="J517" s="16">
        <v>34002.800000000003</v>
      </c>
    </row>
    <row r="518" spans="1:10" ht="15" thickBot="1">
      <c r="A518" s="63">
        <v>45081</v>
      </c>
      <c r="B518" s="18" t="s">
        <v>2682</v>
      </c>
      <c r="C518" s="18" t="s">
        <v>2655</v>
      </c>
      <c r="D518" s="18" t="s">
        <v>2645</v>
      </c>
      <c r="E518" s="18" t="s">
        <v>2642</v>
      </c>
      <c r="F518" s="18" t="s">
        <v>2374</v>
      </c>
      <c r="G518" s="18" t="s">
        <v>2700</v>
      </c>
      <c r="H518" s="16">
        <v>18</v>
      </c>
      <c r="I518" s="16">
        <v>2722.99</v>
      </c>
      <c r="J518" s="16">
        <v>49013.82</v>
      </c>
    </row>
    <row r="519" spans="1:10" ht="15" thickBot="1">
      <c r="A519" s="63">
        <v>45082</v>
      </c>
      <c r="B519" s="18" t="s">
        <v>2680</v>
      </c>
      <c r="C519" s="18" t="s">
        <v>2658</v>
      </c>
      <c r="D519" s="18" t="s">
        <v>2645</v>
      </c>
      <c r="E519" s="18" t="s">
        <v>2642</v>
      </c>
      <c r="F519" s="18" t="s">
        <v>2661</v>
      </c>
      <c r="G519" s="18" t="s">
        <v>2696</v>
      </c>
      <c r="H519" s="16">
        <v>8</v>
      </c>
      <c r="I519" s="16">
        <v>4612.53</v>
      </c>
      <c r="J519" s="16">
        <v>36900.239999999998</v>
      </c>
    </row>
    <row r="520" spans="1:10" ht="15" thickBot="1">
      <c r="A520" s="16" t="s">
        <v>2440</v>
      </c>
      <c r="B520" s="18" t="s">
        <v>2682</v>
      </c>
      <c r="C520" s="18" t="s">
        <v>2653</v>
      </c>
      <c r="D520" s="18" t="s">
        <v>2644</v>
      </c>
      <c r="E520" s="18" t="s">
        <v>2641</v>
      </c>
      <c r="F520" s="18" t="s">
        <v>2661</v>
      </c>
      <c r="G520" s="18" t="s">
        <v>2691</v>
      </c>
      <c r="H520" s="16">
        <v>13</v>
      </c>
      <c r="I520" s="16">
        <v>2040.1</v>
      </c>
      <c r="J520" s="16">
        <v>26521.3</v>
      </c>
    </row>
    <row r="521" spans="1:10" ht="15" thickBot="1">
      <c r="A521" s="16" t="s">
        <v>2537</v>
      </c>
      <c r="B521" s="18" t="s">
        <v>2683</v>
      </c>
      <c r="C521" s="18" t="s">
        <v>2655</v>
      </c>
      <c r="D521" s="18" t="s">
        <v>2645</v>
      </c>
      <c r="E521" s="18" t="s">
        <v>2642</v>
      </c>
      <c r="F521" s="18" t="s">
        <v>2370</v>
      </c>
      <c r="G521" s="18" t="s">
        <v>2702</v>
      </c>
      <c r="H521" s="16">
        <v>17</v>
      </c>
      <c r="I521" s="16">
        <v>1122.98</v>
      </c>
      <c r="J521" s="16">
        <v>19090.66</v>
      </c>
    </row>
    <row r="522" spans="1:10" ht="15" thickBot="1">
      <c r="A522" s="63">
        <v>45027</v>
      </c>
      <c r="B522" s="18" t="s">
        <v>2681</v>
      </c>
      <c r="C522" s="18" t="s">
        <v>2653</v>
      </c>
      <c r="D522" s="18" t="s">
        <v>2644</v>
      </c>
      <c r="E522" s="18" t="s">
        <v>2641</v>
      </c>
      <c r="F522" s="18" t="s">
        <v>2661</v>
      </c>
      <c r="G522" s="18" t="s">
        <v>2691</v>
      </c>
      <c r="H522" s="16">
        <v>16</v>
      </c>
      <c r="I522" s="16">
        <v>2458.6</v>
      </c>
      <c r="J522" s="16">
        <v>39337.599999999999</v>
      </c>
    </row>
    <row r="523" spans="1:10" ht="15" thickBot="1">
      <c r="A523" s="16" t="s">
        <v>2636</v>
      </c>
      <c r="B523" s="18" t="s">
        <v>2687</v>
      </c>
      <c r="C523" s="18" t="s">
        <v>2653</v>
      </c>
      <c r="D523" s="18" t="s">
        <v>2644</v>
      </c>
      <c r="E523" s="18" t="s">
        <v>2641</v>
      </c>
      <c r="F523" s="18" t="s">
        <v>2373</v>
      </c>
      <c r="G523" s="18" t="s">
        <v>2697</v>
      </c>
      <c r="H523" s="16">
        <v>9</v>
      </c>
      <c r="I523" s="16">
        <v>3195.18</v>
      </c>
      <c r="J523" s="16">
        <v>28756.62</v>
      </c>
    </row>
    <row r="524" spans="1:10" ht="15" thickBot="1">
      <c r="A524" s="63">
        <v>45026</v>
      </c>
      <c r="B524" s="18" t="s">
        <v>2681</v>
      </c>
      <c r="C524" s="18" t="s">
        <v>2654</v>
      </c>
      <c r="D524" s="18" t="s">
        <v>2646</v>
      </c>
      <c r="E524" s="18" t="s">
        <v>2642</v>
      </c>
      <c r="F524" s="18" t="s">
        <v>2373</v>
      </c>
      <c r="G524" s="18" t="s">
        <v>2703</v>
      </c>
      <c r="H524" s="16">
        <v>3</v>
      </c>
      <c r="I524" s="16">
        <v>384.96</v>
      </c>
      <c r="J524" s="16">
        <v>1154.8800000000001</v>
      </c>
    </row>
    <row r="525" spans="1:10" ht="15" thickBot="1">
      <c r="A525" s="16" t="s">
        <v>2610</v>
      </c>
      <c r="B525" s="18" t="s">
        <v>2684</v>
      </c>
      <c r="C525" s="18" t="s">
        <v>2653</v>
      </c>
      <c r="D525" s="18" t="s">
        <v>2644</v>
      </c>
      <c r="E525" s="18" t="s">
        <v>2641</v>
      </c>
      <c r="F525" s="18" t="s">
        <v>2661</v>
      </c>
      <c r="G525" s="18" t="s">
        <v>2695</v>
      </c>
      <c r="H525" s="16">
        <v>4</v>
      </c>
      <c r="I525" s="16">
        <v>3714.59</v>
      </c>
      <c r="J525" s="16">
        <v>14858.36</v>
      </c>
    </row>
    <row r="526" spans="1:10" ht="15" thickBot="1">
      <c r="A526" s="16" t="s">
        <v>2502</v>
      </c>
      <c r="B526" s="18" t="s">
        <v>2687</v>
      </c>
      <c r="C526" s="18" t="s">
        <v>2658</v>
      </c>
      <c r="D526" s="18" t="s">
        <v>2645</v>
      </c>
      <c r="E526" s="18" t="s">
        <v>2642</v>
      </c>
      <c r="F526" s="18" t="s">
        <v>2661</v>
      </c>
      <c r="G526" s="18" t="s">
        <v>2698</v>
      </c>
      <c r="H526" s="16">
        <v>9</v>
      </c>
      <c r="I526" s="16">
        <v>1765.86</v>
      </c>
      <c r="J526" s="16">
        <v>15892.74</v>
      </c>
    </row>
    <row r="527" spans="1:10" ht="15" thickBot="1">
      <c r="A527" s="63">
        <v>45114</v>
      </c>
      <c r="B527" s="18" t="s">
        <v>2678</v>
      </c>
      <c r="C527" s="18" t="s">
        <v>2656</v>
      </c>
      <c r="D527" s="18" t="s">
        <v>2648</v>
      </c>
      <c r="E527" s="18" t="s">
        <v>2641</v>
      </c>
      <c r="F527" s="18" t="s">
        <v>2661</v>
      </c>
      <c r="G527" s="18" t="s">
        <v>2695</v>
      </c>
      <c r="H527" s="16">
        <v>8</v>
      </c>
      <c r="I527" s="16">
        <v>3069.86</v>
      </c>
      <c r="J527" s="16">
        <v>24558.880000000001</v>
      </c>
    </row>
    <row r="528" spans="1:10" ht="15" thickBot="1">
      <c r="A528" s="16" t="s">
        <v>2673</v>
      </c>
      <c r="B528" s="18" t="s">
        <v>2685</v>
      </c>
      <c r="C528" s="18" t="s">
        <v>2659</v>
      </c>
      <c r="D528" s="18" t="s">
        <v>2647</v>
      </c>
      <c r="E528" s="18" t="s">
        <v>2643</v>
      </c>
      <c r="F528" s="18" t="s">
        <v>2373</v>
      </c>
      <c r="G528" s="18" t="s">
        <v>2688</v>
      </c>
      <c r="H528" s="16">
        <v>9</v>
      </c>
      <c r="I528" s="16">
        <v>1720.47</v>
      </c>
      <c r="J528" s="16">
        <v>15484.23</v>
      </c>
    </row>
    <row r="529" spans="1:10" ht="15" thickBot="1">
      <c r="A529" s="16" t="s">
        <v>2447</v>
      </c>
      <c r="B529" s="18" t="s">
        <v>2682</v>
      </c>
      <c r="C529" s="18" t="s">
        <v>2649</v>
      </c>
      <c r="D529" s="18" t="s">
        <v>2645</v>
      </c>
      <c r="E529" s="18" t="s">
        <v>2642</v>
      </c>
      <c r="F529" s="18" t="s">
        <v>2372</v>
      </c>
      <c r="G529" s="18" t="s">
        <v>2693</v>
      </c>
      <c r="H529" s="16">
        <v>7</v>
      </c>
      <c r="I529" s="16">
        <v>3416.74</v>
      </c>
      <c r="J529" s="16">
        <v>23917.18</v>
      </c>
    </row>
    <row r="530" spans="1:10" ht="15" thickBot="1">
      <c r="A530" s="16" t="s">
        <v>2513</v>
      </c>
      <c r="B530" s="18" t="s">
        <v>2685</v>
      </c>
      <c r="C530" s="18" t="s">
        <v>2649</v>
      </c>
      <c r="D530" s="18" t="s">
        <v>2645</v>
      </c>
      <c r="E530" s="18" t="s">
        <v>2642</v>
      </c>
      <c r="F530" s="18" t="s">
        <v>2373</v>
      </c>
      <c r="G530" s="18" t="s">
        <v>2688</v>
      </c>
      <c r="H530" s="16">
        <v>7</v>
      </c>
      <c r="I530" s="16">
        <v>4741.12</v>
      </c>
      <c r="J530" s="16">
        <v>33187.839999999997</v>
      </c>
    </row>
    <row r="531" spans="1:10" ht="15" thickBot="1">
      <c r="A531" s="63">
        <v>45205</v>
      </c>
      <c r="B531" s="18" t="s">
        <v>2686</v>
      </c>
      <c r="C531" s="18" t="s">
        <v>2659</v>
      </c>
      <c r="D531" s="18" t="s">
        <v>2647</v>
      </c>
      <c r="E531" s="18" t="s">
        <v>2643</v>
      </c>
      <c r="F531" s="18" t="s">
        <v>2372</v>
      </c>
      <c r="G531" s="18" t="s">
        <v>2694</v>
      </c>
      <c r="H531" s="16">
        <v>20</v>
      </c>
      <c r="I531" s="16">
        <v>2721.24</v>
      </c>
      <c r="J531" s="16">
        <v>54424.800000000003</v>
      </c>
    </row>
    <row r="532" spans="1:10" ht="15" thickBot="1">
      <c r="A532" s="16" t="s">
        <v>2463</v>
      </c>
      <c r="B532" s="18" t="s">
        <v>2684</v>
      </c>
      <c r="C532" s="18" t="s">
        <v>2656</v>
      </c>
      <c r="D532" s="18" t="s">
        <v>2648</v>
      </c>
      <c r="E532" s="18" t="s">
        <v>2641</v>
      </c>
      <c r="F532" s="18" t="s">
        <v>2370</v>
      </c>
      <c r="G532" s="18" t="s">
        <v>1336</v>
      </c>
      <c r="H532" s="16">
        <v>4</v>
      </c>
      <c r="I532" s="16">
        <v>3751.49</v>
      </c>
      <c r="J532" s="16">
        <v>15005.96</v>
      </c>
    </row>
    <row r="533" spans="1:10" ht="15" thickBot="1">
      <c r="A533" s="16" t="s">
        <v>2537</v>
      </c>
      <c r="B533" s="18" t="s">
        <v>2687</v>
      </c>
      <c r="C533" s="18" t="s">
        <v>2655</v>
      </c>
      <c r="D533" s="18" t="s">
        <v>2645</v>
      </c>
      <c r="E533" s="18" t="s">
        <v>2642</v>
      </c>
      <c r="F533" s="18" t="s">
        <v>2372</v>
      </c>
      <c r="G533" s="18" t="s">
        <v>2699</v>
      </c>
      <c r="H533" s="16">
        <v>19</v>
      </c>
      <c r="I533" s="16">
        <v>4513.6000000000004</v>
      </c>
      <c r="J533" s="16">
        <v>85758.399999999994</v>
      </c>
    </row>
    <row r="534" spans="1:10" ht="15" thickBot="1">
      <c r="A534" s="63">
        <v>45231</v>
      </c>
      <c r="B534" s="18" t="s">
        <v>2686</v>
      </c>
      <c r="C534" s="18" t="s">
        <v>2654</v>
      </c>
      <c r="D534" s="18" t="s">
        <v>2646</v>
      </c>
      <c r="E534" s="18" t="s">
        <v>2642</v>
      </c>
      <c r="F534" s="18" t="s">
        <v>2373</v>
      </c>
      <c r="G534" s="18" t="s">
        <v>2705</v>
      </c>
      <c r="H534" s="16">
        <v>11</v>
      </c>
      <c r="I534" s="16">
        <v>3514.12</v>
      </c>
      <c r="J534" s="16">
        <v>38655.32</v>
      </c>
    </row>
    <row r="535" spans="1:10" ht="15" thickBot="1">
      <c r="A535" s="16" t="s">
        <v>2551</v>
      </c>
      <c r="B535" s="18" t="s">
        <v>2685</v>
      </c>
      <c r="C535" s="18" t="s">
        <v>2649</v>
      </c>
      <c r="D535" s="18" t="s">
        <v>2645</v>
      </c>
      <c r="E535" s="18" t="s">
        <v>2642</v>
      </c>
      <c r="F535" s="18" t="s">
        <v>2373</v>
      </c>
      <c r="G535" s="18" t="s">
        <v>2697</v>
      </c>
      <c r="H535" s="16">
        <v>13</v>
      </c>
      <c r="I535" s="16">
        <v>2109.15</v>
      </c>
      <c r="J535" s="16">
        <v>27418.95</v>
      </c>
    </row>
    <row r="536" spans="1:10" ht="15" thickBot="1">
      <c r="A536" s="16" t="s">
        <v>2535</v>
      </c>
      <c r="B536" s="18" t="s">
        <v>2679</v>
      </c>
      <c r="C536" s="18" t="s">
        <v>2654</v>
      </c>
      <c r="D536" s="18" t="s">
        <v>2646</v>
      </c>
      <c r="E536" s="18" t="s">
        <v>2642</v>
      </c>
      <c r="F536" s="18" t="s">
        <v>2372</v>
      </c>
      <c r="G536" s="18" t="s">
        <v>2693</v>
      </c>
      <c r="H536" s="16">
        <v>16</v>
      </c>
      <c r="I536" s="16">
        <v>4090.26</v>
      </c>
      <c r="J536" s="16">
        <v>65444.160000000003</v>
      </c>
    </row>
    <row r="537" spans="1:10" ht="15" thickBot="1">
      <c r="A537" s="16" t="s">
        <v>2454</v>
      </c>
      <c r="B537" s="18" t="s">
        <v>2680</v>
      </c>
      <c r="C537" s="18" t="s">
        <v>2657</v>
      </c>
      <c r="D537" s="18" t="s">
        <v>2648</v>
      </c>
      <c r="E537" s="18" t="s">
        <v>2641</v>
      </c>
      <c r="F537" s="18" t="s">
        <v>2372</v>
      </c>
      <c r="G537" s="18" t="s">
        <v>2694</v>
      </c>
      <c r="H537" s="16">
        <v>12</v>
      </c>
      <c r="I537" s="16">
        <v>219.32</v>
      </c>
      <c r="J537" s="16">
        <v>2631.84</v>
      </c>
    </row>
    <row r="538" spans="1:10" ht="15" thickBot="1">
      <c r="A538" s="16" t="s">
        <v>2666</v>
      </c>
      <c r="B538" s="18" t="s">
        <v>2678</v>
      </c>
      <c r="C538" s="18" t="s">
        <v>2659</v>
      </c>
      <c r="D538" s="18" t="s">
        <v>2647</v>
      </c>
      <c r="E538" s="18" t="s">
        <v>2643</v>
      </c>
      <c r="F538" s="18" t="s">
        <v>2374</v>
      </c>
      <c r="G538" s="18" t="s">
        <v>2700</v>
      </c>
      <c r="H538" s="16">
        <v>14</v>
      </c>
      <c r="I538" s="16">
        <v>264.77</v>
      </c>
      <c r="J538" s="16">
        <v>3706.78</v>
      </c>
    </row>
    <row r="539" spans="1:10" ht="15" thickBot="1">
      <c r="A539" s="63">
        <v>44931</v>
      </c>
      <c r="B539" s="18" t="s">
        <v>2686</v>
      </c>
      <c r="C539" s="18" t="s">
        <v>2651</v>
      </c>
      <c r="D539" s="18" t="s">
        <v>2646</v>
      </c>
      <c r="E539" s="18" t="s">
        <v>2642</v>
      </c>
      <c r="F539" s="18" t="s">
        <v>2372</v>
      </c>
      <c r="G539" s="18" t="s">
        <v>2694</v>
      </c>
      <c r="H539" s="16">
        <v>9</v>
      </c>
      <c r="I539" s="16">
        <v>2624.88</v>
      </c>
      <c r="J539" s="16">
        <v>23623.919999999998</v>
      </c>
    </row>
    <row r="540" spans="1:10" ht="15" thickBot="1">
      <c r="A540" s="63">
        <v>45022</v>
      </c>
      <c r="B540" s="18" t="s">
        <v>2683</v>
      </c>
      <c r="C540" s="18" t="s">
        <v>2396</v>
      </c>
      <c r="D540" s="18" t="s">
        <v>2648</v>
      </c>
      <c r="E540" s="18" t="s">
        <v>2641</v>
      </c>
      <c r="F540" s="18" t="s">
        <v>2373</v>
      </c>
      <c r="G540" s="18" t="s">
        <v>2703</v>
      </c>
      <c r="H540" s="16">
        <v>15</v>
      </c>
      <c r="I540" s="16">
        <v>1063.8800000000001</v>
      </c>
      <c r="J540" s="16">
        <v>15958.2</v>
      </c>
    </row>
    <row r="541" spans="1:10" ht="15" thickBot="1">
      <c r="A541" s="16" t="s">
        <v>2610</v>
      </c>
      <c r="B541" s="18" t="s">
        <v>2686</v>
      </c>
      <c r="C541" s="18" t="s">
        <v>2650</v>
      </c>
      <c r="D541" s="18" t="s">
        <v>2646</v>
      </c>
      <c r="E541" s="18" t="s">
        <v>2642</v>
      </c>
      <c r="F541" s="18" t="s">
        <v>2372</v>
      </c>
      <c r="G541" s="18" t="s">
        <v>2694</v>
      </c>
      <c r="H541" s="16">
        <v>2</v>
      </c>
      <c r="I541" s="16">
        <v>4277.8999999999996</v>
      </c>
      <c r="J541" s="16">
        <v>8555.7999999999993</v>
      </c>
    </row>
    <row r="542" spans="1:10" ht="15" thickBot="1">
      <c r="A542" s="16" t="s">
        <v>2466</v>
      </c>
      <c r="B542" s="18" t="s">
        <v>2678</v>
      </c>
      <c r="C542" s="18" t="s">
        <v>2656</v>
      </c>
      <c r="D542" s="18" t="s">
        <v>2648</v>
      </c>
      <c r="E542" s="18" t="s">
        <v>2641</v>
      </c>
      <c r="F542" s="18" t="s">
        <v>2372</v>
      </c>
      <c r="G542" s="18" t="s">
        <v>2699</v>
      </c>
      <c r="H542" s="16">
        <v>13</v>
      </c>
      <c r="I542" s="16">
        <v>1762.69</v>
      </c>
      <c r="J542" s="16">
        <v>22914.97</v>
      </c>
    </row>
    <row r="543" spans="1:10" ht="15" thickBot="1">
      <c r="A543" s="16" t="s">
        <v>2600</v>
      </c>
      <c r="B543" s="18" t="s">
        <v>2682</v>
      </c>
      <c r="C543" s="18" t="s">
        <v>2649</v>
      </c>
      <c r="D543" s="18" t="s">
        <v>2645</v>
      </c>
      <c r="E543" s="18" t="s">
        <v>2642</v>
      </c>
      <c r="F543" s="18" t="s">
        <v>2372</v>
      </c>
      <c r="G543" s="18" t="s">
        <v>2699</v>
      </c>
      <c r="H543" s="16">
        <v>6</v>
      </c>
      <c r="I543" s="16">
        <v>2069.96</v>
      </c>
      <c r="J543" s="16">
        <v>12419.76</v>
      </c>
    </row>
    <row r="544" spans="1:10" ht="15" thickBot="1">
      <c r="A544" s="16" t="s">
        <v>2677</v>
      </c>
      <c r="B544" s="18" t="s">
        <v>2679</v>
      </c>
      <c r="C544" s="18" t="s">
        <v>2652</v>
      </c>
      <c r="D544" s="18" t="s">
        <v>2647</v>
      </c>
      <c r="E544" s="18" t="s">
        <v>2643</v>
      </c>
      <c r="F544" s="18" t="s">
        <v>2372</v>
      </c>
      <c r="G544" s="18" t="s">
        <v>2694</v>
      </c>
      <c r="H544" s="16">
        <v>19</v>
      </c>
      <c r="I544" s="16">
        <v>3822.54</v>
      </c>
      <c r="J544" s="16">
        <v>72628.259999999995</v>
      </c>
    </row>
    <row r="545" spans="1:10" ht="15" thickBot="1">
      <c r="A545" s="63">
        <v>45087</v>
      </c>
      <c r="B545" s="18" t="s">
        <v>2679</v>
      </c>
      <c r="C545" s="18" t="s">
        <v>2652</v>
      </c>
      <c r="D545" s="18" t="s">
        <v>2647</v>
      </c>
      <c r="E545" s="18" t="s">
        <v>2643</v>
      </c>
      <c r="F545" s="18" t="s">
        <v>2661</v>
      </c>
      <c r="G545" s="18" t="s">
        <v>2696</v>
      </c>
      <c r="H545" s="16">
        <v>16</v>
      </c>
      <c r="I545" s="16">
        <v>242.23</v>
      </c>
      <c r="J545" s="16">
        <v>3875.68</v>
      </c>
    </row>
    <row r="546" spans="1:10" ht="15" thickBot="1">
      <c r="A546" s="16" t="s">
        <v>2577</v>
      </c>
      <c r="B546" s="18" t="s">
        <v>2683</v>
      </c>
      <c r="C546" s="18" t="s">
        <v>2396</v>
      </c>
      <c r="D546" s="18" t="s">
        <v>2648</v>
      </c>
      <c r="E546" s="18" t="s">
        <v>2641</v>
      </c>
      <c r="F546" s="18" t="s">
        <v>2374</v>
      </c>
      <c r="G546" s="18" t="s">
        <v>2692</v>
      </c>
      <c r="H546" s="16">
        <v>12</v>
      </c>
      <c r="I546" s="16">
        <v>2290.7600000000002</v>
      </c>
      <c r="J546" s="16">
        <v>27489.119999999999</v>
      </c>
    </row>
    <row r="547" spans="1:10" ht="15" thickBot="1">
      <c r="A547" s="16" t="s">
        <v>2486</v>
      </c>
      <c r="B547" s="18" t="s">
        <v>2687</v>
      </c>
      <c r="C547" s="18" t="s">
        <v>2392</v>
      </c>
      <c r="D547" s="18" t="s">
        <v>2644</v>
      </c>
      <c r="E547" s="18" t="s">
        <v>2641</v>
      </c>
      <c r="F547" s="18" t="s">
        <v>2372</v>
      </c>
      <c r="G547" s="18" t="s">
        <v>2694</v>
      </c>
      <c r="H547" s="16">
        <v>18</v>
      </c>
      <c r="I547" s="16">
        <v>1957.78</v>
      </c>
      <c r="J547" s="16">
        <v>35240.04</v>
      </c>
    </row>
    <row r="548" spans="1:10" ht="15" thickBot="1">
      <c r="A548" s="63">
        <v>45088</v>
      </c>
      <c r="B548" s="18" t="s">
        <v>2685</v>
      </c>
      <c r="C548" s="18" t="s">
        <v>2392</v>
      </c>
      <c r="D548" s="18" t="s">
        <v>2644</v>
      </c>
      <c r="E548" s="18" t="s">
        <v>2641</v>
      </c>
      <c r="F548" s="18" t="s">
        <v>2374</v>
      </c>
      <c r="G548" s="18" t="s">
        <v>2704</v>
      </c>
      <c r="H548" s="16">
        <v>1</v>
      </c>
      <c r="I548" s="16">
        <v>4370.57</v>
      </c>
      <c r="J548" s="16">
        <v>4370.57</v>
      </c>
    </row>
    <row r="549" spans="1:10" ht="15" thickBot="1">
      <c r="A549" s="16" t="s">
        <v>2440</v>
      </c>
      <c r="B549" s="18" t="s">
        <v>2682</v>
      </c>
      <c r="C549" s="18" t="s">
        <v>2652</v>
      </c>
      <c r="D549" s="18" t="s">
        <v>2647</v>
      </c>
      <c r="E549" s="18" t="s">
        <v>2643</v>
      </c>
      <c r="F549" s="18" t="s">
        <v>2661</v>
      </c>
      <c r="G549" s="18" t="s">
        <v>2695</v>
      </c>
      <c r="H549" s="16">
        <v>3</v>
      </c>
      <c r="I549" s="16">
        <v>1894.71</v>
      </c>
      <c r="J549" s="16">
        <v>5684.13</v>
      </c>
    </row>
    <row r="550" spans="1:10" ht="15" thickBot="1">
      <c r="A550" s="63">
        <v>45271</v>
      </c>
      <c r="B550" s="18" t="s">
        <v>2680</v>
      </c>
      <c r="C550" s="18" t="s">
        <v>2396</v>
      </c>
      <c r="D550" s="18" t="s">
        <v>2648</v>
      </c>
      <c r="E550" s="18" t="s">
        <v>2641</v>
      </c>
      <c r="F550" s="18" t="s">
        <v>2661</v>
      </c>
      <c r="G550" s="18" t="s">
        <v>2698</v>
      </c>
      <c r="H550" s="16">
        <v>14</v>
      </c>
      <c r="I550" s="16">
        <v>367.1</v>
      </c>
      <c r="J550" s="16">
        <v>5139.3999999999996</v>
      </c>
    </row>
    <row r="551" spans="1:10" ht="15" thickBot="1">
      <c r="A551" s="16" t="s">
        <v>2463</v>
      </c>
      <c r="B551" s="18" t="s">
        <v>2681</v>
      </c>
      <c r="C551" s="18" t="s">
        <v>2657</v>
      </c>
      <c r="D551" s="18" t="s">
        <v>2648</v>
      </c>
      <c r="E551" s="18" t="s">
        <v>2641</v>
      </c>
      <c r="F551" s="18" t="s">
        <v>2370</v>
      </c>
      <c r="G551" s="18" t="s">
        <v>1335</v>
      </c>
      <c r="H551" s="16">
        <v>10</v>
      </c>
      <c r="I551" s="16">
        <v>4678.49</v>
      </c>
      <c r="J551" s="16">
        <v>46784.9</v>
      </c>
    </row>
    <row r="552" spans="1:10" ht="15" thickBot="1">
      <c r="A552" s="63">
        <v>45201</v>
      </c>
      <c r="B552" s="18" t="s">
        <v>2679</v>
      </c>
      <c r="C552" s="18" t="s">
        <v>2659</v>
      </c>
      <c r="D552" s="18" t="s">
        <v>2647</v>
      </c>
      <c r="E552" s="18" t="s">
        <v>2643</v>
      </c>
      <c r="F552" s="18" t="s">
        <v>2661</v>
      </c>
      <c r="G552" s="18" t="s">
        <v>2696</v>
      </c>
      <c r="H552" s="16">
        <v>12</v>
      </c>
      <c r="I552" s="16">
        <v>1020.42</v>
      </c>
      <c r="J552" s="16">
        <v>12245.04</v>
      </c>
    </row>
    <row r="553" spans="1:10" ht="15" thickBot="1">
      <c r="A553" s="16" t="s">
        <v>2440</v>
      </c>
      <c r="B553" s="18" t="s">
        <v>2682</v>
      </c>
      <c r="C553" s="18" t="s">
        <v>2658</v>
      </c>
      <c r="D553" s="18" t="s">
        <v>2645</v>
      </c>
      <c r="E553" s="18" t="s">
        <v>2642</v>
      </c>
      <c r="F553" s="18" t="s">
        <v>2370</v>
      </c>
      <c r="G553" s="18" t="s">
        <v>1336</v>
      </c>
      <c r="H553" s="16">
        <v>15</v>
      </c>
      <c r="I553" s="16">
        <v>1669.04</v>
      </c>
      <c r="J553" s="16">
        <v>25035.599999999999</v>
      </c>
    </row>
    <row r="554" spans="1:10" ht="15" thickBot="1">
      <c r="A554" s="16" t="s">
        <v>2513</v>
      </c>
      <c r="B554" s="18" t="s">
        <v>2686</v>
      </c>
      <c r="C554" s="18" t="s">
        <v>2393</v>
      </c>
      <c r="D554" s="18" t="s">
        <v>2644</v>
      </c>
      <c r="E554" s="18" t="s">
        <v>2641</v>
      </c>
      <c r="F554" s="18" t="s">
        <v>2374</v>
      </c>
      <c r="G554" s="18" t="s">
        <v>2704</v>
      </c>
      <c r="H554" s="16">
        <v>18</v>
      </c>
      <c r="I554" s="16">
        <v>138.01</v>
      </c>
      <c r="J554" s="16">
        <v>2484.1799999999998</v>
      </c>
    </row>
    <row r="555" spans="1:10" ht="15" thickBot="1">
      <c r="A555" s="16" t="s">
        <v>2611</v>
      </c>
      <c r="B555" s="18" t="s">
        <v>2686</v>
      </c>
      <c r="C555" s="18" t="s">
        <v>2656</v>
      </c>
      <c r="D555" s="18" t="s">
        <v>2648</v>
      </c>
      <c r="E555" s="18" t="s">
        <v>2641</v>
      </c>
      <c r="F555" s="18" t="s">
        <v>2374</v>
      </c>
      <c r="G555" s="18" t="s">
        <v>2689</v>
      </c>
      <c r="H555" s="16">
        <v>6</v>
      </c>
      <c r="I555" s="16">
        <v>3847.76</v>
      </c>
      <c r="J555" s="16">
        <v>23086.560000000001</v>
      </c>
    </row>
    <row r="556" spans="1:10" ht="15" thickBot="1">
      <c r="A556" s="63">
        <v>45177</v>
      </c>
      <c r="B556" s="18" t="s">
        <v>2685</v>
      </c>
      <c r="C556" s="18" t="s">
        <v>2392</v>
      </c>
      <c r="D556" s="18" t="s">
        <v>2644</v>
      </c>
      <c r="E556" s="18" t="s">
        <v>2641</v>
      </c>
      <c r="F556" s="18" t="s">
        <v>2661</v>
      </c>
      <c r="G556" s="18" t="s">
        <v>2691</v>
      </c>
      <c r="H556" s="16">
        <v>4</v>
      </c>
      <c r="I556" s="16">
        <v>3246.52</v>
      </c>
      <c r="J556" s="16">
        <v>12986.08</v>
      </c>
    </row>
    <row r="557" spans="1:10" ht="15" thickBot="1">
      <c r="A557" s="16" t="s">
        <v>2584</v>
      </c>
      <c r="B557" s="18" t="s">
        <v>2687</v>
      </c>
      <c r="C557" s="18" t="s">
        <v>2652</v>
      </c>
      <c r="D557" s="18" t="s">
        <v>2647</v>
      </c>
      <c r="E557" s="18" t="s">
        <v>2643</v>
      </c>
      <c r="F557" s="18" t="s">
        <v>2374</v>
      </c>
      <c r="G557" s="18" t="s">
        <v>2700</v>
      </c>
      <c r="H557" s="16">
        <v>14</v>
      </c>
      <c r="I557" s="16">
        <v>569.91</v>
      </c>
      <c r="J557" s="16">
        <v>7978.74</v>
      </c>
    </row>
    <row r="558" spans="1:10" ht="15" thickBot="1">
      <c r="A558" s="63">
        <v>45261</v>
      </c>
      <c r="B558" s="18" t="s">
        <v>2684</v>
      </c>
      <c r="C558" s="18" t="s">
        <v>2650</v>
      </c>
      <c r="D558" s="18" t="s">
        <v>2646</v>
      </c>
      <c r="E558" s="18" t="s">
        <v>2642</v>
      </c>
      <c r="F558" s="18" t="s">
        <v>2370</v>
      </c>
      <c r="G558" s="18" t="s">
        <v>1336</v>
      </c>
      <c r="H558" s="16">
        <v>15</v>
      </c>
      <c r="I558" s="16">
        <v>4316.17</v>
      </c>
      <c r="J558" s="16">
        <v>64742.55</v>
      </c>
    </row>
    <row r="559" spans="1:10" ht="15" thickBot="1">
      <c r="A559" s="16" t="s">
        <v>2453</v>
      </c>
      <c r="B559" s="18" t="s">
        <v>2679</v>
      </c>
      <c r="C559" s="18" t="s">
        <v>2650</v>
      </c>
      <c r="D559" s="18" t="s">
        <v>2646</v>
      </c>
      <c r="E559" s="18" t="s">
        <v>2642</v>
      </c>
      <c r="F559" s="18" t="s">
        <v>2372</v>
      </c>
      <c r="G559" s="18" t="s">
        <v>2690</v>
      </c>
      <c r="H559" s="16">
        <v>17</v>
      </c>
      <c r="I559" s="16">
        <v>2209.62</v>
      </c>
      <c r="J559" s="16">
        <v>37563.54</v>
      </c>
    </row>
    <row r="560" spans="1:10" ht="15" thickBot="1">
      <c r="A560" s="63">
        <v>45117</v>
      </c>
      <c r="B560" s="18" t="s">
        <v>2684</v>
      </c>
      <c r="C560" s="18" t="s">
        <v>2660</v>
      </c>
      <c r="D560" s="18" t="s">
        <v>2647</v>
      </c>
      <c r="E560" s="18" t="s">
        <v>2643</v>
      </c>
      <c r="F560" s="18" t="s">
        <v>2373</v>
      </c>
      <c r="G560" s="18" t="s">
        <v>2703</v>
      </c>
      <c r="H560" s="16">
        <v>16</v>
      </c>
      <c r="I560" s="16">
        <v>3296.61</v>
      </c>
      <c r="J560" s="16">
        <v>52745.760000000002</v>
      </c>
    </row>
    <row r="561" spans="1:10" ht="15" thickBot="1">
      <c r="A561" s="63">
        <v>44932</v>
      </c>
      <c r="B561" s="18" t="s">
        <v>2678</v>
      </c>
      <c r="C561" s="18" t="s">
        <v>2652</v>
      </c>
      <c r="D561" s="18" t="s">
        <v>2647</v>
      </c>
      <c r="E561" s="18" t="s">
        <v>2643</v>
      </c>
      <c r="F561" s="18" t="s">
        <v>2373</v>
      </c>
      <c r="G561" s="18" t="s">
        <v>2688</v>
      </c>
      <c r="H561" s="16">
        <v>13</v>
      </c>
      <c r="I561" s="16">
        <v>523.83000000000004</v>
      </c>
      <c r="J561" s="16">
        <v>6809.79</v>
      </c>
    </row>
    <row r="562" spans="1:10" ht="15" thickBot="1">
      <c r="A562" s="16" t="s">
        <v>2613</v>
      </c>
      <c r="B562" s="18" t="s">
        <v>2682</v>
      </c>
      <c r="C562" s="18" t="s">
        <v>2658</v>
      </c>
      <c r="D562" s="18" t="s">
        <v>2645</v>
      </c>
      <c r="E562" s="18" t="s">
        <v>2642</v>
      </c>
      <c r="F562" s="18" t="s">
        <v>2370</v>
      </c>
      <c r="G562" s="18" t="s">
        <v>1336</v>
      </c>
      <c r="H562" s="16">
        <v>3</v>
      </c>
      <c r="I562" s="16">
        <v>916.53</v>
      </c>
      <c r="J562" s="16">
        <v>2749.59</v>
      </c>
    </row>
    <row r="563" spans="1:10" ht="15" thickBot="1">
      <c r="A563" s="63">
        <v>45266</v>
      </c>
      <c r="B563" s="18" t="s">
        <v>2678</v>
      </c>
      <c r="C563" s="18" t="s">
        <v>2393</v>
      </c>
      <c r="D563" s="18" t="s">
        <v>2644</v>
      </c>
      <c r="E563" s="18" t="s">
        <v>2641</v>
      </c>
      <c r="F563" s="18" t="s">
        <v>2372</v>
      </c>
      <c r="G563" s="18" t="s">
        <v>2694</v>
      </c>
      <c r="H563" s="16">
        <v>13</v>
      </c>
      <c r="I563" s="16">
        <v>1836.55</v>
      </c>
      <c r="J563" s="16">
        <v>23875.15</v>
      </c>
    </row>
    <row r="564" spans="1:10" ht="15" thickBot="1">
      <c r="A564" s="16" t="s">
        <v>2505</v>
      </c>
      <c r="B564" s="18" t="s">
        <v>2681</v>
      </c>
      <c r="C564" s="18" t="s">
        <v>2659</v>
      </c>
      <c r="D564" s="18" t="s">
        <v>2647</v>
      </c>
      <c r="E564" s="18" t="s">
        <v>2643</v>
      </c>
      <c r="F564" s="18" t="s">
        <v>2372</v>
      </c>
      <c r="G564" s="18" t="s">
        <v>2690</v>
      </c>
      <c r="H564" s="16">
        <v>19</v>
      </c>
      <c r="I564" s="16">
        <v>2253.92</v>
      </c>
      <c r="J564" s="16">
        <v>42824.480000000003</v>
      </c>
    </row>
    <row r="565" spans="1:10" ht="15" thickBot="1">
      <c r="A565" s="16" t="s">
        <v>2622</v>
      </c>
      <c r="B565" s="18" t="s">
        <v>2681</v>
      </c>
      <c r="C565" s="18" t="s">
        <v>2393</v>
      </c>
      <c r="D565" s="18" t="s">
        <v>2644</v>
      </c>
      <c r="E565" s="18" t="s">
        <v>2641</v>
      </c>
      <c r="F565" s="18" t="s">
        <v>2373</v>
      </c>
      <c r="G565" s="18" t="s">
        <v>2688</v>
      </c>
      <c r="H565" s="16">
        <v>13</v>
      </c>
      <c r="I565" s="16">
        <v>3617.07</v>
      </c>
      <c r="J565" s="16">
        <v>47021.91</v>
      </c>
    </row>
    <row r="566" spans="1:10" ht="15" thickBot="1">
      <c r="A566" s="16" t="s">
        <v>2616</v>
      </c>
      <c r="B566" s="18" t="s">
        <v>2685</v>
      </c>
      <c r="C566" s="18" t="s">
        <v>2649</v>
      </c>
      <c r="D566" s="18" t="s">
        <v>2645</v>
      </c>
      <c r="E566" s="18" t="s">
        <v>2642</v>
      </c>
      <c r="F566" s="18" t="s">
        <v>2661</v>
      </c>
      <c r="G566" s="18" t="s">
        <v>2698</v>
      </c>
      <c r="H566" s="16">
        <v>5</v>
      </c>
      <c r="I566" s="16">
        <v>417.76</v>
      </c>
      <c r="J566" s="16">
        <v>2088.8000000000002</v>
      </c>
    </row>
    <row r="567" spans="1:10" ht="15" thickBot="1">
      <c r="A567" s="63">
        <v>45144</v>
      </c>
      <c r="B567" s="18" t="s">
        <v>2679</v>
      </c>
      <c r="C567" s="18" t="s">
        <v>2653</v>
      </c>
      <c r="D567" s="18" t="s">
        <v>2644</v>
      </c>
      <c r="E567" s="18" t="s">
        <v>2641</v>
      </c>
      <c r="F567" s="18" t="s">
        <v>2370</v>
      </c>
      <c r="G567" s="18" t="s">
        <v>1335</v>
      </c>
      <c r="H567" s="16">
        <v>11</v>
      </c>
      <c r="I567" s="16">
        <v>864.29</v>
      </c>
      <c r="J567" s="16">
        <v>9507.19</v>
      </c>
    </row>
    <row r="568" spans="1:10" ht="15" thickBot="1">
      <c r="A568" s="16" t="s">
        <v>2511</v>
      </c>
      <c r="B568" s="18" t="s">
        <v>2682</v>
      </c>
      <c r="C568" s="18" t="s">
        <v>2660</v>
      </c>
      <c r="D568" s="18" t="s">
        <v>2647</v>
      </c>
      <c r="E568" s="18" t="s">
        <v>2643</v>
      </c>
      <c r="F568" s="18" t="s">
        <v>2370</v>
      </c>
      <c r="G568" s="18" t="s">
        <v>1335</v>
      </c>
      <c r="H568" s="16">
        <v>19</v>
      </c>
      <c r="I568" s="16">
        <v>2006.79</v>
      </c>
      <c r="J568" s="16">
        <v>38129.01</v>
      </c>
    </row>
    <row r="569" spans="1:10" ht="15" thickBot="1">
      <c r="A569" s="16" t="s">
        <v>2574</v>
      </c>
      <c r="B569" s="18" t="s">
        <v>2679</v>
      </c>
      <c r="C569" s="18" t="s">
        <v>2656</v>
      </c>
      <c r="D569" s="18" t="s">
        <v>2648</v>
      </c>
      <c r="E569" s="18" t="s">
        <v>2641</v>
      </c>
      <c r="F569" s="18" t="s">
        <v>2661</v>
      </c>
      <c r="G569" s="18" t="s">
        <v>2696</v>
      </c>
      <c r="H569" s="16">
        <v>1</v>
      </c>
      <c r="I569" s="16">
        <v>403.2</v>
      </c>
      <c r="J569" s="16">
        <v>403.2</v>
      </c>
    </row>
    <row r="570" spans="1:10" ht="15" thickBot="1">
      <c r="A570" s="16" t="s">
        <v>2468</v>
      </c>
      <c r="B570" s="18" t="s">
        <v>2686</v>
      </c>
      <c r="C570" s="18" t="s">
        <v>2393</v>
      </c>
      <c r="D570" s="18" t="s">
        <v>2644</v>
      </c>
      <c r="E570" s="18" t="s">
        <v>2641</v>
      </c>
      <c r="F570" s="18" t="s">
        <v>2373</v>
      </c>
      <c r="G570" s="18" t="s">
        <v>2705</v>
      </c>
      <c r="H570" s="16">
        <v>7</v>
      </c>
      <c r="I570" s="16">
        <v>2846.83</v>
      </c>
      <c r="J570" s="16">
        <v>19927.810000000001</v>
      </c>
    </row>
    <row r="571" spans="1:10" ht="15" thickBot="1">
      <c r="A571" s="16" t="s">
        <v>2549</v>
      </c>
      <c r="B571" s="18" t="s">
        <v>2678</v>
      </c>
      <c r="C571" s="18" t="s">
        <v>2650</v>
      </c>
      <c r="D571" s="18" t="s">
        <v>2646</v>
      </c>
      <c r="E571" s="18" t="s">
        <v>2642</v>
      </c>
      <c r="F571" s="18" t="s">
        <v>2372</v>
      </c>
      <c r="G571" s="18" t="s">
        <v>2690</v>
      </c>
      <c r="H571" s="16">
        <v>5</v>
      </c>
      <c r="I571" s="16">
        <v>850.9</v>
      </c>
      <c r="J571" s="16">
        <v>4254.5</v>
      </c>
    </row>
    <row r="572" spans="1:10" ht="15" thickBot="1">
      <c r="A572" s="16" t="s">
        <v>2517</v>
      </c>
      <c r="B572" s="18" t="s">
        <v>2683</v>
      </c>
      <c r="C572" s="18" t="s">
        <v>2660</v>
      </c>
      <c r="D572" s="18" t="s">
        <v>2647</v>
      </c>
      <c r="E572" s="18" t="s">
        <v>2643</v>
      </c>
      <c r="F572" s="18" t="s">
        <v>2370</v>
      </c>
      <c r="G572" s="18" t="s">
        <v>2701</v>
      </c>
      <c r="H572" s="16">
        <v>16</v>
      </c>
      <c r="I572" s="16">
        <v>3337.15</v>
      </c>
      <c r="J572" s="16">
        <v>53394.400000000001</v>
      </c>
    </row>
    <row r="573" spans="1:10" ht="15" thickBot="1">
      <c r="A573" s="16" t="s">
        <v>2496</v>
      </c>
      <c r="B573" s="18" t="s">
        <v>2683</v>
      </c>
      <c r="C573" s="18" t="s">
        <v>2658</v>
      </c>
      <c r="D573" s="18" t="s">
        <v>2645</v>
      </c>
      <c r="E573" s="18" t="s">
        <v>2642</v>
      </c>
      <c r="F573" s="18" t="s">
        <v>2372</v>
      </c>
      <c r="G573" s="18" t="s">
        <v>2693</v>
      </c>
      <c r="H573" s="16">
        <v>15</v>
      </c>
      <c r="I573" s="16">
        <v>1299.55</v>
      </c>
      <c r="J573" s="16">
        <v>19493.25</v>
      </c>
    </row>
    <row r="574" spans="1:10" ht="15" thickBot="1">
      <c r="A574" s="16" t="s">
        <v>2600</v>
      </c>
      <c r="B574" s="18" t="s">
        <v>2683</v>
      </c>
      <c r="C574" s="18" t="s">
        <v>2658</v>
      </c>
      <c r="D574" s="18" t="s">
        <v>2645</v>
      </c>
      <c r="E574" s="18" t="s">
        <v>2642</v>
      </c>
      <c r="F574" s="18" t="s">
        <v>2661</v>
      </c>
      <c r="G574" s="18" t="s">
        <v>2696</v>
      </c>
      <c r="H574" s="16">
        <v>7</v>
      </c>
      <c r="I574" s="16">
        <v>4898.57</v>
      </c>
      <c r="J574" s="16">
        <v>34289.99</v>
      </c>
    </row>
    <row r="575" spans="1:10" ht="15" thickBot="1">
      <c r="A575" s="63">
        <v>45109</v>
      </c>
      <c r="B575" s="18" t="s">
        <v>2678</v>
      </c>
      <c r="C575" s="18" t="s">
        <v>2654</v>
      </c>
      <c r="D575" s="18" t="s">
        <v>2646</v>
      </c>
      <c r="E575" s="18" t="s">
        <v>2642</v>
      </c>
      <c r="F575" s="18" t="s">
        <v>2372</v>
      </c>
      <c r="G575" s="18" t="s">
        <v>2699</v>
      </c>
      <c r="H575" s="16">
        <v>11</v>
      </c>
      <c r="I575" s="16">
        <v>2471.65</v>
      </c>
      <c r="J575" s="16">
        <v>27188.15</v>
      </c>
    </row>
    <row r="576" spans="1:10" ht="15" thickBot="1">
      <c r="A576" s="16" t="s">
        <v>2530</v>
      </c>
      <c r="B576" s="18" t="s">
        <v>2683</v>
      </c>
      <c r="C576" s="18" t="s">
        <v>2651</v>
      </c>
      <c r="D576" s="18" t="s">
        <v>2646</v>
      </c>
      <c r="E576" s="18" t="s">
        <v>2642</v>
      </c>
      <c r="F576" s="18" t="s">
        <v>2374</v>
      </c>
      <c r="G576" s="18" t="s">
        <v>2692</v>
      </c>
      <c r="H576" s="16">
        <v>2</v>
      </c>
      <c r="I576" s="16">
        <v>1125.53</v>
      </c>
      <c r="J576" s="16">
        <v>2251.06</v>
      </c>
    </row>
    <row r="577" spans="1:10" ht="15" thickBot="1">
      <c r="A577" s="63">
        <v>44966</v>
      </c>
      <c r="B577" s="18" t="s">
        <v>2680</v>
      </c>
      <c r="C577" s="18" t="s">
        <v>2656</v>
      </c>
      <c r="D577" s="18" t="s">
        <v>2648</v>
      </c>
      <c r="E577" s="18" t="s">
        <v>2641</v>
      </c>
      <c r="F577" s="18" t="s">
        <v>2373</v>
      </c>
      <c r="G577" s="18" t="s">
        <v>2688</v>
      </c>
      <c r="H577" s="16">
        <v>13</v>
      </c>
      <c r="I577" s="16">
        <v>2835.8</v>
      </c>
      <c r="J577" s="16">
        <v>36865.4</v>
      </c>
    </row>
    <row r="578" spans="1:10" ht="15" thickBot="1">
      <c r="A578" s="63">
        <v>45234</v>
      </c>
      <c r="B578" s="18" t="s">
        <v>2684</v>
      </c>
      <c r="C578" s="18" t="s">
        <v>2658</v>
      </c>
      <c r="D578" s="18" t="s">
        <v>2645</v>
      </c>
      <c r="E578" s="18" t="s">
        <v>2642</v>
      </c>
      <c r="F578" s="18" t="s">
        <v>2661</v>
      </c>
      <c r="G578" s="18" t="s">
        <v>2696</v>
      </c>
      <c r="H578" s="16">
        <v>17</v>
      </c>
      <c r="I578" s="16">
        <v>3973.87</v>
      </c>
      <c r="J578" s="16">
        <v>67555.789999999994</v>
      </c>
    </row>
    <row r="579" spans="1:10" ht="15" thickBot="1">
      <c r="A579" s="63">
        <v>45261</v>
      </c>
      <c r="B579" s="18" t="s">
        <v>2680</v>
      </c>
      <c r="C579" s="18" t="s">
        <v>2393</v>
      </c>
      <c r="D579" s="18" t="s">
        <v>2644</v>
      </c>
      <c r="E579" s="18" t="s">
        <v>2641</v>
      </c>
      <c r="F579" s="18" t="s">
        <v>2370</v>
      </c>
      <c r="G579" s="18" t="s">
        <v>2702</v>
      </c>
      <c r="H579" s="16">
        <v>4</v>
      </c>
      <c r="I579" s="16">
        <v>1998.26</v>
      </c>
      <c r="J579" s="16">
        <v>7993.04</v>
      </c>
    </row>
    <row r="580" spans="1:10" ht="15" thickBot="1">
      <c r="A580" s="63">
        <v>45148</v>
      </c>
      <c r="B580" s="18" t="s">
        <v>2682</v>
      </c>
      <c r="C580" s="18" t="s">
        <v>2649</v>
      </c>
      <c r="D580" s="18" t="s">
        <v>2645</v>
      </c>
      <c r="E580" s="18" t="s">
        <v>2642</v>
      </c>
      <c r="F580" s="18" t="s">
        <v>2374</v>
      </c>
      <c r="G580" s="18" t="s">
        <v>2692</v>
      </c>
      <c r="H580" s="16">
        <v>7</v>
      </c>
      <c r="I580" s="16">
        <v>3820.3</v>
      </c>
      <c r="J580" s="16">
        <v>26742.1</v>
      </c>
    </row>
    <row r="581" spans="1:10" ht="15" thickBot="1">
      <c r="A581" s="16" t="s">
        <v>2510</v>
      </c>
      <c r="B581" s="18" t="s">
        <v>2678</v>
      </c>
      <c r="C581" s="18" t="s">
        <v>2396</v>
      </c>
      <c r="D581" s="18" t="s">
        <v>2648</v>
      </c>
      <c r="E581" s="18" t="s">
        <v>2641</v>
      </c>
      <c r="F581" s="18" t="s">
        <v>2374</v>
      </c>
      <c r="G581" s="18" t="s">
        <v>2704</v>
      </c>
      <c r="H581" s="16">
        <v>19</v>
      </c>
      <c r="I581" s="16">
        <v>2199.3200000000002</v>
      </c>
      <c r="J581" s="16">
        <v>41787.08</v>
      </c>
    </row>
    <row r="582" spans="1:10" ht="15" thickBot="1">
      <c r="A582" s="16" t="s">
        <v>2627</v>
      </c>
      <c r="B582" s="18" t="s">
        <v>2681</v>
      </c>
      <c r="C582" s="18" t="s">
        <v>2654</v>
      </c>
      <c r="D582" s="18" t="s">
        <v>2646</v>
      </c>
      <c r="E582" s="18" t="s">
        <v>2642</v>
      </c>
      <c r="F582" s="18" t="s">
        <v>2661</v>
      </c>
      <c r="G582" s="18" t="s">
        <v>2691</v>
      </c>
      <c r="H582" s="16">
        <v>6</v>
      </c>
      <c r="I582" s="16">
        <v>578.64</v>
      </c>
      <c r="J582" s="16">
        <v>3471.84</v>
      </c>
    </row>
    <row r="583" spans="1:10" ht="15" thickBot="1">
      <c r="A583" s="63">
        <v>45118</v>
      </c>
      <c r="B583" s="18" t="s">
        <v>2682</v>
      </c>
      <c r="C583" s="18" t="s">
        <v>2650</v>
      </c>
      <c r="D583" s="18" t="s">
        <v>2646</v>
      </c>
      <c r="E583" s="18" t="s">
        <v>2642</v>
      </c>
      <c r="F583" s="18" t="s">
        <v>2370</v>
      </c>
      <c r="G583" s="18" t="s">
        <v>1336</v>
      </c>
      <c r="H583" s="16">
        <v>5</v>
      </c>
      <c r="I583" s="16">
        <v>1488.21</v>
      </c>
      <c r="J583" s="16">
        <v>7441.05</v>
      </c>
    </row>
    <row r="584" spans="1:10" ht="15" thickBot="1">
      <c r="A584" s="16" t="s">
        <v>2602</v>
      </c>
      <c r="B584" s="18" t="s">
        <v>2685</v>
      </c>
      <c r="C584" s="18" t="s">
        <v>2654</v>
      </c>
      <c r="D584" s="18" t="s">
        <v>2646</v>
      </c>
      <c r="E584" s="18" t="s">
        <v>2642</v>
      </c>
      <c r="F584" s="18" t="s">
        <v>2373</v>
      </c>
      <c r="G584" s="18" t="s">
        <v>2705</v>
      </c>
      <c r="H584" s="16">
        <v>19</v>
      </c>
      <c r="I584" s="16">
        <v>3196.27</v>
      </c>
      <c r="J584" s="16">
        <v>60729.13</v>
      </c>
    </row>
    <row r="585" spans="1:10" ht="15" thickBot="1">
      <c r="A585" s="63">
        <v>45205</v>
      </c>
      <c r="B585" s="18" t="s">
        <v>2680</v>
      </c>
      <c r="C585" s="18" t="s">
        <v>2657</v>
      </c>
      <c r="D585" s="18" t="s">
        <v>2648</v>
      </c>
      <c r="E585" s="18" t="s">
        <v>2641</v>
      </c>
      <c r="F585" s="18" t="s">
        <v>2661</v>
      </c>
      <c r="G585" s="18" t="s">
        <v>2691</v>
      </c>
      <c r="H585" s="16">
        <v>5</v>
      </c>
      <c r="I585" s="16">
        <v>1018.53</v>
      </c>
      <c r="J585" s="16">
        <v>5092.6499999999996</v>
      </c>
    </row>
    <row r="586" spans="1:10" ht="15" thickBot="1">
      <c r="A586" s="16" t="s">
        <v>2566</v>
      </c>
      <c r="B586" s="18" t="s">
        <v>2684</v>
      </c>
      <c r="C586" s="18" t="s">
        <v>2660</v>
      </c>
      <c r="D586" s="18" t="s">
        <v>2647</v>
      </c>
      <c r="E586" s="18" t="s">
        <v>2643</v>
      </c>
      <c r="F586" s="18" t="s">
        <v>2374</v>
      </c>
      <c r="G586" s="18" t="s">
        <v>2700</v>
      </c>
      <c r="H586" s="16">
        <v>13</v>
      </c>
      <c r="I586" s="16">
        <v>1367.15</v>
      </c>
      <c r="J586" s="16">
        <v>17772.95</v>
      </c>
    </row>
    <row r="587" spans="1:10" ht="15" thickBot="1">
      <c r="A587" s="63">
        <v>45117</v>
      </c>
      <c r="B587" s="18" t="s">
        <v>2680</v>
      </c>
      <c r="C587" s="18" t="s">
        <v>2650</v>
      </c>
      <c r="D587" s="18" t="s">
        <v>2646</v>
      </c>
      <c r="E587" s="18" t="s">
        <v>2642</v>
      </c>
      <c r="F587" s="18" t="s">
        <v>2370</v>
      </c>
      <c r="G587" s="18" t="s">
        <v>2702</v>
      </c>
      <c r="H587" s="16">
        <v>19</v>
      </c>
      <c r="I587" s="16">
        <v>4996.28</v>
      </c>
      <c r="J587" s="16">
        <v>94929.32</v>
      </c>
    </row>
    <row r="588" spans="1:10" ht="15" thickBot="1">
      <c r="A588" s="16" t="s">
        <v>2456</v>
      </c>
      <c r="B588" s="18" t="s">
        <v>2687</v>
      </c>
      <c r="C588" s="18" t="s">
        <v>2392</v>
      </c>
      <c r="D588" s="18" t="s">
        <v>2644</v>
      </c>
      <c r="E588" s="18" t="s">
        <v>2641</v>
      </c>
      <c r="F588" s="18" t="s">
        <v>2372</v>
      </c>
      <c r="G588" s="18" t="s">
        <v>2694</v>
      </c>
      <c r="H588" s="16">
        <v>3</v>
      </c>
      <c r="I588" s="16">
        <v>4447.8999999999996</v>
      </c>
      <c r="J588" s="16">
        <v>13343.7</v>
      </c>
    </row>
    <row r="589" spans="1:10" ht="15" thickBot="1">
      <c r="A589" s="16" t="s">
        <v>2629</v>
      </c>
      <c r="B589" s="18" t="s">
        <v>2684</v>
      </c>
      <c r="C589" s="18" t="s">
        <v>2393</v>
      </c>
      <c r="D589" s="18" t="s">
        <v>2644</v>
      </c>
      <c r="E589" s="18" t="s">
        <v>2641</v>
      </c>
      <c r="F589" s="18" t="s">
        <v>2374</v>
      </c>
      <c r="G589" s="18" t="s">
        <v>2689</v>
      </c>
      <c r="H589" s="16">
        <v>10</v>
      </c>
      <c r="I589" s="16">
        <v>1318.51</v>
      </c>
      <c r="J589" s="16">
        <v>13185.1</v>
      </c>
    </row>
    <row r="590" spans="1:10" ht="15" thickBot="1">
      <c r="A590" s="16" t="s">
        <v>2526</v>
      </c>
      <c r="B590" s="18" t="s">
        <v>2678</v>
      </c>
      <c r="C590" s="18" t="s">
        <v>2654</v>
      </c>
      <c r="D590" s="18" t="s">
        <v>2646</v>
      </c>
      <c r="E590" s="18" t="s">
        <v>2642</v>
      </c>
      <c r="F590" s="18" t="s">
        <v>2661</v>
      </c>
      <c r="G590" s="18" t="s">
        <v>2698</v>
      </c>
      <c r="H590" s="16">
        <v>20</v>
      </c>
      <c r="I590" s="16">
        <v>1731.99</v>
      </c>
      <c r="J590" s="16">
        <v>34639.800000000003</v>
      </c>
    </row>
    <row r="591" spans="1:10" ht="15" thickBot="1">
      <c r="A591" s="63">
        <v>44938</v>
      </c>
      <c r="B591" s="18" t="s">
        <v>2684</v>
      </c>
      <c r="C591" s="18" t="s">
        <v>2653</v>
      </c>
      <c r="D591" s="18" t="s">
        <v>2644</v>
      </c>
      <c r="E591" s="18" t="s">
        <v>2641</v>
      </c>
      <c r="F591" s="18" t="s">
        <v>2372</v>
      </c>
      <c r="G591" s="18" t="s">
        <v>2690</v>
      </c>
      <c r="H591" s="16">
        <v>12</v>
      </c>
      <c r="I591" s="16">
        <v>4514.3900000000003</v>
      </c>
      <c r="J591" s="16">
        <v>54172.68</v>
      </c>
    </row>
    <row r="592" spans="1:10" ht="15" thickBot="1">
      <c r="A592" s="63">
        <v>45087</v>
      </c>
      <c r="B592" s="18" t="s">
        <v>2687</v>
      </c>
      <c r="C592" s="18" t="s">
        <v>2658</v>
      </c>
      <c r="D592" s="18" t="s">
        <v>2645</v>
      </c>
      <c r="E592" s="18" t="s">
        <v>2642</v>
      </c>
      <c r="F592" s="18" t="s">
        <v>2373</v>
      </c>
      <c r="G592" s="18" t="s">
        <v>2703</v>
      </c>
      <c r="H592" s="16">
        <v>20</v>
      </c>
      <c r="I592" s="16">
        <v>1710.93</v>
      </c>
      <c r="J592" s="16">
        <v>34218.6</v>
      </c>
    </row>
    <row r="593" spans="1:10" ht="15" thickBot="1">
      <c r="A593" s="63">
        <v>45204</v>
      </c>
      <c r="B593" s="18" t="s">
        <v>2679</v>
      </c>
      <c r="C593" s="18" t="s">
        <v>2655</v>
      </c>
      <c r="D593" s="18" t="s">
        <v>2645</v>
      </c>
      <c r="E593" s="18" t="s">
        <v>2642</v>
      </c>
      <c r="F593" s="18" t="s">
        <v>2374</v>
      </c>
      <c r="G593" s="18" t="s">
        <v>2692</v>
      </c>
      <c r="H593" s="16">
        <v>19</v>
      </c>
      <c r="I593" s="16">
        <v>491.53</v>
      </c>
      <c r="J593" s="16">
        <v>9339.07</v>
      </c>
    </row>
    <row r="594" spans="1:10" ht="15" thickBot="1">
      <c r="A594" s="63">
        <v>45268</v>
      </c>
      <c r="B594" s="18" t="s">
        <v>2687</v>
      </c>
      <c r="C594" s="18" t="s">
        <v>2658</v>
      </c>
      <c r="D594" s="18" t="s">
        <v>2645</v>
      </c>
      <c r="E594" s="18" t="s">
        <v>2642</v>
      </c>
      <c r="F594" s="18" t="s">
        <v>2661</v>
      </c>
      <c r="G594" s="18" t="s">
        <v>2691</v>
      </c>
      <c r="H594" s="16">
        <v>6</v>
      </c>
      <c r="I594" s="16">
        <v>203.88</v>
      </c>
      <c r="J594" s="16">
        <v>1223.28</v>
      </c>
    </row>
    <row r="595" spans="1:10" ht="15" thickBot="1">
      <c r="A595" s="16" t="s">
        <v>2472</v>
      </c>
      <c r="B595" s="18" t="s">
        <v>2679</v>
      </c>
      <c r="C595" s="18" t="s">
        <v>2392</v>
      </c>
      <c r="D595" s="18" t="s">
        <v>2644</v>
      </c>
      <c r="E595" s="18" t="s">
        <v>2641</v>
      </c>
      <c r="F595" s="18" t="s">
        <v>2374</v>
      </c>
      <c r="G595" s="18" t="s">
        <v>2689</v>
      </c>
      <c r="H595" s="16">
        <v>19</v>
      </c>
      <c r="I595" s="16">
        <v>4786.8900000000003</v>
      </c>
      <c r="J595" s="16">
        <v>90950.91</v>
      </c>
    </row>
    <row r="596" spans="1:10" ht="15" thickBot="1">
      <c r="A596" s="63">
        <v>45210</v>
      </c>
      <c r="B596" s="18" t="s">
        <v>2687</v>
      </c>
      <c r="C596" s="18" t="s">
        <v>2649</v>
      </c>
      <c r="D596" s="18" t="s">
        <v>2645</v>
      </c>
      <c r="E596" s="18" t="s">
        <v>2642</v>
      </c>
      <c r="F596" s="18" t="s">
        <v>2372</v>
      </c>
      <c r="G596" s="18" t="s">
        <v>2694</v>
      </c>
      <c r="H596" s="16">
        <v>11</v>
      </c>
      <c r="I596" s="16">
        <v>2666.77</v>
      </c>
      <c r="J596" s="16">
        <v>29334.47</v>
      </c>
    </row>
    <row r="597" spans="1:10" ht="15" thickBot="1">
      <c r="A597" s="63">
        <v>45201</v>
      </c>
      <c r="B597" s="18" t="s">
        <v>2681</v>
      </c>
      <c r="C597" s="18" t="s">
        <v>2653</v>
      </c>
      <c r="D597" s="18" t="s">
        <v>2644</v>
      </c>
      <c r="E597" s="18" t="s">
        <v>2641</v>
      </c>
      <c r="F597" s="18" t="s">
        <v>2370</v>
      </c>
      <c r="G597" s="18" t="s">
        <v>1335</v>
      </c>
      <c r="H597" s="16">
        <v>19</v>
      </c>
      <c r="I597" s="16">
        <v>2174.7600000000002</v>
      </c>
      <c r="J597" s="16">
        <v>41320.44</v>
      </c>
    </row>
    <row r="598" spans="1:10" ht="15" thickBot="1">
      <c r="A598" s="16" t="s">
        <v>2606</v>
      </c>
      <c r="B598" s="18" t="s">
        <v>2681</v>
      </c>
      <c r="C598" s="18" t="s">
        <v>2657</v>
      </c>
      <c r="D598" s="18" t="s">
        <v>2648</v>
      </c>
      <c r="E598" s="18" t="s">
        <v>2641</v>
      </c>
      <c r="F598" s="18" t="s">
        <v>2374</v>
      </c>
      <c r="G598" s="18" t="s">
        <v>2704</v>
      </c>
      <c r="H598" s="16">
        <v>1</v>
      </c>
      <c r="I598" s="16">
        <v>1678.18</v>
      </c>
      <c r="J598" s="16">
        <v>1678.18</v>
      </c>
    </row>
    <row r="599" spans="1:10" ht="15" thickBot="1">
      <c r="A599" s="16" t="s">
        <v>2478</v>
      </c>
      <c r="B599" s="18" t="s">
        <v>2683</v>
      </c>
      <c r="C599" s="18" t="s">
        <v>2653</v>
      </c>
      <c r="D599" s="18" t="s">
        <v>2644</v>
      </c>
      <c r="E599" s="18" t="s">
        <v>2641</v>
      </c>
      <c r="F599" s="18" t="s">
        <v>2370</v>
      </c>
      <c r="G599" s="18" t="s">
        <v>2701</v>
      </c>
      <c r="H599" s="16">
        <v>20</v>
      </c>
      <c r="I599" s="16">
        <v>2163.9499999999998</v>
      </c>
      <c r="J599" s="16">
        <v>43279</v>
      </c>
    </row>
    <row r="600" spans="1:10" ht="15" thickBot="1">
      <c r="A600" s="63">
        <v>45058</v>
      </c>
      <c r="B600" s="18" t="s">
        <v>2681</v>
      </c>
      <c r="C600" s="18" t="s">
        <v>2653</v>
      </c>
      <c r="D600" s="18" t="s">
        <v>2644</v>
      </c>
      <c r="E600" s="18" t="s">
        <v>2641</v>
      </c>
      <c r="F600" s="18" t="s">
        <v>2373</v>
      </c>
      <c r="G600" s="18" t="s">
        <v>2688</v>
      </c>
      <c r="H600" s="16">
        <v>18</v>
      </c>
      <c r="I600" s="16">
        <v>3511.28</v>
      </c>
      <c r="J600" s="16">
        <v>63203.040000000001</v>
      </c>
    </row>
    <row r="601" spans="1:10" ht="15" thickBot="1">
      <c r="A601" s="63">
        <v>45047</v>
      </c>
      <c r="B601" s="18" t="s">
        <v>2679</v>
      </c>
      <c r="C601" s="18" t="s">
        <v>2649</v>
      </c>
      <c r="D601" s="18" t="s">
        <v>2645</v>
      </c>
      <c r="E601" s="18" t="s">
        <v>2642</v>
      </c>
      <c r="F601" s="18" t="s">
        <v>2374</v>
      </c>
      <c r="G601" s="18" t="s">
        <v>2700</v>
      </c>
      <c r="H601" s="16">
        <v>13</v>
      </c>
      <c r="I601" s="16">
        <v>2979.65</v>
      </c>
      <c r="J601" s="16">
        <v>38735.449999999997</v>
      </c>
    </row>
    <row r="602" spans="1:10" ht="15" thickBot="1">
      <c r="A602" s="16" t="s">
        <v>2568</v>
      </c>
      <c r="B602" s="18" t="s">
        <v>2686</v>
      </c>
      <c r="C602" s="18" t="s">
        <v>2653</v>
      </c>
      <c r="D602" s="18" t="s">
        <v>2644</v>
      </c>
      <c r="E602" s="18" t="s">
        <v>2641</v>
      </c>
      <c r="F602" s="18" t="s">
        <v>2372</v>
      </c>
      <c r="G602" s="18" t="s">
        <v>2693</v>
      </c>
      <c r="H602" s="16">
        <v>4</v>
      </c>
      <c r="I602" s="16">
        <v>2985.48</v>
      </c>
      <c r="J602" s="16">
        <v>11941.92</v>
      </c>
    </row>
    <row r="603" spans="1:10" ht="15" thickBot="1">
      <c r="A603" s="16" t="s">
        <v>2552</v>
      </c>
      <c r="B603" s="18" t="s">
        <v>2682</v>
      </c>
      <c r="C603" s="18" t="s">
        <v>2649</v>
      </c>
      <c r="D603" s="18" t="s">
        <v>2645</v>
      </c>
      <c r="E603" s="18" t="s">
        <v>2642</v>
      </c>
      <c r="F603" s="18" t="s">
        <v>2374</v>
      </c>
      <c r="G603" s="18" t="s">
        <v>2692</v>
      </c>
      <c r="H603" s="16">
        <v>18</v>
      </c>
      <c r="I603" s="16">
        <v>3989.44</v>
      </c>
      <c r="J603" s="16">
        <v>71809.919999999998</v>
      </c>
    </row>
    <row r="604" spans="1:10" ht="15" thickBot="1">
      <c r="A604" s="16" t="s">
        <v>2486</v>
      </c>
      <c r="B604" s="18" t="s">
        <v>2682</v>
      </c>
      <c r="C604" s="18" t="s">
        <v>2656</v>
      </c>
      <c r="D604" s="18" t="s">
        <v>2648</v>
      </c>
      <c r="E604" s="18" t="s">
        <v>2641</v>
      </c>
      <c r="F604" s="18" t="s">
        <v>2370</v>
      </c>
      <c r="G604" s="18" t="s">
        <v>2702</v>
      </c>
      <c r="H604" s="16">
        <v>14</v>
      </c>
      <c r="I604" s="16">
        <v>2251.87</v>
      </c>
      <c r="J604" s="16">
        <v>31526.18</v>
      </c>
    </row>
    <row r="605" spans="1:10" ht="15" thickBot="1">
      <c r="A605" s="63">
        <v>45173</v>
      </c>
      <c r="B605" s="18" t="s">
        <v>2687</v>
      </c>
      <c r="C605" s="18" t="s">
        <v>2396</v>
      </c>
      <c r="D605" s="18" t="s">
        <v>2648</v>
      </c>
      <c r="E605" s="18" t="s">
        <v>2641</v>
      </c>
      <c r="F605" s="18" t="s">
        <v>2661</v>
      </c>
      <c r="G605" s="18" t="s">
        <v>2698</v>
      </c>
      <c r="H605" s="16">
        <v>8</v>
      </c>
      <c r="I605" s="16">
        <v>2519.3000000000002</v>
      </c>
      <c r="J605" s="16">
        <v>20154.400000000001</v>
      </c>
    </row>
    <row r="606" spans="1:10" ht="15" thickBot="1">
      <c r="A606" s="16" t="s">
        <v>2634</v>
      </c>
      <c r="B606" s="18" t="s">
        <v>2680</v>
      </c>
      <c r="C606" s="18" t="s">
        <v>2649</v>
      </c>
      <c r="D606" s="18" t="s">
        <v>2645</v>
      </c>
      <c r="E606" s="18" t="s">
        <v>2642</v>
      </c>
      <c r="F606" s="18" t="s">
        <v>2372</v>
      </c>
      <c r="G606" s="18" t="s">
        <v>2690</v>
      </c>
      <c r="H606" s="16">
        <v>3</v>
      </c>
      <c r="I606" s="16">
        <v>1129.8800000000001</v>
      </c>
      <c r="J606" s="16">
        <v>3389.64</v>
      </c>
    </row>
    <row r="607" spans="1:10" ht="15" thickBot="1">
      <c r="A607" s="63">
        <v>45087</v>
      </c>
      <c r="B607" s="18" t="s">
        <v>2678</v>
      </c>
      <c r="C607" s="18" t="s">
        <v>2656</v>
      </c>
      <c r="D607" s="18" t="s">
        <v>2648</v>
      </c>
      <c r="E607" s="18" t="s">
        <v>2641</v>
      </c>
      <c r="F607" s="18" t="s">
        <v>2373</v>
      </c>
      <c r="G607" s="18" t="s">
        <v>2703</v>
      </c>
      <c r="H607" s="16">
        <v>15</v>
      </c>
      <c r="I607" s="16">
        <v>4146.03</v>
      </c>
      <c r="J607" s="16">
        <v>62190.45</v>
      </c>
    </row>
    <row r="608" spans="1:10" ht="15" thickBot="1">
      <c r="A608" s="63">
        <v>45113</v>
      </c>
      <c r="B608" s="18" t="s">
        <v>2686</v>
      </c>
      <c r="C608" s="18" t="s">
        <v>2653</v>
      </c>
      <c r="D608" s="18" t="s">
        <v>2644</v>
      </c>
      <c r="E608" s="18" t="s">
        <v>2641</v>
      </c>
      <c r="F608" s="18" t="s">
        <v>2373</v>
      </c>
      <c r="G608" s="18" t="s">
        <v>2697</v>
      </c>
      <c r="H608" s="16">
        <v>4</v>
      </c>
      <c r="I608" s="16">
        <v>3564.22</v>
      </c>
      <c r="J608" s="16">
        <v>14256.88</v>
      </c>
    </row>
    <row r="609" spans="1:10" ht="15" thickBot="1">
      <c r="A609" s="16" t="s">
        <v>2508</v>
      </c>
      <c r="B609" s="18" t="s">
        <v>2686</v>
      </c>
      <c r="C609" s="18" t="s">
        <v>2654</v>
      </c>
      <c r="D609" s="18" t="s">
        <v>2646</v>
      </c>
      <c r="E609" s="18" t="s">
        <v>2642</v>
      </c>
      <c r="F609" s="18" t="s">
        <v>2373</v>
      </c>
      <c r="G609" s="18" t="s">
        <v>2703</v>
      </c>
      <c r="H609" s="16">
        <v>14</v>
      </c>
      <c r="I609" s="16">
        <v>414.51</v>
      </c>
      <c r="J609" s="16">
        <v>5803.14</v>
      </c>
    </row>
    <row r="610" spans="1:10" ht="15" thickBot="1">
      <c r="A610" s="16" t="s">
        <v>2612</v>
      </c>
      <c r="B610" s="18" t="s">
        <v>2687</v>
      </c>
      <c r="C610" s="18" t="s">
        <v>2656</v>
      </c>
      <c r="D610" s="18" t="s">
        <v>2648</v>
      </c>
      <c r="E610" s="18" t="s">
        <v>2641</v>
      </c>
      <c r="F610" s="18" t="s">
        <v>2373</v>
      </c>
      <c r="G610" s="18" t="s">
        <v>2697</v>
      </c>
      <c r="H610" s="16">
        <v>11</v>
      </c>
      <c r="I610" s="16">
        <v>1788.39</v>
      </c>
      <c r="J610" s="16">
        <v>19672.29</v>
      </c>
    </row>
    <row r="611" spans="1:10" ht="15" thickBot="1">
      <c r="A611" s="16" t="s">
        <v>2506</v>
      </c>
      <c r="B611" s="18" t="s">
        <v>2683</v>
      </c>
      <c r="C611" s="18" t="s">
        <v>2655</v>
      </c>
      <c r="D611" s="18" t="s">
        <v>2645</v>
      </c>
      <c r="E611" s="18" t="s">
        <v>2642</v>
      </c>
      <c r="F611" s="18" t="s">
        <v>2372</v>
      </c>
      <c r="G611" s="18" t="s">
        <v>2699</v>
      </c>
      <c r="H611" s="16">
        <v>6</v>
      </c>
      <c r="I611" s="16">
        <v>2867.98</v>
      </c>
      <c r="J611" s="16">
        <v>17207.88</v>
      </c>
    </row>
    <row r="612" spans="1:10" ht="15" thickBot="1">
      <c r="A612" s="16" t="s">
        <v>2634</v>
      </c>
      <c r="B612" s="18" t="s">
        <v>2681</v>
      </c>
      <c r="C612" s="18" t="s">
        <v>2653</v>
      </c>
      <c r="D612" s="18" t="s">
        <v>2644</v>
      </c>
      <c r="E612" s="18" t="s">
        <v>2641</v>
      </c>
      <c r="F612" s="18" t="s">
        <v>2372</v>
      </c>
      <c r="G612" s="18" t="s">
        <v>2690</v>
      </c>
      <c r="H612" s="16">
        <v>6</v>
      </c>
      <c r="I612" s="16">
        <v>3566.53</v>
      </c>
      <c r="J612" s="16">
        <v>21399.18</v>
      </c>
    </row>
    <row r="613" spans="1:10" ht="15" thickBot="1">
      <c r="A613" s="63">
        <v>45025</v>
      </c>
      <c r="B613" s="18" t="s">
        <v>2685</v>
      </c>
      <c r="C613" s="18" t="s">
        <v>2396</v>
      </c>
      <c r="D613" s="18" t="s">
        <v>2648</v>
      </c>
      <c r="E613" s="18" t="s">
        <v>2641</v>
      </c>
      <c r="F613" s="18" t="s">
        <v>2374</v>
      </c>
      <c r="G613" s="18" t="s">
        <v>2692</v>
      </c>
      <c r="H613" s="16">
        <v>13</v>
      </c>
      <c r="I613" s="16">
        <v>2669.5</v>
      </c>
      <c r="J613" s="16">
        <v>34703.5</v>
      </c>
    </row>
    <row r="614" spans="1:10" ht="15" thickBot="1">
      <c r="A614" s="63">
        <v>45085</v>
      </c>
      <c r="B614" s="18" t="s">
        <v>2684</v>
      </c>
      <c r="C614" s="18" t="s">
        <v>2650</v>
      </c>
      <c r="D614" s="18" t="s">
        <v>2646</v>
      </c>
      <c r="E614" s="18" t="s">
        <v>2642</v>
      </c>
      <c r="F614" s="18" t="s">
        <v>2661</v>
      </c>
      <c r="G614" s="18" t="s">
        <v>2698</v>
      </c>
      <c r="H614" s="16">
        <v>6</v>
      </c>
      <c r="I614" s="16">
        <v>3842.46</v>
      </c>
      <c r="J614" s="16">
        <v>23054.76</v>
      </c>
    </row>
    <row r="615" spans="1:10" ht="15" thickBot="1">
      <c r="A615" s="16" t="s">
        <v>2632</v>
      </c>
      <c r="B615" s="18" t="s">
        <v>2682</v>
      </c>
      <c r="C615" s="18" t="s">
        <v>2393</v>
      </c>
      <c r="D615" s="18" t="s">
        <v>2644</v>
      </c>
      <c r="E615" s="18" t="s">
        <v>2641</v>
      </c>
      <c r="F615" s="18" t="s">
        <v>2373</v>
      </c>
      <c r="G615" s="18" t="s">
        <v>2688</v>
      </c>
      <c r="H615" s="16">
        <v>13</v>
      </c>
      <c r="I615" s="16">
        <v>1419.3</v>
      </c>
      <c r="J615" s="16">
        <v>18450.900000000001</v>
      </c>
    </row>
    <row r="616" spans="1:10" ht="15" thickBot="1">
      <c r="A616" s="63">
        <v>44961</v>
      </c>
      <c r="B616" s="18" t="s">
        <v>2681</v>
      </c>
      <c r="C616" s="18" t="s">
        <v>2660</v>
      </c>
      <c r="D616" s="18" t="s">
        <v>2647</v>
      </c>
      <c r="E616" s="18" t="s">
        <v>2643</v>
      </c>
      <c r="F616" s="18" t="s">
        <v>2370</v>
      </c>
      <c r="G616" s="18" t="s">
        <v>1335</v>
      </c>
      <c r="H616" s="16">
        <v>1</v>
      </c>
      <c r="I616" s="16">
        <v>3187.31</v>
      </c>
      <c r="J616" s="16">
        <v>3187.31</v>
      </c>
    </row>
    <row r="617" spans="1:10" ht="15" thickBot="1">
      <c r="A617" s="63">
        <v>44968</v>
      </c>
      <c r="B617" s="18" t="s">
        <v>2678</v>
      </c>
      <c r="C617" s="18" t="s">
        <v>2658</v>
      </c>
      <c r="D617" s="18" t="s">
        <v>2645</v>
      </c>
      <c r="E617" s="18" t="s">
        <v>2642</v>
      </c>
      <c r="F617" s="18" t="s">
        <v>2661</v>
      </c>
      <c r="G617" s="18" t="s">
        <v>2698</v>
      </c>
      <c r="H617" s="16">
        <v>12</v>
      </c>
      <c r="I617" s="16">
        <v>1837.2</v>
      </c>
      <c r="J617" s="16">
        <v>22046.400000000001</v>
      </c>
    </row>
    <row r="618" spans="1:10" ht="15" thickBot="1">
      <c r="A618" s="16" t="s">
        <v>2520</v>
      </c>
      <c r="B618" s="18" t="s">
        <v>2681</v>
      </c>
      <c r="C618" s="18" t="s">
        <v>2656</v>
      </c>
      <c r="D618" s="18" t="s">
        <v>2648</v>
      </c>
      <c r="E618" s="18" t="s">
        <v>2641</v>
      </c>
      <c r="F618" s="18" t="s">
        <v>2370</v>
      </c>
      <c r="G618" s="18" t="s">
        <v>2702</v>
      </c>
      <c r="H618" s="16">
        <v>2</v>
      </c>
      <c r="I618" s="16">
        <v>4081.92</v>
      </c>
      <c r="J618" s="16">
        <v>8163.84</v>
      </c>
    </row>
    <row r="619" spans="1:10" ht="15" thickBot="1">
      <c r="A619" s="16" t="s">
        <v>2462</v>
      </c>
      <c r="B619" s="18" t="s">
        <v>2679</v>
      </c>
      <c r="C619" s="18" t="s">
        <v>2656</v>
      </c>
      <c r="D619" s="18" t="s">
        <v>2648</v>
      </c>
      <c r="E619" s="18" t="s">
        <v>2641</v>
      </c>
      <c r="F619" s="18" t="s">
        <v>2661</v>
      </c>
      <c r="G619" s="18" t="s">
        <v>2691</v>
      </c>
      <c r="H619" s="16">
        <v>20</v>
      </c>
      <c r="I619" s="16">
        <v>3184.86</v>
      </c>
      <c r="J619" s="16">
        <v>63697.2</v>
      </c>
    </row>
    <row r="620" spans="1:10" ht="15" thickBot="1">
      <c r="A620" s="16" t="s">
        <v>2616</v>
      </c>
      <c r="B620" s="18" t="s">
        <v>2682</v>
      </c>
      <c r="C620" s="18" t="s">
        <v>2654</v>
      </c>
      <c r="D620" s="18" t="s">
        <v>2646</v>
      </c>
      <c r="E620" s="18" t="s">
        <v>2642</v>
      </c>
      <c r="F620" s="18" t="s">
        <v>2373</v>
      </c>
      <c r="G620" s="18" t="s">
        <v>2703</v>
      </c>
      <c r="H620" s="16">
        <v>8</v>
      </c>
      <c r="I620" s="16">
        <v>3402.24</v>
      </c>
      <c r="J620" s="16">
        <v>27217.919999999998</v>
      </c>
    </row>
    <row r="621" spans="1:10" ht="15" thickBot="1">
      <c r="A621" s="63">
        <v>44966</v>
      </c>
      <c r="B621" s="18" t="s">
        <v>2682</v>
      </c>
      <c r="C621" s="18" t="s">
        <v>2392</v>
      </c>
      <c r="D621" s="18" t="s">
        <v>2644</v>
      </c>
      <c r="E621" s="18" t="s">
        <v>2641</v>
      </c>
      <c r="F621" s="18" t="s">
        <v>2373</v>
      </c>
      <c r="G621" s="18" t="s">
        <v>2703</v>
      </c>
      <c r="H621" s="16">
        <v>10</v>
      </c>
      <c r="I621" s="16">
        <v>2750.69</v>
      </c>
      <c r="J621" s="16">
        <v>27506.9</v>
      </c>
    </row>
    <row r="622" spans="1:10" ht="15" thickBot="1">
      <c r="A622" s="63">
        <v>45233</v>
      </c>
      <c r="B622" s="18" t="s">
        <v>2687</v>
      </c>
      <c r="C622" s="18" t="s">
        <v>2393</v>
      </c>
      <c r="D622" s="18" t="s">
        <v>2644</v>
      </c>
      <c r="E622" s="18" t="s">
        <v>2641</v>
      </c>
      <c r="F622" s="18" t="s">
        <v>2370</v>
      </c>
      <c r="G622" s="18" t="s">
        <v>1335</v>
      </c>
      <c r="H622" s="16">
        <v>13</v>
      </c>
      <c r="I622" s="16">
        <v>4090.9</v>
      </c>
      <c r="J622" s="16">
        <v>53181.7</v>
      </c>
    </row>
    <row r="623" spans="1:10" ht="15" thickBot="1">
      <c r="A623" s="63">
        <v>45237</v>
      </c>
      <c r="B623" s="18" t="s">
        <v>2686</v>
      </c>
      <c r="C623" s="18" t="s">
        <v>2658</v>
      </c>
      <c r="D623" s="18" t="s">
        <v>2645</v>
      </c>
      <c r="E623" s="18" t="s">
        <v>2642</v>
      </c>
      <c r="F623" s="18" t="s">
        <v>2661</v>
      </c>
      <c r="G623" s="18" t="s">
        <v>2696</v>
      </c>
      <c r="H623" s="16">
        <v>3</v>
      </c>
      <c r="I623" s="16">
        <v>4234</v>
      </c>
      <c r="J623" s="16">
        <v>12702</v>
      </c>
    </row>
    <row r="624" spans="1:10" ht="15" thickBot="1">
      <c r="A624" s="63">
        <v>45083</v>
      </c>
      <c r="B624" s="18" t="s">
        <v>2687</v>
      </c>
      <c r="C624" s="18" t="s">
        <v>2651</v>
      </c>
      <c r="D624" s="18" t="s">
        <v>2646</v>
      </c>
      <c r="E624" s="18" t="s">
        <v>2642</v>
      </c>
      <c r="F624" s="18" t="s">
        <v>2370</v>
      </c>
      <c r="G624" s="18" t="s">
        <v>2701</v>
      </c>
      <c r="H624" s="16">
        <v>12</v>
      </c>
      <c r="I624" s="16">
        <v>1701.3</v>
      </c>
      <c r="J624" s="16">
        <v>20415.599999999999</v>
      </c>
    </row>
    <row r="625" spans="1:10" ht="15" thickBot="1">
      <c r="A625" s="63">
        <v>45053</v>
      </c>
      <c r="B625" s="18" t="s">
        <v>2685</v>
      </c>
      <c r="C625" s="18" t="s">
        <v>2650</v>
      </c>
      <c r="D625" s="18" t="s">
        <v>2646</v>
      </c>
      <c r="E625" s="18" t="s">
        <v>2642</v>
      </c>
      <c r="F625" s="18" t="s">
        <v>2370</v>
      </c>
      <c r="G625" s="18" t="s">
        <v>2702</v>
      </c>
      <c r="H625" s="16">
        <v>18</v>
      </c>
      <c r="I625" s="16">
        <v>1599.01</v>
      </c>
      <c r="J625" s="16">
        <v>28782.18</v>
      </c>
    </row>
    <row r="626" spans="1:10" ht="15" thickBot="1">
      <c r="A626" s="16" t="s">
        <v>2575</v>
      </c>
      <c r="B626" s="18" t="s">
        <v>2685</v>
      </c>
      <c r="C626" s="18" t="s">
        <v>2655</v>
      </c>
      <c r="D626" s="18" t="s">
        <v>2645</v>
      </c>
      <c r="E626" s="18" t="s">
        <v>2642</v>
      </c>
      <c r="F626" s="18" t="s">
        <v>2370</v>
      </c>
      <c r="G626" s="18" t="s">
        <v>1335</v>
      </c>
      <c r="H626" s="16">
        <v>11</v>
      </c>
      <c r="I626" s="16">
        <v>4564.7299999999996</v>
      </c>
      <c r="J626" s="16">
        <v>50212.03</v>
      </c>
    </row>
    <row r="627" spans="1:10" ht="15" thickBot="1">
      <c r="A627" s="63">
        <v>44992</v>
      </c>
      <c r="B627" s="18" t="s">
        <v>2678</v>
      </c>
      <c r="C627" s="18" t="s">
        <v>2656</v>
      </c>
      <c r="D627" s="18" t="s">
        <v>2648</v>
      </c>
      <c r="E627" s="18" t="s">
        <v>2641</v>
      </c>
      <c r="F627" s="18" t="s">
        <v>2373</v>
      </c>
      <c r="G627" s="18" t="s">
        <v>2697</v>
      </c>
      <c r="H627" s="16">
        <v>14</v>
      </c>
      <c r="I627" s="16">
        <v>3507.75</v>
      </c>
      <c r="J627" s="16">
        <v>49108.5</v>
      </c>
    </row>
    <row r="628" spans="1:10" ht="15" thickBot="1">
      <c r="A628" s="16" t="s">
        <v>2472</v>
      </c>
      <c r="B628" s="18" t="s">
        <v>2684</v>
      </c>
      <c r="C628" s="18" t="s">
        <v>2652</v>
      </c>
      <c r="D628" s="18" t="s">
        <v>2647</v>
      </c>
      <c r="E628" s="18" t="s">
        <v>2643</v>
      </c>
      <c r="F628" s="18" t="s">
        <v>2374</v>
      </c>
      <c r="G628" s="18" t="s">
        <v>2692</v>
      </c>
      <c r="H628" s="16">
        <v>4</v>
      </c>
      <c r="I628" s="16">
        <v>810.38</v>
      </c>
      <c r="J628" s="16">
        <v>3241.52</v>
      </c>
    </row>
    <row r="629" spans="1:10" ht="15" thickBot="1">
      <c r="A629" s="16" t="s">
        <v>2565</v>
      </c>
      <c r="B629" s="18" t="s">
        <v>2678</v>
      </c>
      <c r="C629" s="18" t="s">
        <v>2393</v>
      </c>
      <c r="D629" s="18" t="s">
        <v>2644</v>
      </c>
      <c r="E629" s="18" t="s">
        <v>2641</v>
      </c>
      <c r="F629" s="18" t="s">
        <v>2370</v>
      </c>
      <c r="G629" s="18" t="s">
        <v>2701</v>
      </c>
      <c r="H629" s="16">
        <v>7</v>
      </c>
      <c r="I629" s="16">
        <v>698.8</v>
      </c>
      <c r="J629" s="16">
        <v>4891.6000000000004</v>
      </c>
    </row>
    <row r="630" spans="1:10" ht="15" thickBot="1">
      <c r="A630" s="63">
        <v>45208</v>
      </c>
      <c r="B630" s="18" t="s">
        <v>2686</v>
      </c>
      <c r="C630" s="18" t="s">
        <v>2654</v>
      </c>
      <c r="D630" s="18" t="s">
        <v>2646</v>
      </c>
      <c r="E630" s="18" t="s">
        <v>2642</v>
      </c>
      <c r="F630" s="18" t="s">
        <v>2370</v>
      </c>
      <c r="G630" s="18" t="s">
        <v>2702</v>
      </c>
      <c r="H630" s="16">
        <v>14</v>
      </c>
      <c r="I630" s="16">
        <v>2833.44</v>
      </c>
      <c r="J630" s="16">
        <v>39668.160000000003</v>
      </c>
    </row>
    <row r="631" spans="1:10" ht="15" thickBot="1">
      <c r="A631" s="16" t="s">
        <v>2548</v>
      </c>
      <c r="B631" s="18" t="s">
        <v>2681</v>
      </c>
      <c r="C631" s="18" t="s">
        <v>2658</v>
      </c>
      <c r="D631" s="18" t="s">
        <v>2645</v>
      </c>
      <c r="E631" s="18" t="s">
        <v>2642</v>
      </c>
      <c r="F631" s="18" t="s">
        <v>2661</v>
      </c>
      <c r="G631" s="18" t="s">
        <v>2696</v>
      </c>
      <c r="H631" s="16">
        <v>20</v>
      </c>
      <c r="I631" s="16">
        <v>2409.6799999999998</v>
      </c>
      <c r="J631" s="16">
        <v>48193.599999999999</v>
      </c>
    </row>
    <row r="632" spans="1:10" ht="15" thickBot="1">
      <c r="A632" s="63">
        <v>45086</v>
      </c>
      <c r="B632" s="18" t="s">
        <v>2686</v>
      </c>
      <c r="C632" s="18" t="s">
        <v>2650</v>
      </c>
      <c r="D632" s="18" t="s">
        <v>2646</v>
      </c>
      <c r="E632" s="18" t="s">
        <v>2642</v>
      </c>
      <c r="F632" s="18" t="s">
        <v>2661</v>
      </c>
      <c r="G632" s="18" t="s">
        <v>2698</v>
      </c>
      <c r="H632" s="16">
        <v>17</v>
      </c>
      <c r="I632" s="16">
        <v>2448.5100000000002</v>
      </c>
      <c r="J632" s="16">
        <v>41624.67</v>
      </c>
    </row>
    <row r="633" spans="1:10" ht="15" thickBot="1">
      <c r="A633" s="63">
        <v>45207</v>
      </c>
      <c r="B633" s="18" t="s">
        <v>2687</v>
      </c>
      <c r="C633" s="18" t="s">
        <v>2650</v>
      </c>
      <c r="D633" s="18" t="s">
        <v>2646</v>
      </c>
      <c r="E633" s="18" t="s">
        <v>2642</v>
      </c>
      <c r="F633" s="18" t="s">
        <v>2372</v>
      </c>
      <c r="G633" s="18" t="s">
        <v>2693</v>
      </c>
      <c r="H633" s="16">
        <v>7</v>
      </c>
      <c r="I633" s="16">
        <v>4029.58</v>
      </c>
      <c r="J633" s="16">
        <v>28207.06</v>
      </c>
    </row>
    <row r="634" spans="1:10" ht="15" thickBot="1">
      <c r="A634" s="16" t="s">
        <v>2451</v>
      </c>
      <c r="B634" s="18" t="s">
        <v>2681</v>
      </c>
      <c r="C634" s="18" t="s">
        <v>2651</v>
      </c>
      <c r="D634" s="18" t="s">
        <v>2646</v>
      </c>
      <c r="E634" s="18" t="s">
        <v>2642</v>
      </c>
      <c r="F634" s="18" t="s">
        <v>2661</v>
      </c>
      <c r="G634" s="18" t="s">
        <v>2695</v>
      </c>
      <c r="H634" s="16">
        <v>15</v>
      </c>
      <c r="I634" s="16">
        <v>3999.29</v>
      </c>
      <c r="J634" s="16">
        <v>59989.35</v>
      </c>
    </row>
    <row r="635" spans="1:10" ht="15" thickBot="1">
      <c r="A635" s="16" t="s">
        <v>2596</v>
      </c>
      <c r="B635" s="18" t="s">
        <v>2683</v>
      </c>
      <c r="C635" s="18" t="s">
        <v>2649</v>
      </c>
      <c r="D635" s="18" t="s">
        <v>2645</v>
      </c>
      <c r="E635" s="18" t="s">
        <v>2642</v>
      </c>
      <c r="F635" s="18" t="s">
        <v>2374</v>
      </c>
      <c r="G635" s="18" t="s">
        <v>2700</v>
      </c>
      <c r="H635" s="16">
        <v>17</v>
      </c>
      <c r="I635" s="16">
        <v>583.88</v>
      </c>
      <c r="J635" s="16">
        <v>9925.9599999999991</v>
      </c>
    </row>
    <row r="636" spans="1:10" ht="15" thickBot="1">
      <c r="A636" s="63">
        <v>44965</v>
      </c>
      <c r="B636" s="18" t="s">
        <v>2687</v>
      </c>
      <c r="C636" s="18" t="s">
        <v>2396</v>
      </c>
      <c r="D636" s="18" t="s">
        <v>2648</v>
      </c>
      <c r="E636" s="18" t="s">
        <v>2641</v>
      </c>
      <c r="F636" s="18" t="s">
        <v>2372</v>
      </c>
      <c r="G636" s="18" t="s">
        <v>2694</v>
      </c>
      <c r="H636" s="16">
        <v>7</v>
      </c>
      <c r="I636" s="16">
        <v>1319.32</v>
      </c>
      <c r="J636" s="16">
        <v>9235.24</v>
      </c>
    </row>
    <row r="637" spans="1:10" ht="15" thickBot="1">
      <c r="A637" s="16" t="s">
        <v>2492</v>
      </c>
      <c r="B637" s="18" t="s">
        <v>2682</v>
      </c>
      <c r="C637" s="18" t="s">
        <v>2653</v>
      </c>
      <c r="D637" s="18" t="s">
        <v>2644</v>
      </c>
      <c r="E637" s="18" t="s">
        <v>2641</v>
      </c>
      <c r="F637" s="18" t="s">
        <v>2373</v>
      </c>
      <c r="G637" s="18" t="s">
        <v>2705</v>
      </c>
      <c r="H637" s="16">
        <v>15</v>
      </c>
      <c r="I637" s="16">
        <v>2698.6</v>
      </c>
      <c r="J637" s="16">
        <v>40479</v>
      </c>
    </row>
    <row r="638" spans="1:10" ht="15" thickBot="1">
      <c r="A638" s="16" t="s">
        <v>2471</v>
      </c>
      <c r="B638" s="18" t="s">
        <v>2680</v>
      </c>
      <c r="C638" s="18" t="s">
        <v>2658</v>
      </c>
      <c r="D638" s="18" t="s">
        <v>2645</v>
      </c>
      <c r="E638" s="18" t="s">
        <v>2642</v>
      </c>
      <c r="F638" s="18" t="s">
        <v>2374</v>
      </c>
      <c r="G638" s="18" t="s">
        <v>2700</v>
      </c>
      <c r="H638" s="16">
        <v>19</v>
      </c>
      <c r="I638" s="16">
        <v>4364.6400000000003</v>
      </c>
      <c r="J638" s="16">
        <v>82928.160000000003</v>
      </c>
    </row>
    <row r="639" spans="1:10" ht="15" thickBot="1">
      <c r="A639" s="16" t="s">
        <v>2505</v>
      </c>
      <c r="B639" s="18" t="s">
        <v>2685</v>
      </c>
      <c r="C639" s="18" t="s">
        <v>2651</v>
      </c>
      <c r="D639" s="18" t="s">
        <v>2646</v>
      </c>
      <c r="E639" s="18" t="s">
        <v>2642</v>
      </c>
      <c r="F639" s="18" t="s">
        <v>2373</v>
      </c>
      <c r="G639" s="18" t="s">
        <v>2697</v>
      </c>
      <c r="H639" s="16">
        <v>8</v>
      </c>
      <c r="I639" s="16">
        <v>4740.97</v>
      </c>
      <c r="J639" s="16">
        <v>37927.760000000002</v>
      </c>
    </row>
    <row r="640" spans="1:10" ht="15" thickBot="1">
      <c r="A640" s="16" t="s">
        <v>2574</v>
      </c>
      <c r="B640" s="18" t="s">
        <v>2682</v>
      </c>
      <c r="C640" s="18" t="s">
        <v>2649</v>
      </c>
      <c r="D640" s="18" t="s">
        <v>2645</v>
      </c>
      <c r="E640" s="18" t="s">
        <v>2642</v>
      </c>
      <c r="F640" s="18" t="s">
        <v>2374</v>
      </c>
      <c r="G640" s="18" t="s">
        <v>2700</v>
      </c>
      <c r="H640" s="16">
        <v>4</v>
      </c>
      <c r="I640" s="16">
        <v>917.97</v>
      </c>
      <c r="J640" s="16">
        <v>3671.88</v>
      </c>
    </row>
    <row r="641" spans="1:10" ht="15" thickBot="1">
      <c r="A641" s="63">
        <v>45174</v>
      </c>
      <c r="B641" s="18" t="s">
        <v>2682</v>
      </c>
      <c r="C641" s="18" t="s">
        <v>2396</v>
      </c>
      <c r="D641" s="18" t="s">
        <v>2648</v>
      </c>
      <c r="E641" s="18" t="s">
        <v>2641</v>
      </c>
      <c r="F641" s="18" t="s">
        <v>2372</v>
      </c>
      <c r="G641" s="18" t="s">
        <v>2693</v>
      </c>
      <c r="H641" s="16">
        <v>10</v>
      </c>
      <c r="I641" s="16">
        <v>224.53</v>
      </c>
      <c r="J641" s="16">
        <v>2245.3000000000002</v>
      </c>
    </row>
    <row r="642" spans="1:10" ht="15" thickBot="1">
      <c r="A642" s="16" t="s">
        <v>2439</v>
      </c>
      <c r="B642" s="18" t="s">
        <v>2679</v>
      </c>
      <c r="C642" s="18" t="s">
        <v>2652</v>
      </c>
      <c r="D642" s="18" t="s">
        <v>2647</v>
      </c>
      <c r="E642" s="18" t="s">
        <v>2643</v>
      </c>
      <c r="F642" s="18" t="s">
        <v>2374</v>
      </c>
      <c r="G642" s="18" t="s">
        <v>2700</v>
      </c>
      <c r="H642" s="16">
        <v>1</v>
      </c>
      <c r="I642" s="16">
        <v>3246.08</v>
      </c>
      <c r="J642" s="16">
        <v>3246.08</v>
      </c>
    </row>
    <row r="643" spans="1:10" ht="15" thickBot="1">
      <c r="A643" s="16" t="s">
        <v>2586</v>
      </c>
      <c r="B643" s="18" t="s">
        <v>2680</v>
      </c>
      <c r="C643" s="18" t="s">
        <v>2653</v>
      </c>
      <c r="D643" s="18" t="s">
        <v>2644</v>
      </c>
      <c r="E643" s="18" t="s">
        <v>2641</v>
      </c>
      <c r="F643" s="18" t="s">
        <v>2373</v>
      </c>
      <c r="G643" s="18" t="s">
        <v>2705</v>
      </c>
      <c r="H643" s="16">
        <v>16</v>
      </c>
      <c r="I643" s="16">
        <v>1411.33</v>
      </c>
      <c r="J643" s="16">
        <v>22581.279999999999</v>
      </c>
    </row>
    <row r="644" spans="1:10" ht="15" thickBot="1">
      <c r="A644" s="63">
        <v>45051</v>
      </c>
      <c r="B644" s="18" t="s">
        <v>2678</v>
      </c>
      <c r="C644" s="18" t="s">
        <v>2650</v>
      </c>
      <c r="D644" s="18" t="s">
        <v>2646</v>
      </c>
      <c r="E644" s="18" t="s">
        <v>2642</v>
      </c>
      <c r="F644" s="18" t="s">
        <v>2372</v>
      </c>
      <c r="G644" s="18" t="s">
        <v>2699</v>
      </c>
      <c r="H644" s="16">
        <v>19</v>
      </c>
      <c r="I644" s="16">
        <v>2174.06</v>
      </c>
      <c r="J644" s="16">
        <v>41307.14</v>
      </c>
    </row>
    <row r="645" spans="1:10" ht="15" thickBot="1">
      <c r="A645" s="63">
        <v>45203</v>
      </c>
      <c r="B645" s="18" t="s">
        <v>2678</v>
      </c>
      <c r="C645" s="18" t="s">
        <v>2651</v>
      </c>
      <c r="D645" s="18" t="s">
        <v>2646</v>
      </c>
      <c r="E645" s="18" t="s">
        <v>2642</v>
      </c>
      <c r="F645" s="18" t="s">
        <v>2661</v>
      </c>
      <c r="G645" s="18" t="s">
        <v>2695</v>
      </c>
      <c r="H645" s="16">
        <v>2</v>
      </c>
      <c r="I645" s="16">
        <v>1194.4000000000001</v>
      </c>
      <c r="J645" s="16">
        <v>2388.8000000000002</v>
      </c>
    </row>
    <row r="646" spans="1:10" ht="15" thickBot="1">
      <c r="A646" s="16" t="s">
        <v>2496</v>
      </c>
      <c r="B646" s="18" t="s">
        <v>2686</v>
      </c>
      <c r="C646" s="18" t="s">
        <v>2396</v>
      </c>
      <c r="D646" s="18" t="s">
        <v>2648</v>
      </c>
      <c r="E646" s="18" t="s">
        <v>2641</v>
      </c>
      <c r="F646" s="18" t="s">
        <v>2372</v>
      </c>
      <c r="G646" s="18" t="s">
        <v>2693</v>
      </c>
      <c r="H646" s="16">
        <v>2</v>
      </c>
      <c r="I646" s="16">
        <v>3726.58</v>
      </c>
      <c r="J646" s="16">
        <v>7453.16</v>
      </c>
    </row>
    <row r="647" spans="1:10" ht="15" thickBot="1">
      <c r="A647" s="63">
        <v>45144</v>
      </c>
      <c r="B647" s="18" t="s">
        <v>2683</v>
      </c>
      <c r="C647" s="18" t="s">
        <v>2650</v>
      </c>
      <c r="D647" s="18" t="s">
        <v>2646</v>
      </c>
      <c r="E647" s="18" t="s">
        <v>2642</v>
      </c>
      <c r="F647" s="18" t="s">
        <v>2373</v>
      </c>
      <c r="G647" s="18" t="s">
        <v>2703</v>
      </c>
      <c r="H647" s="16">
        <v>5</v>
      </c>
      <c r="I647" s="16">
        <v>1599.65</v>
      </c>
      <c r="J647" s="16">
        <v>7998.25</v>
      </c>
    </row>
    <row r="648" spans="1:10" ht="15" thickBot="1">
      <c r="A648" s="16" t="s">
        <v>2506</v>
      </c>
      <c r="B648" s="18" t="s">
        <v>2685</v>
      </c>
      <c r="C648" s="18" t="s">
        <v>2659</v>
      </c>
      <c r="D648" s="18" t="s">
        <v>2647</v>
      </c>
      <c r="E648" s="18" t="s">
        <v>2643</v>
      </c>
      <c r="F648" s="18" t="s">
        <v>2373</v>
      </c>
      <c r="G648" s="18" t="s">
        <v>2688</v>
      </c>
      <c r="H648" s="16">
        <v>16</v>
      </c>
      <c r="I648" s="16">
        <v>1628.19</v>
      </c>
      <c r="J648" s="16">
        <v>26051.040000000001</v>
      </c>
    </row>
    <row r="649" spans="1:10" ht="15" thickBot="1">
      <c r="A649" s="16" t="s">
        <v>2441</v>
      </c>
      <c r="B649" s="18" t="s">
        <v>2685</v>
      </c>
      <c r="C649" s="18" t="s">
        <v>2658</v>
      </c>
      <c r="D649" s="18" t="s">
        <v>2645</v>
      </c>
      <c r="E649" s="18" t="s">
        <v>2642</v>
      </c>
      <c r="F649" s="18" t="s">
        <v>2372</v>
      </c>
      <c r="G649" s="18" t="s">
        <v>2694</v>
      </c>
      <c r="H649" s="16">
        <v>17</v>
      </c>
      <c r="I649" s="16">
        <v>3381.75</v>
      </c>
      <c r="J649" s="16">
        <v>57489.75</v>
      </c>
    </row>
    <row r="650" spans="1:10" ht="15" thickBot="1">
      <c r="A650" s="16" t="s">
        <v>2461</v>
      </c>
      <c r="B650" s="18" t="s">
        <v>2679</v>
      </c>
      <c r="C650" s="18" t="s">
        <v>2649</v>
      </c>
      <c r="D650" s="18" t="s">
        <v>2645</v>
      </c>
      <c r="E650" s="18" t="s">
        <v>2642</v>
      </c>
      <c r="F650" s="18" t="s">
        <v>2374</v>
      </c>
      <c r="G650" s="18" t="s">
        <v>2689</v>
      </c>
      <c r="H650" s="16">
        <v>18</v>
      </c>
      <c r="I650" s="16">
        <v>3627.09</v>
      </c>
      <c r="J650" s="16">
        <v>65287.62</v>
      </c>
    </row>
    <row r="651" spans="1:10" ht="15" thickBot="1">
      <c r="A651" s="16" t="s">
        <v>2518</v>
      </c>
      <c r="B651" s="18" t="s">
        <v>2678</v>
      </c>
      <c r="C651" s="18" t="s">
        <v>2396</v>
      </c>
      <c r="D651" s="18" t="s">
        <v>2648</v>
      </c>
      <c r="E651" s="18" t="s">
        <v>2641</v>
      </c>
      <c r="F651" s="18" t="s">
        <v>2661</v>
      </c>
      <c r="G651" s="18" t="s">
        <v>2691</v>
      </c>
      <c r="H651" s="16">
        <v>2</v>
      </c>
      <c r="I651" s="16">
        <v>3106.64</v>
      </c>
      <c r="J651" s="16">
        <v>6213.28</v>
      </c>
    </row>
    <row r="652" spans="1:10" ht="15" thickBot="1">
      <c r="A652" s="63">
        <v>45202</v>
      </c>
      <c r="B652" s="18" t="s">
        <v>2678</v>
      </c>
      <c r="C652" s="18" t="s">
        <v>2393</v>
      </c>
      <c r="D652" s="18" t="s">
        <v>2644</v>
      </c>
      <c r="E652" s="18" t="s">
        <v>2641</v>
      </c>
      <c r="F652" s="18" t="s">
        <v>2370</v>
      </c>
      <c r="G652" s="18" t="s">
        <v>1336</v>
      </c>
      <c r="H652" s="16">
        <v>15</v>
      </c>
      <c r="I652" s="16">
        <v>4310.01</v>
      </c>
      <c r="J652" s="16">
        <v>64650.15</v>
      </c>
    </row>
    <row r="653" spans="1:10" ht="15" thickBot="1">
      <c r="A653" s="63">
        <v>44988</v>
      </c>
      <c r="B653" s="18" t="s">
        <v>2684</v>
      </c>
      <c r="C653" s="18" t="s">
        <v>2657</v>
      </c>
      <c r="D653" s="18" t="s">
        <v>2648</v>
      </c>
      <c r="E653" s="18" t="s">
        <v>2641</v>
      </c>
      <c r="F653" s="18" t="s">
        <v>2373</v>
      </c>
      <c r="G653" s="18" t="s">
        <v>2688</v>
      </c>
      <c r="H653" s="16">
        <v>14</v>
      </c>
      <c r="I653" s="16">
        <v>3352.19</v>
      </c>
      <c r="J653" s="16">
        <v>46930.66</v>
      </c>
    </row>
    <row r="654" spans="1:10" ht="15" thickBot="1">
      <c r="A654" s="16" t="s">
        <v>2542</v>
      </c>
      <c r="B654" s="18" t="s">
        <v>2681</v>
      </c>
      <c r="C654" s="18" t="s">
        <v>2659</v>
      </c>
      <c r="D654" s="18" t="s">
        <v>2647</v>
      </c>
      <c r="E654" s="18" t="s">
        <v>2643</v>
      </c>
      <c r="F654" s="18" t="s">
        <v>2370</v>
      </c>
      <c r="G654" s="18" t="s">
        <v>2701</v>
      </c>
      <c r="H654" s="16">
        <v>18</v>
      </c>
      <c r="I654" s="16">
        <v>214.47</v>
      </c>
      <c r="J654" s="16">
        <v>3860.46</v>
      </c>
    </row>
    <row r="655" spans="1:10" ht="15" thickBot="1">
      <c r="A655" s="16" t="s">
        <v>2548</v>
      </c>
      <c r="B655" s="18" t="s">
        <v>2678</v>
      </c>
      <c r="C655" s="18" t="s">
        <v>2655</v>
      </c>
      <c r="D655" s="18" t="s">
        <v>2645</v>
      </c>
      <c r="E655" s="18" t="s">
        <v>2642</v>
      </c>
      <c r="F655" s="18" t="s">
        <v>2661</v>
      </c>
      <c r="G655" s="18" t="s">
        <v>2691</v>
      </c>
      <c r="H655" s="16">
        <v>3</v>
      </c>
      <c r="I655" s="16">
        <v>1810.87</v>
      </c>
      <c r="J655" s="16">
        <v>5432.61</v>
      </c>
    </row>
    <row r="656" spans="1:10" ht="15" thickBot="1">
      <c r="A656" s="16" t="s">
        <v>2584</v>
      </c>
      <c r="B656" s="18" t="s">
        <v>2686</v>
      </c>
      <c r="C656" s="18" t="s">
        <v>2660</v>
      </c>
      <c r="D656" s="18" t="s">
        <v>2647</v>
      </c>
      <c r="E656" s="18" t="s">
        <v>2643</v>
      </c>
      <c r="F656" s="18" t="s">
        <v>2373</v>
      </c>
      <c r="G656" s="18" t="s">
        <v>2703</v>
      </c>
      <c r="H656" s="16">
        <v>3</v>
      </c>
      <c r="I656" s="16">
        <v>1105.46</v>
      </c>
      <c r="J656" s="16">
        <v>3316.38</v>
      </c>
    </row>
    <row r="657" spans="1:10" ht="15" thickBot="1">
      <c r="A657" s="16" t="s">
        <v>2462</v>
      </c>
      <c r="B657" s="18" t="s">
        <v>2687</v>
      </c>
      <c r="C657" s="18" t="s">
        <v>2392</v>
      </c>
      <c r="D657" s="18" t="s">
        <v>2644</v>
      </c>
      <c r="E657" s="18" t="s">
        <v>2641</v>
      </c>
      <c r="F657" s="18" t="s">
        <v>2661</v>
      </c>
      <c r="G657" s="18" t="s">
        <v>2695</v>
      </c>
      <c r="H657" s="16">
        <v>10</v>
      </c>
      <c r="I657" s="16">
        <v>3707.43</v>
      </c>
      <c r="J657" s="16">
        <v>37074.300000000003</v>
      </c>
    </row>
    <row r="658" spans="1:10" ht="15" thickBot="1">
      <c r="A658" s="63">
        <v>45209</v>
      </c>
      <c r="B658" s="18" t="s">
        <v>2685</v>
      </c>
      <c r="C658" s="18" t="s">
        <v>2651</v>
      </c>
      <c r="D658" s="18" t="s">
        <v>2646</v>
      </c>
      <c r="E658" s="18" t="s">
        <v>2642</v>
      </c>
      <c r="F658" s="18" t="s">
        <v>2370</v>
      </c>
      <c r="G658" s="18" t="s">
        <v>2701</v>
      </c>
      <c r="H658" s="16">
        <v>18</v>
      </c>
      <c r="I658" s="16">
        <v>584.4</v>
      </c>
      <c r="J658" s="16">
        <v>10519.2</v>
      </c>
    </row>
    <row r="659" spans="1:10" ht="15" thickBot="1">
      <c r="A659" s="16" t="s">
        <v>2535</v>
      </c>
      <c r="B659" s="18" t="s">
        <v>2679</v>
      </c>
      <c r="C659" s="18" t="s">
        <v>2655</v>
      </c>
      <c r="D659" s="18" t="s">
        <v>2645</v>
      </c>
      <c r="E659" s="18" t="s">
        <v>2642</v>
      </c>
      <c r="F659" s="18" t="s">
        <v>2373</v>
      </c>
      <c r="G659" s="18" t="s">
        <v>2703</v>
      </c>
      <c r="H659" s="16">
        <v>1</v>
      </c>
      <c r="I659" s="16">
        <v>2498.7399999999998</v>
      </c>
      <c r="J659" s="16">
        <v>2498.7399999999998</v>
      </c>
    </row>
    <row r="660" spans="1:10" ht="15" thickBot="1">
      <c r="A660" s="63">
        <v>45110</v>
      </c>
      <c r="B660" s="18" t="s">
        <v>2682</v>
      </c>
      <c r="C660" s="18" t="s">
        <v>2658</v>
      </c>
      <c r="D660" s="18" t="s">
        <v>2645</v>
      </c>
      <c r="E660" s="18" t="s">
        <v>2642</v>
      </c>
      <c r="F660" s="18" t="s">
        <v>2370</v>
      </c>
      <c r="G660" s="18" t="s">
        <v>2701</v>
      </c>
      <c r="H660" s="16">
        <v>17</v>
      </c>
      <c r="I660" s="16">
        <v>2460.73</v>
      </c>
      <c r="J660" s="16">
        <v>41832.410000000003</v>
      </c>
    </row>
    <row r="661" spans="1:10" ht="15" thickBot="1">
      <c r="A661" s="63">
        <v>45261</v>
      </c>
      <c r="B661" s="18" t="s">
        <v>2686</v>
      </c>
      <c r="C661" s="18" t="s">
        <v>2653</v>
      </c>
      <c r="D661" s="18" t="s">
        <v>2644</v>
      </c>
      <c r="E661" s="18" t="s">
        <v>2641</v>
      </c>
      <c r="F661" s="18" t="s">
        <v>2373</v>
      </c>
      <c r="G661" s="18" t="s">
        <v>2688</v>
      </c>
      <c r="H661" s="16">
        <v>13</v>
      </c>
      <c r="I661" s="16">
        <v>4630.9799999999996</v>
      </c>
      <c r="J661" s="16">
        <v>60202.74</v>
      </c>
    </row>
    <row r="662" spans="1:10" ht="15" thickBot="1">
      <c r="A662" s="63">
        <v>45241</v>
      </c>
      <c r="B662" s="18" t="s">
        <v>2681</v>
      </c>
      <c r="C662" s="18" t="s">
        <v>2658</v>
      </c>
      <c r="D662" s="18" t="s">
        <v>2645</v>
      </c>
      <c r="E662" s="18" t="s">
        <v>2642</v>
      </c>
      <c r="F662" s="18" t="s">
        <v>2370</v>
      </c>
      <c r="G662" s="18" t="s">
        <v>2702</v>
      </c>
      <c r="H662" s="16">
        <v>3</v>
      </c>
      <c r="I662" s="16">
        <v>4324.88</v>
      </c>
      <c r="J662" s="16">
        <v>12974.64</v>
      </c>
    </row>
    <row r="663" spans="1:10" ht="15" thickBot="1">
      <c r="A663" s="63">
        <v>45270</v>
      </c>
      <c r="B663" s="18" t="s">
        <v>2678</v>
      </c>
      <c r="C663" s="18" t="s">
        <v>2660</v>
      </c>
      <c r="D663" s="18" t="s">
        <v>2647</v>
      </c>
      <c r="E663" s="18" t="s">
        <v>2643</v>
      </c>
      <c r="F663" s="18" t="s">
        <v>2370</v>
      </c>
      <c r="G663" s="18" t="s">
        <v>2702</v>
      </c>
      <c r="H663" s="16">
        <v>20</v>
      </c>
      <c r="I663" s="16">
        <v>4049.4</v>
      </c>
      <c r="J663" s="16">
        <v>80988</v>
      </c>
    </row>
    <row r="664" spans="1:10" ht="15" thickBot="1">
      <c r="A664" s="63">
        <v>45148</v>
      </c>
      <c r="B664" s="18" t="s">
        <v>2679</v>
      </c>
      <c r="C664" s="18" t="s">
        <v>2657</v>
      </c>
      <c r="D664" s="18" t="s">
        <v>2648</v>
      </c>
      <c r="E664" s="18" t="s">
        <v>2641</v>
      </c>
      <c r="F664" s="18" t="s">
        <v>2661</v>
      </c>
      <c r="G664" s="18" t="s">
        <v>2698</v>
      </c>
      <c r="H664" s="16">
        <v>16</v>
      </c>
      <c r="I664" s="16">
        <v>2347.21</v>
      </c>
      <c r="J664" s="16">
        <v>37555.360000000001</v>
      </c>
    </row>
    <row r="665" spans="1:10" ht="15" thickBot="1">
      <c r="A665" s="16" t="s">
        <v>2547</v>
      </c>
      <c r="B665" s="18" t="s">
        <v>2679</v>
      </c>
      <c r="C665" s="18" t="s">
        <v>2393</v>
      </c>
      <c r="D665" s="18" t="s">
        <v>2644</v>
      </c>
      <c r="E665" s="18" t="s">
        <v>2641</v>
      </c>
      <c r="F665" s="18" t="s">
        <v>2372</v>
      </c>
      <c r="G665" s="18" t="s">
        <v>2699</v>
      </c>
      <c r="H665" s="16">
        <v>2</v>
      </c>
      <c r="I665" s="16">
        <v>3743.52</v>
      </c>
      <c r="J665" s="16">
        <v>7487.04</v>
      </c>
    </row>
    <row r="666" spans="1:10" ht="15" thickBot="1">
      <c r="A666" s="16" t="s">
        <v>2670</v>
      </c>
      <c r="B666" s="18" t="s">
        <v>2680</v>
      </c>
      <c r="C666" s="18" t="s">
        <v>2649</v>
      </c>
      <c r="D666" s="18" t="s">
        <v>2645</v>
      </c>
      <c r="E666" s="18" t="s">
        <v>2642</v>
      </c>
      <c r="F666" s="18" t="s">
        <v>2661</v>
      </c>
      <c r="G666" s="18" t="s">
        <v>2696</v>
      </c>
      <c r="H666" s="16">
        <v>8</v>
      </c>
      <c r="I666" s="16">
        <v>303.48</v>
      </c>
      <c r="J666" s="16">
        <v>2427.84</v>
      </c>
    </row>
    <row r="667" spans="1:10" ht="15" thickBot="1">
      <c r="A667" s="16" t="s">
        <v>2451</v>
      </c>
      <c r="B667" s="18" t="s">
        <v>2685</v>
      </c>
      <c r="C667" s="18" t="s">
        <v>2654</v>
      </c>
      <c r="D667" s="18" t="s">
        <v>2646</v>
      </c>
      <c r="E667" s="18" t="s">
        <v>2642</v>
      </c>
      <c r="F667" s="18" t="s">
        <v>2373</v>
      </c>
      <c r="G667" s="18" t="s">
        <v>2697</v>
      </c>
      <c r="H667" s="16">
        <v>7</v>
      </c>
      <c r="I667" s="16">
        <v>1373.41</v>
      </c>
      <c r="J667" s="16">
        <v>9613.8700000000008</v>
      </c>
    </row>
    <row r="668" spans="1:10" ht="15" thickBot="1">
      <c r="A668" s="16" t="s">
        <v>2605</v>
      </c>
      <c r="B668" s="18" t="s">
        <v>2685</v>
      </c>
      <c r="C668" s="18" t="s">
        <v>2659</v>
      </c>
      <c r="D668" s="18" t="s">
        <v>2647</v>
      </c>
      <c r="E668" s="18" t="s">
        <v>2643</v>
      </c>
      <c r="F668" s="18" t="s">
        <v>2370</v>
      </c>
      <c r="G668" s="18" t="s">
        <v>2701</v>
      </c>
      <c r="H668" s="16">
        <v>10</v>
      </c>
      <c r="I668" s="16">
        <v>3048.2</v>
      </c>
      <c r="J668" s="16">
        <v>30482</v>
      </c>
    </row>
    <row r="669" spans="1:10" ht="15" thickBot="1">
      <c r="A669" s="16" t="s">
        <v>2448</v>
      </c>
      <c r="B669" s="18" t="s">
        <v>2686</v>
      </c>
      <c r="C669" s="18" t="s">
        <v>2656</v>
      </c>
      <c r="D669" s="18" t="s">
        <v>2648</v>
      </c>
      <c r="E669" s="18" t="s">
        <v>2641</v>
      </c>
      <c r="F669" s="18" t="s">
        <v>2373</v>
      </c>
      <c r="G669" s="18" t="s">
        <v>2697</v>
      </c>
      <c r="H669" s="16">
        <v>20</v>
      </c>
      <c r="I669" s="16">
        <v>2818.78</v>
      </c>
      <c r="J669" s="16">
        <v>56375.6</v>
      </c>
    </row>
    <row r="670" spans="1:10" ht="15" thickBot="1">
      <c r="A670" s="63">
        <v>45027</v>
      </c>
      <c r="B670" s="18" t="s">
        <v>2679</v>
      </c>
      <c r="C670" s="18" t="s">
        <v>2393</v>
      </c>
      <c r="D670" s="18" t="s">
        <v>2644</v>
      </c>
      <c r="E670" s="18" t="s">
        <v>2641</v>
      </c>
      <c r="F670" s="18" t="s">
        <v>2372</v>
      </c>
      <c r="G670" s="18" t="s">
        <v>2699</v>
      </c>
      <c r="H670" s="16">
        <v>1</v>
      </c>
      <c r="I670" s="16">
        <v>4647.3</v>
      </c>
      <c r="J670" s="16">
        <v>4647.3</v>
      </c>
    </row>
    <row r="671" spans="1:10" ht="15" thickBot="1">
      <c r="A671" s="63">
        <v>45109</v>
      </c>
      <c r="B671" s="18" t="s">
        <v>2680</v>
      </c>
      <c r="C671" s="18" t="s">
        <v>2396</v>
      </c>
      <c r="D671" s="18" t="s">
        <v>2648</v>
      </c>
      <c r="E671" s="18" t="s">
        <v>2641</v>
      </c>
      <c r="F671" s="18" t="s">
        <v>2372</v>
      </c>
      <c r="G671" s="18" t="s">
        <v>2690</v>
      </c>
      <c r="H671" s="16">
        <v>20</v>
      </c>
      <c r="I671" s="16">
        <v>2302.4699999999998</v>
      </c>
      <c r="J671" s="16">
        <v>46049.4</v>
      </c>
    </row>
    <row r="672" spans="1:10" ht="15" thickBot="1">
      <c r="A672" s="16" t="s">
        <v>2472</v>
      </c>
      <c r="B672" s="18" t="s">
        <v>2687</v>
      </c>
      <c r="C672" s="18" t="s">
        <v>2659</v>
      </c>
      <c r="D672" s="18" t="s">
        <v>2647</v>
      </c>
      <c r="E672" s="18" t="s">
        <v>2643</v>
      </c>
      <c r="F672" s="18" t="s">
        <v>2373</v>
      </c>
      <c r="G672" s="18" t="s">
        <v>2697</v>
      </c>
      <c r="H672" s="16">
        <v>17</v>
      </c>
      <c r="I672" s="16">
        <v>2805.45</v>
      </c>
      <c r="J672" s="16">
        <v>47692.65</v>
      </c>
    </row>
    <row r="673" spans="1:10" ht="15" thickBot="1">
      <c r="A673" s="16" t="s">
        <v>2620</v>
      </c>
      <c r="B673" s="18" t="s">
        <v>2687</v>
      </c>
      <c r="C673" s="18" t="s">
        <v>2654</v>
      </c>
      <c r="D673" s="18" t="s">
        <v>2646</v>
      </c>
      <c r="E673" s="18" t="s">
        <v>2642</v>
      </c>
      <c r="F673" s="18" t="s">
        <v>2370</v>
      </c>
      <c r="G673" s="18" t="s">
        <v>1336</v>
      </c>
      <c r="H673" s="16">
        <v>3</v>
      </c>
      <c r="I673" s="16">
        <v>413.26</v>
      </c>
      <c r="J673" s="16">
        <v>1239.78</v>
      </c>
    </row>
    <row r="674" spans="1:10" ht="15" thickBot="1">
      <c r="A674" s="16" t="s">
        <v>2511</v>
      </c>
      <c r="B674" s="18" t="s">
        <v>2682</v>
      </c>
      <c r="C674" s="18" t="s">
        <v>2396</v>
      </c>
      <c r="D674" s="18" t="s">
        <v>2648</v>
      </c>
      <c r="E674" s="18" t="s">
        <v>2641</v>
      </c>
      <c r="F674" s="18" t="s">
        <v>2372</v>
      </c>
      <c r="G674" s="18" t="s">
        <v>2693</v>
      </c>
      <c r="H674" s="16">
        <v>17</v>
      </c>
      <c r="I674" s="16">
        <v>3203.04</v>
      </c>
      <c r="J674" s="16">
        <v>54451.68</v>
      </c>
    </row>
    <row r="675" spans="1:10" ht="15" thickBot="1">
      <c r="A675" s="16" t="s">
        <v>2620</v>
      </c>
      <c r="B675" s="18" t="s">
        <v>2683</v>
      </c>
      <c r="C675" s="18" t="s">
        <v>2656</v>
      </c>
      <c r="D675" s="18" t="s">
        <v>2648</v>
      </c>
      <c r="E675" s="18" t="s">
        <v>2641</v>
      </c>
      <c r="F675" s="18" t="s">
        <v>2372</v>
      </c>
      <c r="G675" s="18" t="s">
        <v>2690</v>
      </c>
      <c r="H675" s="16">
        <v>4</v>
      </c>
      <c r="I675" s="16">
        <v>1906.89</v>
      </c>
      <c r="J675" s="16">
        <v>7627.56</v>
      </c>
    </row>
    <row r="676" spans="1:10" ht="15" thickBot="1">
      <c r="A676" s="16" t="s">
        <v>2668</v>
      </c>
      <c r="B676" s="18" t="s">
        <v>2686</v>
      </c>
      <c r="C676" s="18" t="s">
        <v>2660</v>
      </c>
      <c r="D676" s="18" t="s">
        <v>2647</v>
      </c>
      <c r="E676" s="18" t="s">
        <v>2643</v>
      </c>
      <c r="F676" s="18" t="s">
        <v>2661</v>
      </c>
      <c r="G676" s="18" t="s">
        <v>2698</v>
      </c>
      <c r="H676" s="16">
        <v>14</v>
      </c>
      <c r="I676" s="16">
        <v>3829.68</v>
      </c>
      <c r="J676" s="16">
        <v>53615.519999999997</v>
      </c>
    </row>
    <row r="677" spans="1:10" ht="15" thickBot="1">
      <c r="A677" s="16" t="s">
        <v>2573</v>
      </c>
      <c r="B677" s="18" t="s">
        <v>2679</v>
      </c>
      <c r="C677" s="18" t="s">
        <v>2650</v>
      </c>
      <c r="D677" s="18" t="s">
        <v>2646</v>
      </c>
      <c r="E677" s="18" t="s">
        <v>2642</v>
      </c>
      <c r="F677" s="18" t="s">
        <v>2374</v>
      </c>
      <c r="G677" s="18" t="s">
        <v>2689</v>
      </c>
      <c r="H677" s="16">
        <v>19</v>
      </c>
      <c r="I677" s="16">
        <v>2636.08</v>
      </c>
      <c r="J677" s="16">
        <v>50085.52</v>
      </c>
    </row>
    <row r="678" spans="1:10" ht="15" thickBot="1">
      <c r="A678" s="63">
        <v>45238</v>
      </c>
      <c r="B678" s="18" t="s">
        <v>2678</v>
      </c>
      <c r="C678" s="18" t="s">
        <v>2654</v>
      </c>
      <c r="D678" s="18" t="s">
        <v>2646</v>
      </c>
      <c r="E678" s="18" t="s">
        <v>2642</v>
      </c>
      <c r="F678" s="18" t="s">
        <v>2370</v>
      </c>
      <c r="G678" s="18" t="s">
        <v>1335</v>
      </c>
      <c r="H678" s="16">
        <v>13</v>
      </c>
      <c r="I678" s="16">
        <v>3994.86</v>
      </c>
      <c r="J678" s="16">
        <v>51933.18</v>
      </c>
    </row>
    <row r="679" spans="1:10" ht="15" thickBot="1">
      <c r="A679" s="16" t="s">
        <v>2665</v>
      </c>
      <c r="B679" s="18" t="s">
        <v>2682</v>
      </c>
      <c r="C679" s="18" t="s">
        <v>2656</v>
      </c>
      <c r="D679" s="18" t="s">
        <v>2648</v>
      </c>
      <c r="E679" s="18" t="s">
        <v>2641</v>
      </c>
      <c r="F679" s="18" t="s">
        <v>2374</v>
      </c>
      <c r="G679" s="18" t="s">
        <v>2692</v>
      </c>
      <c r="H679" s="16">
        <v>12</v>
      </c>
      <c r="I679" s="16">
        <v>1554.75</v>
      </c>
      <c r="J679" s="16">
        <v>18657</v>
      </c>
    </row>
    <row r="680" spans="1:10" ht="15" thickBot="1">
      <c r="A680" s="63">
        <v>45108</v>
      </c>
      <c r="B680" s="18" t="s">
        <v>2683</v>
      </c>
      <c r="C680" s="18" t="s">
        <v>2649</v>
      </c>
      <c r="D680" s="18" t="s">
        <v>2645</v>
      </c>
      <c r="E680" s="18" t="s">
        <v>2642</v>
      </c>
      <c r="F680" s="18" t="s">
        <v>2374</v>
      </c>
      <c r="G680" s="18" t="s">
        <v>2704</v>
      </c>
      <c r="H680" s="16">
        <v>9</v>
      </c>
      <c r="I680" s="16">
        <v>4674.04</v>
      </c>
      <c r="J680" s="16">
        <v>42066.36</v>
      </c>
    </row>
    <row r="681" spans="1:10" ht="15" thickBot="1">
      <c r="A681" s="63">
        <v>45018</v>
      </c>
      <c r="B681" s="18" t="s">
        <v>2683</v>
      </c>
      <c r="C681" s="18" t="s">
        <v>2657</v>
      </c>
      <c r="D681" s="18" t="s">
        <v>2648</v>
      </c>
      <c r="E681" s="18" t="s">
        <v>2641</v>
      </c>
      <c r="F681" s="18" t="s">
        <v>2373</v>
      </c>
      <c r="G681" s="18" t="s">
        <v>2688</v>
      </c>
      <c r="H681" s="16">
        <v>2</v>
      </c>
      <c r="I681" s="16">
        <v>1252.3</v>
      </c>
      <c r="J681" s="16">
        <v>2504.6</v>
      </c>
    </row>
    <row r="682" spans="1:10" ht="15" thickBot="1">
      <c r="A682" s="16" t="s">
        <v>2474</v>
      </c>
      <c r="B682" s="18" t="s">
        <v>2681</v>
      </c>
      <c r="C682" s="18" t="s">
        <v>2655</v>
      </c>
      <c r="D682" s="18" t="s">
        <v>2645</v>
      </c>
      <c r="E682" s="18" t="s">
        <v>2642</v>
      </c>
      <c r="F682" s="18" t="s">
        <v>2374</v>
      </c>
      <c r="G682" s="18" t="s">
        <v>2692</v>
      </c>
      <c r="H682" s="16">
        <v>15</v>
      </c>
      <c r="I682" s="16">
        <v>1738.86</v>
      </c>
      <c r="J682" s="16">
        <v>26082.9</v>
      </c>
    </row>
    <row r="683" spans="1:10" ht="15" thickBot="1">
      <c r="A683" s="16" t="s">
        <v>2461</v>
      </c>
      <c r="B683" s="18" t="s">
        <v>2679</v>
      </c>
      <c r="C683" s="18" t="s">
        <v>2396</v>
      </c>
      <c r="D683" s="18" t="s">
        <v>2648</v>
      </c>
      <c r="E683" s="18" t="s">
        <v>2641</v>
      </c>
      <c r="F683" s="18" t="s">
        <v>2372</v>
      </c>
      <c r="G683" s="18" t="s">
        <v>2693</v>
      </c>
      <c r="H683" s="16">
        <v>4</v>
      </c>
      <c r="I683" s="16">
        <v>2527.15</v>
      </c>
      <c r="J683" s="16">
        <v>10108.6</v>
      </c>
    </row>
    <row r="684" spans="1:10" ht="15" thickBot="1">
      <c r="A684" s="63">
        <v>44928</v>
      </c>
      <c r="B684" s="18" t="s">
        <v>2681</v>
      </c>
      <c r="C684" s="18" t="s">
        <v>2656</v>
      </c>
      <c r="D684" s="18" t="s">
        <v>2648</v>
      </c>
      <c r="E684" s="18" t="s">
        <v>2641</v>
      </c>
      <c r="F684" s="18" t="s">
        <v>2372</v>
      </c>
      <c r="G684" s="18" t="s">
        <v>2690</v>
      </c>
      <c r="H684" s="16">
        <v>17</v>
      </c>
      <c r="I684" s="16">
        <v>4247.5600000000004</v>
      </c>
      <c r="J684" s="16">
        <v>72208.52</v>
      </c>
    </row>
    <row r="685" spans="1:10" ht="15" thickBot="1">
      <c r="A685" s="16" t="s">
        <v>2533</v>
      </c>
      <c r="B685" s="18" t="s">
        <v>2686</v>
      </c>
      <c r="C685" s="18" t="s">
        <v>2650</v>
      </c>
      <c r="D685" s="18" t="s">
        <v>2646</v>
      </c>
      <c r="E685" s="18" t="s">
        <v>2642</v>
      </c>
      <c r="F685" s="18" t="s">
        <v>2661</v>
      </c>
      <c r="G685" s="18" t="s">
        <v>2691</v>
      </c>
      <c r="H685" s="16">
        <v>8</v>
      </c>
      <c r="I685" s="16">
        <v>978.4</v>
      </c>
      <c r="J685" s="16">
        <v>7827.2</v>
      </c>
    </row>
    <row r="686" spans="1:10" ht="15" thickBot="1">
      <c r="A686" s="63">
        <v>44993</v>
      </c>
      <c r="B686" s="18" t="s">
        <v>2686</v>
      </c>
      <c r="C686" s="18" t="s">
        <v>2657</v>
      </c>
      <c r="D686" s="18" t="s">
        <v>2648</v>
      </c>
      <c r="E686" s="18" t="s">
        <v>2641</v>
      </c>
      <c r="F686" s="18" t="s">
        <v>2373</v>
      </c>
      <c r="G686" s="18" t="s">
        <v>2703</v>
      </c>
      <c r="H686" s="16">
        <v>5</v>
      </c>
      <c r="I686" s="16">
        <v>1530.16</v>
      </c>
      <c r="J686" s="16">
        <v>7650.8</v>
      </c>
    </row>
    <row r="687" spans="1:10" ht="15" thickBot="1">
      <c r="A687" s="63">
        <v>45048</v>
      </c>
      <c r="B687" s="18" t="s">
        <v>2687</v>
      </c>
      <c r="C687" s="18" t="s">
        <v>2654</v>
      </c>
      <c r="D687" s="18" t="s">
        <v>2646</v>
      </c>
      <c r="E687" s="18" t="s">
        <v>2642</v>
      </c>
      <c r="F687" s="18" t="s">
        <v>2373</v>
      </c>
      <c r="G687" s="18" t="s">
        <v>2703</v>
      </c>
      <c r="H687" s="16">
        <v>15</v>
      </c>
      <c r="I687" s="16">
        <v>4748.62</v>
      </c>
      <c r="J687" s="16">
        <v>71229.3</v>
      </c>
    </row>
    <row r="688" spans="1:10" ht="15" thickBot="1">
      <c r="A688" s="16" t="s">
        <v>2466</v>
      </c>
      <c r="B688" s="18" t="s">
        <v>2686</v>
      </c>
      <c r="C688" s="18" t="s">
        <v>2658</v>
      </c>
      <c r="D688" s="18" t="s">
        <v>2645</v>
      </c>
      <c r="E688" s="18" t="s">
        <v>2642</v>
      </c>
      <c r="F688" s="18" t="s">
        <v>2373</v>
      </c>
      <c r="G688" s="18" t="s">
        <v>2688</v>
      </c>
      <c r="H688" s="16">
        <v>5</v>
      </c>
      <c r="I688" s="16">
        <v>4402.72</v>
      </c>
      <c r="J688" s="16">
        <v>22013.599999999999</v>
      </c>
    </row>
    <row r="689" spans="1:10" ht="15" thickBot="1">
      <c r="A689" s="63">
        <v>45206</v>
      </c>
      <c r="B689" s="18" t="s">
        <v>2678</v>
      </c>
      <c r="C689" s="18" t="s">
        <v>2392</v>
      </c>
      <c r="D689" s="18" t="s">
        <v>2644</v>
      </c>
      <c r="E689" s="18" t="s">
        <v>2641</v>
      </c>
      <c r="F689" s="18" t="s">
        <v>2372</v>
      </c>
      <c r="G689" s="18" t="s">
        <v>2690</v>
      </c>
      <c r="H689" s="16">
        <v>16</v>
      </c>
      <c r="I689" s="16">
        <v>3858.12</v>
      </c>
      <c r="J689" s="16">
        <v>61729.919999999998</v>
      </c>
    </row>
    <row r="690" spans="1:10" ht="15" thickBot="1">
      <c r="A690" s="16" t="s">
        <v>2584</v>
      </c>
      <c r="B690" s="18" t="s">
        <v>2680</v>
      </c>
      <c r="C690" s="18" t="s">
        <v>2657</v>
      </c>
      <c r="D690" s="18" t="s">
        <v>2648</v>
      </c>
      <c r="E690" s="18" t="s">
        <v>2641</v>
      </c>
      <c r="F690" s="18" t="s">
        <v>2661</v>
      </c>
      <c r="G690" s="18" t="s">
        <v>2695</v>
      </c>
      <c r="H690" s="16">
        <v>10</v>
      </c>
      <c r="I690" s="16">
        <v>4939.99</v>
      </c>
      <c r="J690" s="16">
        <v>49399.9</v>
      </c>
    </row>
    <row r="691" spans="1:10" ht="15" thickBot="1">
      <c r="A691" s="16" t="s">
        <v>2532</v>
      </c>
      <c r="B691" s="18" t="s">
        <v>2678</v>
      </c>
      <c r="C691" s="18" t="s">
        <v>2654</v>
      </c>
      <c r="D691" s="18" t="s">
        <v>2646</v>
      </c>
      <c r="E691" s="18" t="s">
        <v>2642</v>
      </c>
      <c r="F691" s="18" t="s">
        <v>2373</v>
      </c>
      <c r="G691" s="18" t="s">
        <v>2705</v>
      </c>
      <c r="H691" s="16">
        <v>8</v>
      </c>
      <c r="I691" s="16">
        <v>2394.87</v>
      </c>
      <c r="J691" s="16">
        <v>19158.96</v>
      </c>
    </row>
    <row r="692" spans="1:10" ht="15" thickBot="1">
      <c r="A692" s="16" t="s">
        <v>2455</v>
      </c>
      <c r="B692" s="18" t="s">
        <v>2679</v>
      </c>
      <c r="C692" s="18" t="s">
        <v>2657</v>
      </c>
      <c r="D692" s="18" t="s">
        <v>2648</v>
      </c>
      <c r="E692" s="18" t="s">
        <v>2641</v>
      </c>
      <c r="F692" s="18" t="s">
        <v>2372</v>
      </c>
      <c r="G692" s="18" t="s">
        <v>2699</v>
      </c>
      <c r="H692" s="16">
        <v>11</v>
      </c>
      <c r="I692" s="16">
        <v>3277.74</v>
      </c>
      <c r="J692" s="16">
        <v>36055.14</v>
      </c>
    </row>
    <row r="693" spans="1:10" ht="15" thickBot="1">
      <c r="A693" s="16" t="s">
        <v>2490</v>
      </c>
      <c r="B693" s="18" t="s">
        <v>2682</v>
      </c>
      <c r="C693" s="18" t="s">
        <v>2658</v>
      </c>
      <c r="D693" s="18" t="s">
        <v>2645</v>
      </c>
      <c r="E693" s="18" t="s">
        <v>2642</v>
      </c>
      <c r="F693" s="18" t="s">
        <v>2373</v>
      </c>
      <c r="G693" s="18" t="s">
        <v>2705</v>
      </c>
      <c r="H693" s="16">
        <v>5</v>
      </c>
      <c r="I693" s="16">
        <v>2411.33</v>
      </c>
      <c r="J693" s="16">
        <v>12056.65</v>
      </c>
    </row>
    <row r="694" spans="1:10" ht="15" thickBot="1">
      <c r="A694" s="16" t="s">
        <v>2561</v>
      </c>
      <c r="B694" s="18" t="s">
        <v>2680</v>
      </c>
      <c r="C694" s="18" t="s">
        <v>2656</v>
      </c>
      <c r="D694" s="18" t="s">
        <v>2648</v>
      </c>
      <c r="E694" s="18" t="s">
        <v>2641</v>
      </c>
      <c r="F694" s="18" t="s">
        <v>2374</v>
      </c>
      <c r="G694" s="18" t="s">
        <v>2700</v>
      </c>
      <c r="H694" s="16">
        <v>17</v>
      </c>
      <c r="I694" s="16">
        <v>3844.7</v>
      </c>
      <c r="J694" s="16">
        <v>65359.9</v>
      </c>
    </row>
    <row r="695" spans="1:10" ht="15" thickBot="1">
      <c r="A695" s="16" t="s">
        <v>2637</v>
      </c>
      <c r="B695" s="18" t="s">
        <v>2686</v>
      </c>
      <c r="C695" s="18" t="s">
        <v>2654</v>
      </c>
      <c r="D695" s="18" t="s">
        <v>2646</v>
      </c>
      <c r="E695" s="18" t="s">
        <v>2642</v>
      </c>
      <c r="F695" s="18" t="s">
        <v>2372</v>
      </c>
      <c r="G695" s="18" t="s">
        <v>2694</v>
      </c>
      <c r="H695" s="16">
        <v>14</v>
      </c>
      <c r="I695" s="16">
        <v>816.99</v>
      </c>
      <c r="J695" s="16">
        <v>11437.86</v>
      </c>
    </row>
    <row r="696" spans="1:10" ht="15" thickBot="1">
      <c r="A696" s="16" t="s">
        <v>2551</v>
      </c>
      <c r="B696" s="18" t="s">
        <v>2684</v>
      </c>
      <c r="C696" s="18" t="s">
        <v>2650</v>
      </c>
      <c r="D696" s="18" t="s">
        <v>2646</v>
      </c>
      <c r="E696" s="18" t="s">
        <v>2642</v>
      </c>
      <c r="F696" s="18" t="s">
        <v>2370</v>
      </c>
      <c r="G696" s="18" t="s">
        <v>2702</v>
      </c>
      <c r="H696" s="16">
        <v>3</v>
      </c>
      <c r="I696" s="16">
        <v>3102.92</v>
      </c>
      <c r="J696" s="16">
        <v>9308.76</v>
      </c>
    </row>
    <row r="697" spans="1:10" ht="15" thickBot="1">
      <c r="A697" s="16" t="s">
        <v>2459</v>
      </c>
      <c r="B697" s="18" t="s">
        <v>2681</v>
      </c>
      <c r="C697" s="18" t="s">
        <v>2656</v>
      </c>
      <c r="D697" s="18" t="s">
        <v>2648</v>
      </c>
      <c r="E697" s="18" t="s">
        <v>2641</v>
      </c>
      <c r="F697" s="18" t="s">
        <v>2370</v>
      </c>
      <c r="G697" s="18" t="s">
        <v>1336</v>
      </c>
      <c r="H697" s="16">
        <v>11</v>
      </c>
      <c r="I697" s="16">
        <v>490.34</v>
      </c>
      <c r="J697" s="16">
        <v>5393.74</v>
      </c>
    </row>
    <row r="698" spans="1:10" ht="15" thickBot="1">
      <c r="A698" s="16" t="s">
        <v>2513</v>
      </c>
      <c r="B698" s="18" t="s">
        <v>2683</v>
      </c>
      <c r="C698" s="18" t="s">
        <v>2393</v>
      </c>
      <c r="D698" s="18" t="s">
        <v>2644</v>
      </c>
      <c r="E698" s="18" t="s">
        <v>2641</v>
      </c>
      <c r="F698" s="18" t="s">
        <v>2372</v>
      </c>
      <c r="G698" s="18" t="s">
        <v>2694</v>
      </c>
      <c r="H698" s="16">
        <v>6</v>
      </c>
      <c r="I698" s="16">
        <v>4079.26</v>
      </c>
      <c r="J698" s="16">
        <v>24475.56</v>
      </c>
    </row>
    <row r="699" spans="1:10" ht="15" thickBot="1">
      <c r="A699" s="63">
        <v>44988</v>
      </c>
      <c r="B699" s="18" t="s">
        <v>2678</v>
      </c>
      <c r="C699" s="18" t="s">
        <v>2652</v>
      </c>
      <c r="D699" s="18" t="s">
        <v>2647</v>
      </c>
      <c r="E699" s="18" t="s">
        <v>2643</v>
      </c>
      <c r="F699" s="18" t="s">
        <v>2373</v>
      </c>
      <c r="G699" s="18" t="s">
        <v>2705</v>
      </c>
      <c r="H699" s="16">
        <v>12</v>
      </c>
      <c r="I699" s="16">
        <v>3229.61</v>
      </c>
      <c r="J699" s="16">
        <v>38755.32</v>
      </c>
    </row>
    <row r="700" spans="1:10" ht="15" thickBot="1">
      <c r="A700" s="63">
        <v>45179</v>
      </c>
      <c r="B700" s="18" t="s">
        <v>2682</v>
      </c>
      <c r="C700" s="18" t="s">
        <v>2651</v>
      </c>
      <c r="D700" s="18" t="s">
        <v>2646</v>
      </c>
      <c r="E700" s="18" t="s">
        <v>2642</v>
      </c>
      <c r="F700" s="18" t="s">
        <v>2374</v>
      </c>
      <c r="G700" s="18" t="s">
        <v>2700</v>
      </c>
      <c r="H700" s="16">
        <v>16</v>
      </c>
      <c r="I700" s="16">
        <v>1873.12</v>
      </c>
      <c r="J700" s="16">
        <v>29969.919999999998</v>
      </c>
    </row>
    <row r="701" spans="1:10" ht="15" thickBot="1">
      <c r="A701" s="63">
        <v>45233</v>
      </c>
      <c r="B701" s="18" t="s">
        <v>2681</v>
      </c>
      <c r="C701" s="18" t="s">
        <v>2392</v>
      </c>
      <c r="D701" s="18" t="s">
        <v>2644</v>
      </c>
      <c r="E701" s="18" t="s">
        <v>2641</v>
      </c>
      <c r="F701" s="18" t="s">
        <v>2661</v>
      </c>
      <c r="G701" s="18" t="s">
        <v>2696</v>
      </c>
      <c r="H701" s="16">
        <v>7</v>
      </c>
      <c r="I701" s="16">
        <v>1640.58</v>
      </c>
      <c r="J701" s="16">
        <v>11484.06</v>
      </c>
    </row>
    <row r="702" spans="1:10" ht="15" thickBot="1">
      <c r="A702" s="16" t="s">
        <v>2543</v>
      </c>
      <c r="B702" s="18" t="s">
        <v>2678</v>
      </c>
      <c r="C702" s="18" t="s">
        <v>2653</v>
      </c>
      <c r="D702" s="18" t="s">
        <v>2644</v>
      </c>
      <c r="E702" s="18" t="s">
        <v>2641</v>
      </c>
      <c r="F702" s="18" t="s">
        <v>2370</v>
      </c>
      <c r="G702" s="18" t="s">
        <v>1336</v>
      </c>
      <c r="H702" s="16">
        <v>13</v>
      </c>
      <c r="I702" s="16">
        <v>4843.21</v>
      </c>
      <c r="J702" s="16">
        <v>62961.73</v>
      </c>
    </row>
    <row r="703" spans="1:10" ht="15" thickBot="1">
      <c r="A703" s="16" t="s">
        <v>2461</v>
      </c>
      <c r="B703" s="18" t="s">
        <v>2687</v>
      </c>
      <c r="C703" s="18" t="s">
        <v>2660</v>
      </c>
      <c r="D703" s="18" t="s">
        <v>2647</v>
      </c>
      <c r="E703" s="18" t="s">
        <v>2643</v>
      </c>
      <c r="F703" s="18" t="s">
        <v>2374</v>
      </c>
      <c r="G703" s="18" t="s">
        <v>2689</v>
      </c>
      <c r="H703" s="16">
        <v>13</v>
      </c>
      <c r="I703" s="16">
        <v>1782.01</v>
      </c>
      <c r="J703" s="16">
        <v>23166.13</v>
      </c>
    </row>
    <row r="704" spans="1:10" ht="15" thickBot="1">
      <c r="A704" s="16" t="s">
        <v>2637</v>
      </c>
      <c r="B704" s="18" t="s">
        <v>2687</v>
      </c>
      <c r="C704" s="18" t="s">
        <v>2649</v>
      </c>
      <c r="D704" s="18" t="s">
        <v>2645</v>
      </c>
      <c r="E704" s="18" t="s">
        <v>2642</v>
      </c>
      <c r="F704" s="18" t="s">
        <v>2661</v>
      </c>
      <c r="G704" s="18" t="s">
        <v>2696</v>
      </c>
      <c r="H704" s="16">
        <v>19</v>
      </c>
      <c r="I704" s="16">
        <v>1120.5999999999999</v>
      </c>
      <c r="J704" s="16">
        <v>21291.4</v>
      </c>
    </row>
    <row r="705" spans="1:10" ht="15" thickBot="1">
      <c r="A705" s="16" t="s">
        <v>2514</v>
      </c>
      <c r="B705" s="18" t="s">
        <v>2684</v>
      </c>
      <c r="C705" s="18" t="s">
        <v>2658</v>
      </c>
      <c r="D705" s="18" t="s">
        <v>2645</v>
      </c>
      <c r="E705" s="18" t="s">
        <v>2642</v>
      </c>
      <c r="F705" s="18" t="s">
        <v>2373</v>
      </c>
      <c r="G705" s="18" t="s">
        <v>2697</v>
      </c>
      <c r="H705" s="16">
        <v>2</v>
      </c>
      <c r="I705" s="16">
        <v>1927.02</v>
      </c>
      <c r="J705" s="16">
        <v>3854.04</v>
      </c>
    </row>
    <row r="706" spans="1:10" ht="15" thickBot="1">
      <c r="A706" s="16" t="s">
        <v>2449</v>
      </c>
      <c r="B706" s="18" t="s">
        <v>2681</v>
      </c>
      <c r="C706" s="18" t="s">
        <v>2392</v>
      </c>
      <c r="D706" s="18" t="s">
        <v>2644</v>
      </c>
      <c r="E706" s="18" t="s">
        <v>2641</v>
      </c>
      <c r="F706" s="18" t="s">
        <v>2373</v>
      </c>
      <c r="G706" s="18" t="s">
        <v>2703</v>
      </c>
      <c r="H706" s="16">
        <v>15</v>
      </c>
      <c r="I706" s="16">
        <v>4642.6899999999996</v>
      </c>
      <c r="J706" s="16">
        <v>69640.350000000006</v>
      </c>
    </row>
    <row r="707" spans="1:10" ht="15" thickBot="1">
      <c r="A707" s="16" t="s">
        <v>2452</v>
      </c>
      <c r="B707" s="18" t="s">
        <v>2681</v>
      </c>
      <c r="C707" s="18" t="s">
        <v>2392</v>
      </c>
      <c r="D707" s="18" t="s">
        <v>2644</v>
      </c>
      <c r="E707" s="18" t="s">
        <v>2641</v>
      </c>
      <c r="F707" s="18" t="s">
        <v>2374</v>
      </c>
      <c r="G707" s="18" t="s">
        <v>2689</v>
      </c>
      <c r="H707" s="16">
        <v>19</v>
      </c>
      <c r="I707" s="16">
        <v>3316.87</v>
      </c>
      <c r="J707" s="16">
        <v>63020.53</v>
      </c>
    </row>
    <row r="708" spans="1:10" ht="15" thickBot="1">
      <c r="A708" s="63">
        <v>45024</v>
      </c>
      <c r="B708" s="18" t="s">
        <v>2679</v>
      </c>
      <c r="C708" s="18" t="s">
        <v>2396</v>
      </c>
      <c r="D708" s="18" t="s">
        <v>2648</v>
      </c>
      <c r="E708" s="18" t="s">
        <v>2641</v>
      </c>
      <c r="F708" s="18" t="s">
        <v>2374</v>
      </c>
      <c r="G708" s="18" t="s">
        <v>2704</v>
      </c>
      <c r="H708" s="16">
        <v>19</v>
      </c>
      <c r="I708" s="16">
        <v>1372.28</v>
      </c>
      <c r="J708" s="16">
        <v>26073.32</v>
      </c>
    </row>
    <row r="709" spans="1:10" ht="15" thickBot="1">
      <c r="A709" s="63">
        <v>45078</v>
      </c>
      <c r="B709" s="18" t="s">
        <v>2681</v>
      </c>
      <c r="C709" s="18" t="s">
        <v>2658</v>
      </c>
      <c r="D709" s="18" t="s">
        <v>2645</v>
      </c>
      <c r="E709" s="18" t="s">
        <v>2642</v>
      </c>
      <c r="F709" s="18" t="s">
        <v>2374</v>
      </c>
      <c r="G709" s="18" t="s">
        <v>2704</v>
      </c>
      <c r="H709" s="16">
        <v>8</v>
      </c>
      <c r="I709" s="16">
        <v>4786.4799999999996</v>
      </c>
      <c r="J709" s="16">
        <v>38291.839999999997</v>
      </c>
    </row>
    <row r="710" spans="1:10" ht="15" thickBot="1">
      <c r="A710" s="16" t="s">
        <v>2584</v>
      </c>
      <c r="B710" s="18" t="s">
        <v>2680</v>
      </c>
      <c r="C710" s="18" t="s">
        <v>2650</v>
      </c>
      <c r="D710" s="18" t="s">
        <v>2646</v>
      </c>
      <c r="E710" s="18" t="s">
        <v>2642</v>
      </c>
      <c r="F710" s="18" t="s">
        <v>2373</v>
      </c>
      <c r="G710" s="18" t="s">
        <v>2703</v>
      </c>
      <c r="H710" s="16">
        <v>18</v>
      </c>
      <c r="I710" s="16">
        <v>620.92999999999995</v>
      </c>
      <c r="J710" s="16">
        <v>11176.74</v>
      </c>
    </row>
    <row r="711" spans="1:10" ht="15" thickBot="1">
      <c r="A711" s="16" t="s">
        <v>2499</v>
      </c>
      <c r="B711" s="18" t="s">
        <v>2687</v>
      </c>
      <c r="C711" s="18" t="s">
        <v>2650</v>
      </c>
      <c r="D711" s="18" t="s">
        <v>2646</v>
      </c>
      <c r="E711" s="18" t="s">
        <v>2642</v>
      </c>
      <c r="F711" s="18" t="s">
        <v>2370</v>
      </c>
      <c r="G711" s="18" t="s">
        <v>2702</v>
      </c>
      <c r="H711" s="16">
        <v>4</v>
      </c>
      <c r="I711" s="16">
        <v>1241.21</v>
      </c>
      <c r="J711" s="16">
        <v>4964.84</v>
      </c>
    </row>
    <row r="712" spans="1:10" ht="15" thickBot="1">
      <c r="A712" s="16" t="s">
        <v>2592</v>
      </c>
      <c r="B712" s="18" t="s">
        <v>2678</v>
      </c>
      <c r="C712" s="18" t="s">
        <v>2393</v>
      </c>
      <c r="D712" s="18" t="s">
        <v>2644</v>
      </c>
      <c r="E712" s="18" t="s">
        <v>2641</v>
      </c>
      <c r="F712" s="18" t="s">
        <v>2370</v>
      </c>
      <c r="G712" s="18" t="s">
        <v>2702</v>
      </c>
      <c r="H712" s="16">
        <v>10</v>
      </c>
      <c r="I712" s="16">
        <v>1823.34</v>
      </c>
      <c r="J712" s="16">
        <v>18233.400000000001</v>
      </c>
    </row>
    <row r="713" spans="1:10" ht="15" thickBot="1">
      <c r="A713" s="63">
        <v>45146</v>
      </c>
      <c r="B713" s="18" t="s">
        <v>2686</v>
      </c>
      <c r="C713" s="18" t="s">
        <v>2393</v>
      </c>
      <c r="D713" s="18" t="s">
        <v>2644</v>
      </c>
      <c r="E713" s="18" t="s">
        <v>2641</v>
      </c>
      <c r="F713" s="18" t="s">
        <v>2372</v>
      </c>
      <c r="G713" s="18" t="s">
        <v>2693</v>
      </c>
      <c r="H713" s="16">
        <v>10</v>
      </c>
      <c r="I713" s="16">
        <v>4304.71</v>
      </c>
      <c r="J713" s="16">
        <v>43047.1</v>
      </c>
    </row>
    <row r="714" spans="1:10" ht="15" thickBot="1">
      <c r="A714" s="16" t="s">
        <v>2523</v>
      </c>
      <c r="B714" s="18" t="s">
        <v>2687</v>
      </c>
      <c r="C714" s="18" t="s">
        <v>2654</v>
      </c>
      <c r="D714" s="18" t="s">
        <v>2646</v>
      </c>
      <c r="E714" s="18" t="s">
        <v>2642</v>
      </c>
      <c r="F714" s="18" t="s">
        <v>2661</v>
      </c>
      <c r="G714" s="18" t="s">
        <v>2696</v>
      </c>
      <c r="H714" s="16">
        <v>11</v>
      </c>
      <c r="I714" s="16">
        <v>4446.37</v>
      </c>
      <c r="J714" s="16">
        <v>48910.07</v>
      </c>
    </row>
    <row r="715" spans="1:10" ht="15" thickBot="1">
      <c r="A715" s="16" t="s">
        <v>2595</v>
      </c>
      <c r="B715" s="18" t="s">
        <v>2680</v>
      </c>
      <c r="C715" s="18" t="s">
        <v>2392</v>
      </c>
      <c r="D715" s="18" t="s">
        <v>2644</v>
      </c>
      <c r="E715" s="18" t="s">
        <v>2641</v>
      </c>
      <c r="F715" s="18" t="s">
        <v>2661</v>
      </c>
      <c r="G715" s="18" t="s">
        <v>2691</v>
      </c>
      <c r="H715" s="16">
        <v>8</v>
      </c>
      <c r="I715" s="16">
        <v>465.32</v>
      </c>
      <c r="J715" s="16">
        <v>3722.56</v>
      </c>
    </row>
    <row r="716" spans="1:10" ht="15" thickBot="1">
      <c r="A716" s="16" t="s">
        <v>2670</v>
      </c>
      <c r="B716" s="18" t="s">
        <v>2683</v>
      </c>
      <c r="C716" s="18" t="s">
        <v>2651</v>
      </c>
      <c r="D716" s="18" t="s">
        <v>2646</v>
      </c>
      <c r="E716" s="18" t="s">
        <v>2642</v>
      </c>
      <c r="F716" s="18" t="s">
        <v>2374</v>
      </c>
      <c r="G716" s="18" t="s">
        <v>2700</v>
      </c>
      <c r="H716" s="16">
        <v>1</v>
      </c>
      <c r="I716" s="16">
        <v>3431.7</v>
      </c>
      <c r="J716" s="16">
        <v>3431.7</v>
      </c>
    </row>
    <row r="717" spans="1:10" ht="15" thickBot="1">
      <c r="A717" s="16" t="s">
        <v>2585</v>
      </c>
      <c r="B717" s="18" t="s">
        <v>2681</v>
      </c>
      <c r="C717" s="18" t="s">
        <v>2392</v>
      </c>
      <c r="D717" s="18" t="s">
        <v>2644</v>
      </c>
      <c r="E717" s="18" t="s">
        <v>2641</v>
      </c>
      <c r="F717" s="18" t="s">
        <v>2373</v>
      </c>
      <c r="G717" s="18" t="s">
        <v>2703</v>
      </c>
      <c r="H717" s="16">
        <v>20</v>
      </c>
      <c r="I717" s="16">
        <v>1365.33</v>
      </c>
      <c r="J717" s="16">
        <v>27306.6</v>
      </c>
    </row>
    <row r="718" spans="1:10" ht="15" thickBot="1">
      <c r="A718" s="16" t="s">
        <v>2579</v>
      </c>
      <c r="B718" s="18" t="s">
        <v>2680</v>
      </c>
      <c r="C718" s="18" t="s">
        <v>2654</v>
      </c>
      <c r="D718" s="18" t="s">
        <v>2646</v>
      </c>
      <c r="E718" s="18" t="s">
        <v>2642</v>
      </c>
      <c r="F718" s="18" t="s">
        <v>2370</v>
      </c>
      <c r="G718" s="18" t="s">
        <v>1335</v>
      </c>
      <c r="H718" s="16">
        <v>14</v>
      </c>
      <c r="I718" s="16">
        <v>2343.4</v>
      </c>
      <c r="J718" s="16">
        <v>32807.599999999999</v>
      </c>
    </row>
    <row r="719" spans="1:10" ht="15" thickBot="1">
      <c r="A719" s="63">
        <v>45078</v>
      </c>
      <c r="B719" s="18" t="s">
        <v>2685</v>
      </c>
      <c r="C719" s="18" t="s">
        <v>2656</v>
      </c>
      <c r="D719" s="18" t="s">
        <v>2648</v>
      </c>
      <c r="E719" s="18" t="s">
        <v>2641</v>
      </c>
      <c r="F719" s="18" t="s">
        <v>2370</v>
      </c>
      <c r="G719" s="18" t="s">
        <v>1336</v>
      </c>
      <c r="H719" s="16">
        <v>15</v>
      </c>
      <c r="I719" s="16">
        <v>447.71</v>
      </c>
      <c r="J719" s="16">
        <v>6715.65</v>
      </c>
    </row>
    <row r="720" spans="1:10" ht="15" thickBot="1">
      <c r="A720" s="63">
        <v>45047</v>
      </c>
      <c r="B720" s="18" t="s">
        <v>2685</v>
      </c>
      <c r="C720" s="18" t="s">
        <v>2657</v>
      </c>
      <c r="D720" s="18" t="s">
        <v>2648</v>
      </c>
      <c r="E720" s="18" t="s">
        <v>2641</v>
      </c>
      <c r="F720" s="18" t="s">
        <v>2661</v>
      </c>
      <c r="G720" s="18" t="s">
        <v>2698</v>
      </c>
      <c r="H720" s="16">
        <v>3</v>
      </c>
      <c r="I720" s="16">
        <v>2393.7199999999998</v>
      </c>
      <c r="J720" s="16">
        <v>7181.16</v>
      </c>
    </row>
    <row r="721" spans="1:10" ht="15" thickBot="1">
      <c r="A721" s="16" t="s">
        <v>2455</v>
      </c>
      <c r="B721" s="18" t="s">
        <v>2687</v>
      </c>
      <c r="C721" s="18" t="s">
        <v>2660</v>
      </c>
      <c r="D721" s="18" t="s">
        <v>2647</v>
      </c>
      <c r="E721" s="18" t="s">
        <v>2643</v>
      </c>
      <c r="F721" s="18" t="s">
        <v>2372</v>
      </c>
      <c r="G721" s="18" t="s">
        <v>2693</v>
      </c>
      <c r="H721" s="16">
        <v>20</v>
      </c>
      <c r="I721" s="16">
        <v>138.6</v>
      </c>
      <c r="J721" s="16">
        <v>2772</v>
      </c>
    </row>
    <row r="722" spans="1:10" ht="15" thickBot="1">
      <c r="A722" s="16" t="s">
        <v>2581</v>
      </c>
      <c r="B722" s="18" t="s">
        <v>2684</v>
      </c>
      <c r="C722" s="18" t="s">
        <v>2392</v>
      </c>
      <c r="D722" s="18" t="s">
        <v>2644</v>
      </c>
      <c r="E722" s="18" t="s">
        <v>2641</v>
      </c>
      <c r="F722" s="18" t="s">
        <v>2661</v>
      </c>
      <c r="G722" s="18" t="s">
        <v>2691</v>
      </c>
      <c r="H722" s="16">
        <v>6</v>
      </c>
      <c r="I722" s="16">
        <v>3119.62</v>
      </c>
      <c r="J722" s="16">
        <v>18717.72</v>
      </c>
    </row>
    <row r="723" spans="1:10" ht="15" thickBot="1">
      <c r="A723" s="16" t="s">
        <v>2458</v>
      </c>
      <c r="B723" s="18" t="s">
        <v>2682</v>
      </c>
      <c r="C723" s="18" t="s">
        <v>2650</v>
      </c>
      <c r="D723" s="18" t="s">
        <v>2646</v>
      </c>
      <c r="E723" s="18" t="s">
        <v>2642</v>
      </c>
      <c r="F723" s="18" t="s">
        <v>2370</v>
      </c>
      <c r="G723" s="18" t="s">
        <v>2702</v>
      </c>
      <c r="H723" s="16">
        <v>1</v>
      </c>
      <c r="I723" s="16">
        <v>4175.7</v>
      </c>
      <c r="J723" s="16">
        <v>4175.7</v>
      </c>
    </row>
    <row r="724" spans="1:10" ht="15" thickBot="1">
      <c r="A724" s="16" t="s">
        <v>2519</v>
      </c>
      <c r="B724" s="18" t="s">
        <v>2686</v>
      </c>
      <c r="C724" s="18" t="s">
        <v>2659</v>
      </c>
      <c r="D724" s="18" t="s">
        <v>2647</v>
      </c>
      <c r="E724" s="18" t="s">
        <v>2643</v>
      </c>
      <c r="F724" s="18" t="s">
        <v>2374</v>
      </c>
      <c r="G724" s="18" t="s">
        <v>2700</v>
      </c>
      <c r="H724" s="16">
        <v>17</v>
      </c>
      <c r="I724" s="16">
        <v>2655.23</v>
      </c>
      <c r="J724" s="16">
        <v>45138.91</v>
      </c>
    </row>
    <row r="725" spans="1:10" ht="15" thickBot="1">
      <c r="A725" s="63">
        <v>44967</v>
      </c>
      <c r="B725" s="18" t="s">
        <v>2685</v>
      </c>
      <c r="C725" s="18" t="s">
        <v>2652</v>
      </c>
      <c r="D725" s="18" t="s">
        <v>2647</v>
      </c>
      <c r="E725" s="18" t="s">
        <v>2643</v>
      </c>
      <c r="F725" s="18" t="s">
        <v>2661</v>
      </c>
      <c r="G725" s="18" t="s">
        <v>2698</v>
      </c>
      <c r="H725" s="16">
        <v>14</v>
      </c>
      <c r="I725" s="16">
        <v>4235.22</v>
      </c>
      <c r="J725" s="16">
        <v>59293.08</v>
      </c>
    </row>
    <row r="726" spans="1:10" ht="15" thickBot="1">
      <c r="A726" s="16" t="s">
        <v>2564</v>
      </c>
      <c r="B726" s="18" t="s">
        <v>2678</v>
      </c>
      <c r="C726" s="18" t="s">
        <v>2660</v>
      </c>
      <c r="D726" s="18" t="s">
        <v>2647</v>
      </c>
      <c r="E726" s="18" t="s">
        <v>2643</v>
      </c>
      <c r="F726" s="18" t="s">
        <v>2374</v>
      </c>
      <c r="G726" s="18" t="s">
        <v>2700</v>
      </c>
      <c r="H726" s="16">
        <v>20</v>
      </c>
      <c r="I726" s="16">
        <v>3393.01</v>
      </c>
      <c r="J726" s="16">
        <v>67860.2</v>
      </c>
    </row>
    <row r="727" spans="1:10" ht="15" thickBot="1">
      <c r="A727" s="63">
        <v>44961</v>
      </c>
      <c r="B727" s="18" t="s">
        <v>2685</v>
      </c>
      <c r="C727" s="18" t="s">
        <v>2649</v>
      </c>
      <c r="D727" s="18" t="s">
        <v>2645</v>
      </c>
      <c r="E727" s="18" t="s">
        <v>2642</v>
      </c>
      <c r="F727" s="18" t="s">
        <v>2370</v>
      </c>
      <c r="G727" s="18" t="s">
        <v>1335</v>
      </c>
      <c r="H727" s="16">
        <v>14</v>
      </c>
      <c r="I727" s="16">
        <v>1247.48</v>
      </c>
      <c r="J727" s="16">
        <v>17464.72</v>
      </c>
    </row>
    <row r="728" spans="1:10" ht="15" thickBot="1">
      <c r="A728" s="63">
        <v>45054</v>
      </c>
      <c r="B728" s="18" t="s">
        <v>2686</v>
      </c>
      <c r="C728" s="18" t="s">
        <v>2656</v>
      </c>
      <c r="D728" s="18" t="s">
        <v>2648</v>
      </c>
      <c r="E728" s="18" t="s">
        <v>2641</v>
      </c>
      <c r="F728" s="18" t="s">
        <v>2372</v>
      </c>
      <c r="G728" s="18" t="s">
        <v>2690</v>
      </c>
      <c r="H728" s="16">
        <v>20</v>
      </c>
      <c r="I728" s="16">
        <v>4428.59</v>
      </c>
      <c r="J728" s="16">
        <v>88571.8</v>
      </c>
    </row>
    <row r="729" spans="1:10" ht="15" thickBot="1">
      <c r="A729" s="63">
        <v>45058</v>
      </c>
      <c r="B729" s="18" t="s">
        <v>2682</v>
      </c>
      <c r="C729" s="18" t="s">
        <v>2650</v>
      </c>
      <c r="D729" s="18" t="s">
        <v>2646</v>
      </c>
      <c r="E729" s="18" t="s">
        <v>2642</v>
      </c>
      <c r="F729" s="18" t="s">
        <v>2374</v>
      </c>
      <c r="G729" s="18" t="s">
        <v>2689</v>
      </c>
      <c r="H729" s="16">
        <v>9</v>
      </c>
      <c r="I729" s="16">
        <v>2251.19</v>
      </c>
      <c r="J729" s="16">
        <v>20260.71</v>
      </c>
    </row>
    <row r="730" spans="1:10" ht="15" thickBot="1">
      <c r="A730" s="16" t="s">
        <v>2562</v>
      </c>
      <c r="B730" s="18" t="s">
        <v>2680</v>
      </c>
      <c r="C730" s="18" t="s">
        <v>2654</v>
      </c>
      <c r="D730" s="18" t="s">
        <v>2646</v>
      </c>
      <c r="E730" s="18" t="s">
        <v>2642</v>
      </c>
      <c r="F730" s="18" t="s">
        <v>2370</v>
      </c>
      <c r="G730" s="18" t="s">
        <v>2701</v>
      </c>
      <c r="H730" s="16">
        <v>19</v>
      </c>
      <c r="I730" s="16">
        <v>2240.89</v>
      </c>
      <c r="J730" s="16">
        <v>42576.91</v>
      </c>
    </row>
    <row r="731" spans="1:10" ht="15" thickBot="1">
      <c r="A731" s="63">
        <v>45117</v>
      </c>
      <c r="B731" s="18" t="s">
        <v>2683</v>
      </c>
      <c r="C731" s="18" t="s">
        <v>2660</v>
      </c>
      <c r="D731" s="18" t="s">
        <v>2647</v>
      </c>
      <c r="E731" s="18" t="s">
        <v>2643</v>
      </c>
      <c r="F731" s="18" t="s">
        <v>2373</v>
      </c>
      <c r="G731" s="18" t="s">
        <v>2703</v>
      </c>
      <c r="H731" s="16">
        <v>19</v>
      </c>
      <c r="I731" s="16">
        <v>4089.21</v>
      </c>
      <c r="J731" s="16">
        <v>77694.990000000005</v>
      </c>
    </row>
    <row r="732" spans="1:10" ht="15" thickBot="1">
      <c r="A732" s="16" t="s">
        <v>2512</v>
      </c>
      <c r="B732" s="18" t="s">
        <v>2685</v>
      </c>
      <c r="C732" s="18" t="s">
        <v>2654</v>
      </c>
      <c r="D732" s="18" t="s">
        <v>2646</v>
      </c>
      <c r="E732" s="18" t="s">
        <v>2642</v>
      </c>
      <c r="F732" s="18" t="s">
        <v>2661</v>
      </c>
      <c r="G732" s="18" t="s">
        <v>2695</v>
      </c>
      <c r="H732" s="16">
        <v>6</v>
      </c>
      <c r="I732" s="16">
        <v>4286.28</v>
      </c>
      <c r="J732" s="16">
        <v>25717.68</v>
      </c>
    </row>
    <row r="733" spans="1:10" ht="15" thickBot="1">
      <c r="A733" s="16" t="s">
        <v>2575</v>
      </c>
      <c r="B733" s="18" t="s">
        <v>2681</v>
      </c>
      <c r="C733" s="18" t="s">
        <v>2651</v>
      </c>
      <c r="D733" s="18" t="s">
        <v>2646</v>
      </c>
      <c r="E733" s="18" t="s">
        <v>2642</v>
      </c>
      <c r="F733" s="18" t="s">
        <v>2370</v>
      </c>
      <c r="G733" s="18" t="s">
        <v>1336</v>
      </c>
      <c r="H733" s="16">
        <v>20</v>
      </c>
      <c r="I733" s="16">
        <v>1316.67</v>
      </c>
      <c r="J733" s="16">
        <v>26333.4</v>
      </c>
    </row>
    <row r="734" spans="1:10" ht="15" thickBot="1">
      <c r="A734" s="16" t="s">
        <v>2457</v>
      </c>
      <c r="B734" s="18" t="s">
        <v>2685</v>
      </c>
      <c r="C734" s="18" t="s">
        <v>2396</v>
      </c>
      <c r="D734" s="18" t="s">
        <v>2648</v>
      </c>
      <c r="E734" s="18" t="s">
        <v>2641</v>
      </c>
      <c r="F734" s="18" t="s">
        <v>2372</v>
      </c>
      <c r="G734" s="18" t="s">
        <v>2699</v>
      </c>
      <c r="H734" s="16">
        <v>17</v>
      </c>
      <c r="I734" s="16">
        <v>3145.73</v>
      </c>
      <c r="J734" s="16">
        <v>53477.41</v>
      </c>
    </row>
    <row r="735" spans="1:10" ht="15" thickBot="1">
      <c r="A735" s="16" t="s">
        <v>2473</v>
      </c>
      <c r="B735" s="18" t="s">
        <v>2685</v>
      </c>
      <c r="C735" s="18" t="s">
        <v>2393</v>
      </c>
      <c r="D735" s="18" t="s">
        <v>2644</v>
      </c>
      <c r="E735" s="18" t="s">
        <v>2641</v>
      </c>
      <c r="F735" s="18" t="s">
        <v>2372</v>
      </c>
      <c r="G735" s="18" t="s">
        <v>2693</v>
      </c>
      <c r="H735" s="16">
        <v>10</v>
      </c>
      <c r="I735" s="16">
        <v>2523.59</v>
      </c>
      <c r="J735" s="16">
        <v>25235.9</v>
      </c>
    </row>
    <row r="736" spans="1:10" ht="15" thickBot="1">
      <c r="A736" s="16" t="s">
        <v>2486</v>
      </c>
      <c r="B736" s="18" t="s">
        <v>2680</v>
      </c>
      <c r="C736" s="18" t="s">
        <v>2659</v>
      </c>
      <c r="D736" s="18" t="s">
        <v>2647</v>
      </c>
      <c r="E736" s="18" t="s">
        <v>2643</v>
      </c>
      <c r="F736" s="18" t="s">
        <v>2374</v>
      </c>
      <c r="G736" s="18" t="s">
        <v>2689</v>
      </c>
      <c r="H736" s="16">
        <v>2</v>
      </c>
      <c r="I736" s="16">
        <v>2851.64</v>
      </c>
      <c r="J736" s="16">
        <v>5703.28</v>
      </c>
    </row>
    <row r="737" spans="1:10" ht="15" thickBot="1">
      <c r="A737" s="16" t="s">
        <v>2676</v>
      </c>
      <c r="B737" s="18" t="s">
        <v>2685</v>
      </c>
      <c r="C737" s="18" t="s">
        <v>2393</v>
      </c>
      <c r="D737" s="18" t="s">
        <v>2644</v>
      </c>
      <c r="E737" s="18" t="s">
        <v>2641</v>
      </c>
      <c r="F737" s="18" t="s">
        <v>2374</v>
      </c>
      <c r="G737" s="18" t="s">
        <v>2689</v>
      </c>
      <c r="H737" s="16">
        <v>20</v>
      </c>
      <c r="I737" s="16">
        <v>3193.18</v>
      </c>
      <c r="J737" s="16">
        <v>63863.6</v>
      </c>
    </row>
    <row r="738" spans="1:10" ht="15" thickBot="1">
      <c r="A738" s="16" t="s">
        <v>2614</v>
      </c>
      <c r="B738" s="18" t="s">
        <v>2680</v>
      </c>
      <c r="C738" s="18" t="s">
        <v>2652</v>
      </c>
      <c r="D738" s="18" t="s">
        <v>2647</v>
      </c>
      <c r="E738" s="18" t="s">
        <v>2643</v>
      </c>
      <c r="F738" s="18" t="s">
        <v>2372</v>
      </c>
      <c r="G738" s="18" t="s">
        <v>2693</v>
      </c>
      <c r="H738" s="16">
        <v>8</v>
      </c>
      <c r="I738" s="16">
        <v>4663.82</v>
      </c>
      <c r="J738" s="16">
        <v>37310.559999999998</v>
      </c>
    </row>
    <row r="739" spans="1:10" ht="15" thickBot="1">
      <c r="A739" s="63">
        <v>44938</v>
      </c>
      <c r="B739" s="18" t="s">
        <v>2683</v>
      </c>
      <c r="C739" s="18" t="s">
        <v>2392</v>
      </c>
      <c r="D739" s="18" t="s">
        <v>2644</v>
      </c>
      <c r="E739" s="18" t="s">
        <v>2641</v>
      </c>
      <c r="F739" s="18" t="s">
        <v>2374</v>
      </c>
      <c r="G739" s="18" t="s">
        <v>2704</v>
      </c>
      <c r="H739" s="16">
        <v>13</v>
      </c>
      <c r="I739" s="16">
        <v>4263.79</v>
      </c>
      <c r="J739" s="16">
        <v>55429.27</v>
      </c>
    </row>
    <row r="740" spans="1:10" ht="15" thickBot="1">
      <c r="A740" s="16" t="s">
        <v>2675</v>
      </c>
      <c r="B740" s="18" t="s">
        <v>2687</v>
      </c>
      <c r="C740" s="18" t="s">
        <v>2651</v>
      </c>
      <c r="D740" s="18" t="s">
        <v>2646</v>
      </c>
      <c r="E740" s="18" t="s">
        <v>2642</v>
      </c>
      <c r="F740" s="18" t="s">
        <v>2373</v>
      </c>
      <c r="G740" s="18" t="s">
        <v>2705</v>
      </c>
      <c r="H740" s="16">
        <v>11</v>
      </c>
      <c r="I740" s="16">
        <v>819.85</v>
      </c>
      <c r="J740" s="16">
        <v>9018.35</v>
      </c>
    </row>
    <row r="741" spans="1:10" ht="15" thickBot="1">
      <c r="A741" s="16" t="s">
        <v>2601</v>
      </c>
      <c r="B741" s="18" t="s">
        <v>2686</v>
      </c>
      <c r="C741" s="18" t="s">
        <v>2651</v>
      </c>
      <c r="D741" s="18" t="s">
        <v>2646</v>
      </c>
      <c r="E741" s="18" t="s">
        <v>2642</v>
      </c>
      <c r="F741" s="18" t="s">
        <v>2370</v>
      </c>
      <c r="G741" s="18" t="s">
        <v>2702</v>
      </c>
      <c r="H741" s="16">
        <v>8</v>
      </c>
      <c r="I741" s="16">
        <v>2784.08</v>
      </c>
      <c r="J741" s="16">
        <v>22272.639999999999</v>
      </c>
    </row>
    <row r="742" spans="1:10" ht="15" thickBot="1">
      <c r="A742" s="16" t="s">
        <v>2469</v>
      </c>
      <c r="B742" s="18" t="s">
        <v>2685</v>
      </c>
      <c r="C742" s="18" t="s">
        <v>2650</v>
      </c>
      <c r="D742" s="18" t="s">
        <v>2646</v>
      </c>
      <c r="E742" s="18" t="s">
        <v>2642</v>
      </c>
      <c r="F742" s="18" t="s">
        <v>2372</v>
      </c>
      <c r="G742" s="18" t="s">
        <v>2694</v>
      </c>
      <c r="H742" s="16">
        <v>8</v>
      </c>
      <c r="I742" s="16">
        <v>2240.2199999999998</v>
      </c>
      <c r="J742" s="16">
        <v>17921.759999999998</v>
      </c>
    </row>
    <row r="743" spans="1:10" ht="15" thickBot="1">
      <c r="A743" s="63">
        <v>45089</v>
      </c>
      <c r="B743" s="18" t="s">
        <v>2679</v>
      </c>
      <c r="C743" s="18" t="s">
        <v>2650</v>
      </c>
      <c r="D743" s="18" t="s">
        <v>2646</v>
      </c>
      <c r="E743" s="18" t="s">
        <v>2642</v>
      </c>
      <c r="F743" s="18" t="s">
        <v>2370</v>
      </c>
      <c r="G743" s="18" t="s">
        <v>1335</v>
      </c>
      <c r="H743" s="16">
        <v>18</v>
      </c>
      <c r="I743" s="16">
        <v>1039.3800000000001</v>
      </c>
      <c r="J743" s="16">
        <v>18708.84</v>
      </c>
    </row>
    <row r="744" spans="1:10" ht="15" thickBot="1">
      <c r="A744" s="63">
        <v>45118</v>
      </c>
      <c r="B744" s="18" t="s">
        <v>2681</v>
      </c>
      <c r="C744" s="18" t="s">
        <v>2396</v>
      </c>
      <c r="D744" s="18" t="s">
        <v>2648</v>
      </c>
      <c r="E744" s="18" t="s">
        <v>2641</v>
      </c>
      <c r="F744" s="18" t="s">
        <v>2661</v>
      </c>
      <c r="G744" s="18" t="s">
        <v>2695</v>
      </c>
      <c r="H744" s="16">
        <v>18</v>
      </c>
      <c r="I744" s="16">
        <v>1297.93</v>
      </c>
      <c r="J744" s="16">
        <v>23362.74</v>
      </c>
    </row>
    <row r="745" spans="1:10" ht="15" thickBot="1">
      <c r="A745" s="63">
        <v>45047</v>
      </c>
      <c r="B745" s="18" t="s">
        <v>2687</v>
      </c>
      <c r="C745" s="18" t="s">
        <v>2392</v>
      </c>
      <c r="D745" s="18" t="s">
        <v>2644</v>
      </c>
      <c r="E745" s="18" t="s">
        <v>2641</v>
      </c>
      <c r="F745" s="18" t="s">
        <v>2373</v>
      </c>
      <c r="G745" s="18" t="s">
        <v>2703</v>
      </c>
      <c r="H745" s="16">
        <v>4</v>
      </c>
      <c r="I745" s="16">
        <v>4293.74</v>
      </c>
      <c r="J745" s="16">
        <v>17174.96</v>
      </c>
    </row>
    <row r="746" spans="1:10" ht="15" thickBot="1">
      <c r="A746" s="16" t="s">
        <v>2635</v>
      </c>
      <c r="B746" s="18" t="s">
        <v>2682</v>
      </c>
      <c r="C746" s="18" t="s">
        <v>2652</v>
      </c>
      <c r="D746" s="18" t="s">
        <v>2647</v>
      </c>
      <c r="E746" s="18" t="s">
        <v>2643</v>
      </c>
      <c r="F746" s="18" t="s">
        <v>2370</v>
      </c>
      <c r="G746" s="18" t="s">
        <v>1335</v>
      </c>
      <c r="H746" s="16">
        <v>11</v>
      </c>
      <c r="I746" s="16">
        <v>2133.36</v>
      </c>
      <c r="J746" s="16">
        <v>23466.959999999999</v>
      </c>
    </row>
    <row r="747" spans="1:10" ht="15" thickBot="1">
      <c r="A747" s="16" t="s">
        <v>2670</v>
      </c>
      <c r="B747" s="18" t="s">
        <v>2678</v>
      </c>
      <c r="C747" s="18" t="s">
        <v>2658</v>
      </c>
      <c r="D747" s="18" t="s">
        <v>2645</v>
      </c>
      <c r="E747" s="18" t="s">
        <v>2642</v>
      </c>
      <c r="F747" s="18" t="s">
        <v>2661</v>
      </c>
      <c r="G747" s="18" t="s">
        <v>2696</v>
      </c>
      <c r="H747" s="16">
        <v>11</v>
      </c>
      <c r="I747" s="16">
        <v>735.74</v>
      </c>
      <c r="J747" s="16">
        <v>8093.14</v>
      </c>
    </row>
    <row r="748" spans="1:10" ht="15" thickBot="1">
      <c r="A748" s="63">
        <v>45141</v>
      </c>
      <c r="B748" s="18" t="s">
        <v>2680</v>
      </c>
      <c r="C748" s="18" t="s">
        <v>2660</v>
      </c>
      <c r="D748" s="18" t="s">
        <v>2647</v>
      </c>
      <c r="E748" s="18" t="s">
        <v>2643</v>
      </c>
      <c r="F748" s="18" t="s">
        <v>2372</v>
      </c>
      <c r="G748" s="18" t="s">
        <v>2690</v>
      </c>
      <c r="H748" s="16">
        <v>14</v>
      </c>
      <c r="I748" s="16">
        <v>271.27</v>
      </c>
      <c r="J748" s="16">
        <v>3797.78</v>
      </c>
    </row>
    <row r="749" spans="1:10" ht="15" thickBot="1">
      <c r="A749" s="63">
        <v>45210</v>
      </c>
      <c r="B749" s="18" t="s">
        <v>2680</v>
      </c>
      <c r="C749" s="18" t="s">
        <v>2658</v>
      </c>
      <c r="D749" s="18" t="s">
        <v>2645</v>
      </c>
      <c r="E749" s="18" t="s">
        <v>2642</v>
      </c>
      <c r="F749" s="18" t="s">
        <v>2373</v>
      </c>
      <c r="G749" s="18" t="s">
        <v>2688</v>
      </c>
      <c r="H749" s="16">
        <v>5</v>
      </c>
      <c r="I749" s="16">
        <v>4759.1899999999996</v>
      </c>
      <c r="J749" s="16">
        <v>23795.95</v>
      </c>
    </row>
    <row r="750" spans="1:10" ht="15" thickBot="1">
      <c r="A750" s="63">
        <v>45211</v>
      </c>
      <c r="B750" s="18" t="s">
        <v>2679</v>
      </c>
      <c r="C750" s="18" t="s">
        <v>2656</v>
      </c>
      <c r="D750" s="18" t="s">
        <v>2648</v>
      </c>
      <c r="E750" s="18" t="s">
        <v>2641</v>
      </c>
      <c r="F750" s="18" t="s">
        <v>2370</v>
      </c>
      <c r="G750" s="18" t="s">
        <v>1336</v>
      </c>
      <c r="H750" s="16">
        <v>11</v>
      </c>
      <c r="I750" s="16">
        <v>941.97</v>
      </c>
      <c r="J750" s="16">
        <v>10361.67</v>
      </c>
    </row>
    <row r="751" spans="1:10" ht="15" thickBot="1">
      <c r="A751" s="63">
        <v>45238</v>
      </c>
      <c r="B751" s="18" t="s">
        <v>2679</v>
      </c>
      <c r="C751" s="18" t="s">
        <v>2651</v>
      </c>
      <c r="D751" s="18" t="s">
        <v>2646</v>
      </c>
      <c r="E751" s="18" t="s">
        <v>2642</v>
      </c>
      <c r="F751" s="18" t="s">
        <v>2661</v>
      </c>
      <c r="G751" s="18" t="s">
        <v>2698</v>
      </c>
      <c r="H751" s="16">
        <v>11</v>
      </c>
      <c r="I751" s="16">
        <v>2182.46</v>
      </c>
      <c r="J751" s="16">
        <v>24007.06</v>
      </c>
    </row>
    <row r="752" spans="1:10" ht="15" thickBot="1">
      <c r="A752" s="16" t="s">
        <v>2602</v>
      </c>
      <c r="B752" s="18" t="s">
        <v>2679</v>
      </c>
      <c r="C752" s="18" t="s">
        <v>2392</v>
      </c>
      <c r="D752" s="18" t="s">
        <v>2644</v>
      </c>
      <c r="E752" s="18" t="s">
        <v>2641</v>
      </c>
      <c r="F752" s="18" t="s">
        <v>2661</v>
      </c>
      <c r="G752" s="18" t="s">
        <v>2696</v>
      </c>
      <c r="H752" s="16">
        <v>10</v>
      </c>
      <c r="I752" s="16">
        <v>2112.91</v>
      </c>
      <c r="J752" s="16">
        <v>21129.1</v>
      </c>
    </row>
    <row r="753" spans="1:10" ht="15" thickBot="1">
      <c r="A753" s="63">
        <v>45232</v>
      </c>
      <c r="B753" s="18" t="s">
        <v>2681</v>
      </c>
      <c r="C753" s="18" t="s">
        <v>2396</v>
      </c>
      <c r="D753" s="18" t="s">
        <v>2648</v>
      </c>
      <c r="E753" s="18" t="s">
        <v>2641</v>
      </c>
      <c r="F753" s="18" t="s">
        <v>2372</v>
      </c>
      <c r="G753" s="18" t="s">
        <v>2690</v>
      </c>
      <c r="H753" s="16">
        <v>13</v>
      </c>
      <c r="I753" s="16">
        <v>3495.08</v>
      </c>
      <c r="J753" s="16">
        <v>45436.04</v>
      </c>
    </row>
    <row r="754" spans="1:10" ht="15" thickBot="1">
      <c r="A754" s="63">
        <v>44932</v>
      </c>
      <c r="B754" s="18" t="s">
        <v>2678</v>
      </c>
      <c r="C754" s="18" t="s">
        <v>2659</v>
      </c>
      <c r="D754" s="18" t="s">
        <v>2647</v>
      </c>
      <c r="E754" s="18" t="s">
        <v>2643</v>
      </c>
      <c r="F754" s="18" t="s">
        <v>2661</v>
      </c>
      <c r="G754" s="18" t="s">
        <v>2691</v>
      </c>
      <c r="H754" s="16">
        <v>2</v>
      </c>
      <c r="I754" s="16">
        <v>3439.47</v>
      </c>
      <c r="J754" s="16">
        <v>6878.94</v>
      </c>
    </row>
    <row r="755" spans="1:10" ht="15" thickBot="1">
      <c r="A755" s="63">
        <v>45231</v>
      </c>
      <c r="B755" s="18" t="s">
        <v>2680</v>
      </c>
      <c r="C755" s="18" t="s">
        <v>2657</v>
      </c>
      <c r="D755" s="18" t="s">
        <v>2648</v>
      </c>
      <c r="E755" s="18" t="s">
        <v>2641</v>
      </c>
      <c r="F755" s="18" t="s">
        <v>2373</v>
      </c>
      <c r="G755" s="18" t="s">
        <v>2688</v>
      </c>
      <c r="H755" s="16">
        <v>20</v>
      </c>
      <c r="I755" s="16">
        <v>3279.25</v>
      </c>
      <c r="J755" s="16">
        <v>65585</v>
      </c>
    </row>
    <row r="756" spans="1:10" ht="15" thickBot="1">
      <c r="A756" s="63">
        <v>44928</v>
      </c>
      <c r="B756" s="18" t="s">
        <v>2680</v>
      </c>
      <c r="C756" s="18" t="s">
        <v>2652</v>
      </c>
      <c r="D756" s="18" t="s">
        <v>2647</v>
      </c>
      <c r="E756" s="18" t="s">
        <v>2643</v>
      </c>
      <c r="F756" s="18" t="s">
        <v>2373</v>
      </c>
      <c r="G756" s="18" t="s">
        <v>2697</v>
      </c>
      <c r="H756" s="16">
        <v>16</v>
      </c>
      <c r="I756" s="16">
        <v>3320.8</v>
      </c>
      <c r="J756" s="16">
        <v>53132.800000000003</v>
      </c>
    </row>
    <row r="757" spans="1:10" ht="15" thickBot="1">
      <c r="A757" s="16" t="s">
        <v>2581</v>
      </c>
      <c r="B757" s="18" t="s">
        <v>2680</v>
      </c>
      <c r="C757" s="18" t="s">
        <v>2393</v>
      </c>
      <c r="D757" s="18" t="s">
        <v>2644</v>
      </c>
      <c r="E757" s="18" t="s">
        <v>2641</v>
      </c>
      <c r="F757" s="18" t="s">
        <v>2372</v>
      </c>
      <c r="G757" s="18" t="s">
        <v>2699</v>
      </c>
      <c r="H757" s="16">
        <v>6</v>
      </c>
      <c r="I757" s="16">
        <v>4105.1899999999996</v>
      </c>
      <c r="J757" s="16">
        <v>24631.14</v>
      </c>
    </row>
    <row r="758" spans="1:10" ht="15" thickBot="1">
      <c r="A758" s="16" t="s">
        <v>2452</v>
      </c>
      <c r="B758" s="18" t="s">
        <v>2684</v>
      </c>
      <c r="C758" s="18" t="s">
        <v>2659</v>
      </c>
      <c r="D758" s="18" t="s">
        <v>2647</v>
      </c>
      <c r="E758" s="18" t="s">
        <v>2643</v>
      </c>
      <c r="F758" s="18" t="s">
        <v>2661</v>
      </c>
      <c r="G758" s="18" t="s">
        <v>2695</v>
      </c>
      <c r="H758" s="16">
        <v>7</v>
      </c>
      <c r="I758" s="16">
        <v>1830.46</v>
      </c>
      <c r="J758" s="16">
        <v>12813.22</v>
      </c>
    </row>
    <row r="759" spans="1:10" ht="15" thickBot="1">
      <c r="A759" s="16" t="s">
        <v>2638</v>
      </c>
      <c r="B759" s="18" t="s">
        <v>2679</v>
      </c>
      <c r="C759" s="18" t="s">
        <v>2659</v>
      </c>
      <c r="D759" s="18" t="s">
        <v>2647</v>
      </c>
      <c r="E759" s="18" t="s">
        <v>2643</v>
      </c>
      <c r="F759" s="18" t="s">
        <v>2374</v>
      </c>
      <c r="G759" s="18" t="s">
        <v>2704</v>
      </c>
      <c r="H759" s="16">
        <v>19</v>
      </c>
      <c r="I759" s="16">
        <v>3901.75</v>
      </c>
      <c r="J759" s="16">
        <v>74133.25</v>
      </c>
    </row>
    <row r="760" spans="1:10" ht="15" thickBot="1">
      <c r="A760" s="16" t="s">
        <v>2436</v>
      </c>
      <c r="B760" s="18" t="s">
        <v>2679</v>
      </c>
      <c r="C760" s="18" t="s">
        <v>2654</v>
      </c>
      <c r="D760" s="18" t="s">
        <v>2646</v>
      </c>
      <c r="E760" s="18" t="s">
        <v>2642</v>
      </c>
      <c r="F760" s="18" t="s">
        <v>2661</v>
      </c>
      <c r="G760" s="18" t="s">
        <v>2691</v>
      </c>
      <c r="H760" s="16">
        <v>10</v>
      </c>
      <c r="I760" s="16">
        <v>3031.91</v>
      </c>
      <c r="J760" s="16">
        <v>30319.1</v>
      </c>
    </row>
    <row r="761" spans="1:10" ht="15" thickBot="1">
      <c r="A761" s="63">
        <v>45116</v>
      </c>
      <c r="B761" s="18" t="s">
        <v>2683</v>
      </c>
      <c r="C761" s="18" t="s">
        <v>2653</v>
      </c>
      <c r="D761" s="18" t="s">
        <v>2644</v>
      </c>
      <c r="E761" s="18" t="s">
        <v>2641</v>
      </c>
      <c r="F761" s="18" t="s">
        <v>2374</v>
      </c>
      <c r="G761" s="18" t="s">
        <v>2689</v>
      </c>
      <c r="H761" s="16">
        <v>18</v>
      </c>
      <c r="I761" s="16">
        <v>3575.04</v>
      </c>
      <c r="J761" s="16">
        <v>64350.720000000001</v>
      </c>
    </row>
    <row r="762" spans="1:10" ht="15" thickBot="1">
      <c r="A762" s="63">
        <v>44935</v>
      </c>
      <c r="B762" s="18" t="s">
        <v>2684</v>
      </c>
      <c r="C762" s="18" t="s">
        <v>2658</v>
      </c>
      <c r="D762" s="18" t="s">
        <v>2645</v>
      </c>
      <c r="E762" s="18" t="s">
        <v>2642</v>
      </c>
      <c r="F762" s="18" t="s">
        <v>2661</v>
      </c>
      <c r="G762" s="18" t="s">
        <v>2696</v>
      </c>
      <c r="H762" s="16">
        <v>17</v>
      </c>
      <c r="I762" s="16">
        <v>2920.06</v>
      </c>
      <c r="J762" s="16">
        <v>49641.02</v>
      </c>
    </row>
    <row r="763" spans="1:10" ht="15" thickBot="1">
      <c r="A763" s="16" t="s">
        <v>2620</v>
      </c>
      <c r="B763" s="18" t="s">
        <v>2685</v>
      </c>
      <c r="C763" s="18" t="s">
        <v>2392</v>
      </c>
      <c r="D763" s="18" t="s">
        <v>2644</v>
      </c>
      <c r="E763" s="18" t="s">
        <v>2641</v>
      </c>
      <c r="F763" s="18" t="s">
        <v>2370</v>
      </c>
      <c r="G763" s="18" t="s">
        <v>2702</v>
      </c>
      <c r="H763" s="16">
        <v>15</v>
      </c>
      <c r="I763" s="16">
        <v>2796.48</v>
      </c>
      <c r="J763" s="16">
        <v>41947.199999999997</v>
      </c>
    </row>
    <row r="764" spans="1:10" ht="15" thickBot="1">
      <c r="A764" s="16" t="s">
        <v>2527</v>
      </c>
      <c r="B764" s="18" t="s">
        <v>2682</v>
      </c>
      <c r="C764" s="18" t="s">
        <v>2650</v>
      </c>
      <c r="D764" s="18" t="s">
        <v>2646</v>
      </c>
      <c r="E764" s="18" t="s">
        <v>2642</v>
      </c>
      <c r="F764" s="18" t="s">
        <v>2370</v>
      </c>
      <c r="G764" s="18" t="s">
        <v>1336</v>
      </c>
      <c r="H764" s="16">
        <v>1</v>
      </c>
      <c r="I764" s="16">
        <v>2918.29</v>
      </c>
      <c r="J764" s="16">
        <v>2918.29</v>
      </c>
    </row>
    <row r="765" spans="1:10" ht="15" thickBot="1">
      <c r="A765" s="16" t="s">
        <v>2576</v>
      </c>
      <c r="B765" s="18" t="s">
        <v>2684</v>
      </c>
      <c r="C765" s="18" t="s">
        <v>2656</v>
      </c>
      <c r="D765" s="18" t="s">
        <v>2648</v>
      </c>
      <c r="E765" s="18" t="s">
        <v>2641</v>
      </c>
      <c r="F765" s="18" t="s">
        <v>2373</v>
      </c>
      <c r="G765" s="18" t="s">
        <v>2697</v>
      </c>
      <c r="H765" s="16">
        <v>10</v>
      </c>
      <c r="I765" s="16">
        <v>1097.83</v>
      </c>
      <c r="J765" s="16">
        <v>10978.3</v>
      </c>
    </row>
    <row r="766" spans="1:10" ht="15" thickBot="1">
      <c r="A766" s="63">
        <v>45262</v>
      </c>
      <c r="B766" s="18" t="s">
        <v>2678</v>
      </c>
      <c r="C766" s="18" t="s">
        <v>2392</v>
      </c>
      <c r="D766" s="18" t="s">
        <v>2644</v>
      </c>
      <c r="E766" s="18" t="s">
        <v>2641</v>
      </c>
      <c r="F766" s="18" t="s">
        <v>2372</v>
      </c>
      <c r="G766" s="18" t="s">
        <v>2694</v>
      </c>
      <c r="H766" s="16">
        <v>10</v>
      </c>
      <c r="I766" s="16">
        <v>3391.5</v>
      </c>
      <c r="J766" s="16">
        <v>33915</v>
      </c>
    </row>
    <row r="767" spans="1:10" ht="15" thickBot="1">
      <c r="A767" s="63">
        <v>45176</v>
      </c>
      <c r="B767" s="18" t="s">
        <v>2686</v>
      </c>
      <c r="C767" s="18" t="s">
        <v>2652</v>
      </c>
      <c r="D767" s="18" t="s">
        <v>2647</v>
      </c>
      <c r="E767" s="18" t="s">
        <v>2643</v>
      </c>
      <c r="F767" s="18" t="s">
        <v>2661</v>
      </c>
      <c r="G767" s="18" t="s">
        <v>2696</v>
      </c>
      <c r="H767" s="16">
        <v>13</v>
      </c>
      <c r="I767" s="16">
        <v>2225.88</v>
      </c>
      <c r="J767" s="16">
        <v>28936.44</v>
      </c>
    </row>
    <row r="768" spans="1:10" ht="15" thickBot="1">
      <c r="A768" s="63">
        <v>45058</v>
      </c>
      <c r="B768" s="18" t="s">
        <v>2683</v>
      </c>
      <c r="C768" s="18" t="s">
        <v>2393</v>
      </c>
      <c r="D768" s="18" t="s">
        <v>2644</v>
      </c>
      <c r="E768" s="18" t="s">
        <v>2641</v>
      </c>
      <c r="F768" s="18" t="s">
        <v>2372</v>
      </c>
      <c r="G768" s="18" t="s">
        <v>2694</v>
      </c>
      <c r="H768" s="16">
        <v>2</v>
      </c>
      <c r="I768" s="16">
        <v>1559.76</v>
      </c>
      <c r="J768" s="16">
        <v>3119.52</v>
      </c>
    </row>
    <row r="769" spans="1:10" ht="15" thickBot="1">
      <c r="A769" s="16" t="s">
        <v>2545</v>
      </c>
      <c r="B769" s="18" t="s">
        <v>2680</v>
      </c>
      <c r="C769" s="18" t="s">
        <v>2657</v>
      </c>
      <c r="D769" s="18" t="s">
        <v>2648</v>
      </c>
      <c r="E769" s="18" t="s">
        <v>2641</v>
      </c>
      <c r="F769" s="18" t="s">
        <v>2661</v>
      </c>
      <c r="G769" s="18" t="s">
        <v>2695</v>
      </c>
      <c r="H769" s="16">
        <v>13</v>
      </c>
      <c r="I769" s="16">
        <v>4719.96</v>
      </c>
      <c r="J769" s="16">
        <v>61359.48</v>
      </c>
    </row>
    <row r="770" spans="1:10" ht="15" thickBot="1">
      <c r="A770" s="16" t="s">
        <v>2437</v>
      </c>
      <c r="B770" s="18" t="s">
        <v>2687</v>
      </c>
      <c r="C770" s="18" t="s">
        <v>2658</v>
      </c>
      <c r="D770" s="18" t="s">
        <v>2645</v>
      </c>
      <c r="E770" s="18" t="s">
        <v>2642</v>
      </c>
      <c r="F770" s="18" t="s">
        <v>2374</v>
      </c>
      <c r="G770" s="18" t="s">
        <v>2692</v>
      </c>
      <c r="H770" s="16">
        <v>5</v>
      </c>
      <c r="I770" s="16">
        <v>1593.02</v>
      </c>
      <c r="J770" s="16">
        <v>7965.1</v>
      </c>
    </row>
    <row r="771" spans="1:10" ht="15" thickBot="1">
      <c r="A771" s="16" t="s">
        <v>2540</v>
      </c>
      <c r="B771" s="18" t="s">
        <v>2682</v>
      </c>
      <c r="C771" s="18" t="s">
        <v>2650</v>
      </c>
      <c r="D771" s="18" t="s">
        <v>2646</v>
      </c>
      <c r="E771" s="18" t="s">
        <v>2642</v>
      </c>
      <c r="F771" s="18" t="s">
        <v>2372</v>
      </c>
      <c r="G771" s="18" t="s">
        <v>2690</v>
      </c>
      <c r="H771" s="16">
        <v>7</v>
      </c>
      <c r="I771" s="16">
        <v>1233.6300000000001</v>
      </c>
      <c r="J771" s="16">
        <v>8635.41</v>
      </c>
    </row>
    <row r="772" spans="1:10" ht="15" thickBot="1">
      <c r="A772" s="16" t="s">
        <v>2574</v>
      </c>
      <c r="B772" s="18" t="s">
        <v>2681</v>
      </c>
      <c r="C772" s="18" t="s">
        <v>2651</v>
      </c>
      <c r="D772" s="18" t="s">
        <v>2646</v>
      </c>
      <c r="E772" s="18" t="s">
        <v>2642</v>
      </c>
      <c r="F772" s="18" t="s">
        <v>2370</v>
      </c>
      <c r="G772" s="18" t="s">
        <v>2701</v>
      </c>
      <c r="H772" s="16">
        <v>2</v>
      </c>
      <c r="I772" s="16">
        <v>2261.69</v>
      </c>
      <c r="J772" s="16">
        <v>4523.38</v>
      </c>
    </row>
    <row r="773" spans="1:10" ht="15" thickBot="1">
      <c r="A773" s="63">
        <v>45235</v>
      </c>
      <c r="B773" s="18" t="s">
        <v>2684</v>
      </c>
      <c r="C773" s="18" t="s">
        <v>2654</v>
      </c>
      <c r="D773" s="18" t="s">
        <v>2646</v>
      </c>
      <c r="E773" s="18" t="s">
        <v>2642</v>
      </c>
      <c r="F773" s="18" t="s">
        <v>2661</v>
      </c>
      <c r="G773" s="18" t="s">
        <v>2696</v>
      </c>
      <c r="H773" s="16">
        <v>15</v>
      </c>
      <c r="I773" s="16">
        <v>1197.31</v>
      </c>
      <c r="J773" s="16">
        <v>17959.650000000001</v>
      </c>
    </row>
    <row r="774" spans="1:10" ht="15" thickBot="1">
      <c r="A774" s="63">
        <v>45173</v>
      </c>
      <c r="B774" s="18" t="s">
        <v>2679</v>
      </c>
      <c r="C774" s="18" t="s">
        <v>2649</v>
      </c>
      <c r="D774" s="18" t="s">
        <v>2645</v>
      </c>
      <c r="E774" s="18" t="s">
        <v>2642</v>
      </c>
      <c r="F774" s="18" t="s">
        <v>2374</v>
      </c>
      <c r="G774" s="18" t="s">
        <v>2692</v>
      </c>
      <c r="H774" s="16">
        <v>9</v>
      </c>
      <c r="I774" s="16">
        <v>3441.09</v>
      </c>
      <c r="J774" s="16">
        <v>30969.81</v>
      </c>
    </row>
    <row r="775" spans="1:10" ht="15" thickBot="1">
      <c r="A775" s="16" t="s">
        <v>2617</v>
      </c>
      <c r="B775" s="18" t="s">
        <v>2679</v>
      </c>
      <c r="C775" s="18" t="s">
        <v>2652</v>
      </c>
      <c r="D775" s="18" t="s">
        <v>2647</v>
      </c>
      <c r="E775" s="18" t="s">
        <v>2643</v>
      </c>
      <c r="F775" s="18" t="s">
        <v>2373</v>
      </c>
      <c r="G775" s="18" t="s">
        <v>2703</v>
      </c>
      <c r="H775" s="16">
        <v>2</v>
      </c>
      <c r="I775" s="16">
        <v>3325.99</v>
      </c>
      <c r="J775" s="16">
        <v>6651.98</v>
      </c>
    </row>
    <row r="776" spans="1:10" ht="15" thickBot="1">
      <c r="A776" s="16" t="s">
        <v>2571</v>
      </c>
      <c r="B776" s="18" t="s">
        <v>2687</v>
      </c>
      <c r="C776" s="18" t="s">
        <v>2392</v>
      </c>
      <c r="D776" s="18" t="s">
        <v>2644</v>
      </c>
      <c r="E776" s="18" t="s">
        <v>2641</v>
      </c>
      <c r="F776" s="18" t="s">
        <v>2372</v>
      </c>
      <c r="G776" s="18" t="s">
        <v>2690</v>
      </c>
      <c r="H776" s="16">
        <v>2</v>
      </c>
      <c r="I776" s="16">
        <v>991.8</v>
      </c>
      <c r="J776" s="16">
        <v>1983.6</v>
      </c>
    </row>
    <row r="777" spans="1:10" ht="15" thickBot="1">
      <c r="A777" s="16" t="s">
        <v>2573</v>
      </c>
      <c r="B777" s="18" t="s">
        <v>2686</v>
      </c>
      <c r="C777" s="18" t="s">
        <v>2652</v>
      </c>
      <c r="D777" s="18" t="s">
        <v>2647</v>
      </c>
      <c r="E777" s="18" t="s">
        <v>2643</v>
      </c>
      <c r="F777" s="18" t="s">
        <v>2661</v>
      </c>
      <c r="G777" s="18" t="s">
        <v>2691</v>
      </c>
      <c r="H777" s="16">
        <v>9</v>
      </c>
      <c r="I777" s="16">
        <v>4763.01</v>
      </c>
      <c r="J777" s="16">
        <v>42867.09</v>
      </c>
    </row>
    <row r="778" spans="1:10" ht="15" thickBot="1">
      <c r="A778" s="16" t="s">
        <v>2493</v>
      </c>
      <c r="B778" s="18" t="s">
        <v>2685</v>
      </c>
      <c r="C778" s="18" t="s">
        <v>2657</v>
      </c>
      <c r="D778" s="18" t="s">
        <v>2648</v>
      </c>
      <c r="E778" s="18" t="s">
        <v>2641</v>
      </c>
      <c r="F778" s="18" t="s">
        <v>2372</v>
      </c>
      <c r="G778" s="18" t="s">
        <v>2699</v>
      </c>
      <c r="H778" s="16">
        <v>8</v>
      </c>
      <c r="I778" s="16">
        <v>826.71</v>
      </c>
      <c r="J778" s="16">
        <v>6613.68</v>
      </c>
    </row>
    <row r="779" spans="1:10" ht="15" thickBot="1">
      <c r="A779" s="16" t="s">
        <v>2624</v>
      </c>
      <c r="B779" s="18" t="s">
        <v>2678</v>
      </c>
      <c r="C779" s="18" t="s">
        <v>2658</v>
      </c>
      <c r="D779" s="18" t="s">
        <v>2645</v>
      </c>
      <c r="E779" s="18" t="s">
        <v>2642</v>
      </c>
      <c r="F779" s="18" t="s">
        <v>2661</v>
      </c>
      <c r="G779" s="18" t="s">
        <v>2698</v>
      </c>
      <c r="H779" s="16">
        <v>9</v>
      </c>
      <c r="I779" s="16">
        <v>209.57</v>
      </c>
      <c r="J779" s="16">
        <v>1886.13</v>
      </c>
    </row>
    <row r="780" spans="1:10" ht="15" thickBot="1">
      <c r="A780" s="16" t="s">
        <v>2494</v>
      </c>
      <c r="B780" s="18" t="s">
        <v>2682</v>
      </c>
      <c r="C780" s="18" t="s">
        <v>2658</v>
      </c>
      <c r="D780" s="18" t="s">
        <v>2645</v>
      </c>
      <c r="E780" s="18" t="s">
        <v>2642</v>
      </c>
      <c r="F780" s="18" t="s">
        <v>2370</v>
      </c>
      <c r="G780" s="18" t="s">
        <v>1335</v>
      </c>
      <c r="H780" s="16">
        <v>7</v>
      </c>
      <c r="I780" s="16">
        <v>2538.4299999999998</v>
      </c>
      <c r="J780" s="16">
        <v>17769.009999999998</v>
      </c>
    </row>
    <row r="781" spans="1:10" ht="15" thickBot="1">
      <c r="A781" s="16" t="s">
        <v>2460</v>
      </c>
      <c r="B781" s="18" t="s">
        <v>2681</v>
      </c>
      <c r="C781" s="18" t="s">
        <v>2396</v>
      </c>
      <c r="D781" s="18" t="s">
        <v>2648</v>
      </c>
      <c r="E781" s="18" t="s">
        <v>2641</v>
      </c>
      <c r="F781" s="18" t="s">
        <v>2661</v>
      </c>
      <c r="G781" s="18" t="s">
        <v>2696</v>
      </c>
      <c r="H781" s="16">
        <v>7</v>
      </c>
      <c r="I781" s="16">
        <v>4116.9799999999996</v>
      </c>
      <c r="J781" s="16">
        <v>28818.86</v>
      </c>
    </row>
    <row r="782" spans="1:10" ht="15" thickBot="1">
      <c r="A782" s="63">
        <v>44933</v>
      </c>
      <c r="B782" s="18" t="s">
        <v>2679</v>
      </c>
      <c r="C782" s="18" t="s">
        <v>2393</v>
      </c>
      <c r="D782" s="18" t="s">
        <v>2644</v>
      </c>
      <c r="E782" s="18" t="s">
        <v>2641</v>
      </c>
      <c r="F782" s="18" t="s">
        <v>2370</v>
      </c>
      <c r="G782" s="18" t="s">
        <v>1336</v>
      </c>
      <c r="H782" s="16">
        <v>20</v>
      </c>
      <c r="I782" s="16">
        <v>3638.01</v>
      </c>
      <c r="J782" s="16">
        <v>72760.2</v>
      </c>
    </row>
    <row r="783" spans="1:10" ht="15" thickBot="1">
      <c r="A783" s="16" t="s">
        <v>2638</v>
      </c>
      <c r="B783" s="18" t="s">
        <v>2687</v>
      </c>
      <c r="C783" s="18" t="s">
        <v>2660</v>
      </c>
      <c r="D783" s="18" t="s">
        <v>2647</v>
      </c>
      <c r="E783" s="18" t="s">
        <v>2643</v>
      </c>
      <c r="F783" s="18" t="s">
        <v>2373</v>
      </c>
      <c r="G783" s="18" t="s">
        <v>2703</v>
      </c>
      <c r="H783" s="16">
        <v>8</v>
      </c>
      <c r="I783" s="16">
        <v>4523.4399999999996</v>
      </c>
      <c r="J783" s="16">
        <v>36187.519999999997</v>
      </c>
    </row>
    <row r="784" spans="1:10" ht="15" thickBot="1">
      <c r="A784" s="16" t="s">
        <v>2585</v>
      </c>
      <c r="B784" s="18" t="s">
        <v>2681</v>
      </c>
      <c r="C784" s="18" t="s">
        <v>2652</v>
      </c>
      <c r="D784" s="18" t="s">
        <v>2647</v>
      </c>
      <c r="E784" s="18" t="s">
        <v>2643</v>
      </c>
      <c r="F784" s="18" t="s">
        <v>2373</v>
      </c>
      <c r="G784" s="18" t="s">
        <v>2697</v>
      </c>
      <c r="H784" s="16">
        <v>17</v>
      </c>
      <c r="I784" s="16">
        <v>2042</v>
      </c>
      <c r="J784" s="16">
        <v>34714</v>
      </c>
    </row>
    <row r="785" spans="1:10" ht="15" thickBot="1">
      <c r="A785" s="16" t="s">
        <v>2671</v>
      </c>
      <c r="B785" s="18" t="s">
        <v>2687</v>
      </c>
      <c r="C785" s="18" t="s">
        <v>2651</v>
      </c>
      <c r="D785" s="18" t="s">
        <v>2646</v>
      </c>
      <c r="E785" s="18" t="s">
        <v>2642</v>
      </c>
      <c r="F785" s="18" t="s">
        <v>2374</v>
      </c>
      <c r="G785" s="18" t="s">
        <v>2689</v>
      </c>
      <c r="H785" s="16">
        <v>19</v>
      </c>
      <c r="I785" s="16">
        <v>2357.62</v>
      </c>
      <c r="J785" s="16">
        <v>44794.78</v>
      </c>
    </row>
    <row r="786" spans="1:10" ht="15" thickBot="1">
      <c r="A786" s="63">
        <v>45079</v>
      </c>
      <c r="B786" s="18" t="s">
        <v>2680</v>
      </c>
      <c r="C786" s="18" t="s">
        <v>2649</v>
      </c>
      <c r="D786" s="18" t="s">
        <v>2645</v>
      </c>
      <c r="E786" s="18" t="s">
        <v>2642</v>
      </c>
      <c r="F786" s="18" t="s">
        <v>2372</v>
      </c>
      <c r="G786" s="18" t="s">
        <v>2690</v>
      </c>
      <c r="H786" s="16">
        <v>18</v>
      </c>
      <c r="I786" s="16">
        <v>941.19</v>
      </c>
      <c r="J786" s="16">
        <v>16941.419999999998</v>
      </c>
    </row>
    <row r="787" spans="1:10" ht="15" thickBot="1">
      <c r="A787" s="63">
        <v>45021</v>
      </c>
      <c r="B787" s="18" t="s">
        <v>2686</v>
      </c>
      <c r="C787" s="18" t="s">
        <v>2654</v>
      </c>
      <c r="D787" s="18" t="s">
        <v>2646</v>
      </c>
      <c r="E787" s="18" t="s">
        <v>2642</v>
      </c>
      <c r="F787" s="18" t="s">
        <v>2372</v>
      </c>
      <c r="G787" s="18" t="s">
        <v>2694</v>
      </c>
      <c r="H787" s="16">
        <v>9</v>
      </c>
      <c r="I787" s="16">
        <v>3927.83</v>
      </c>
      <c r="J787" s="16">
        <v>35350.47</v>
      </c>
    </row>
    <row r="788" spans="1:10" ht="15" thickBot="1">
      <c r="A788" s="16" t="s">
        <v>2593</v>
      </c>
      <c r="B788" s="18" t="s">
        <v>2679</v>
      </c>
      <c r="C788" s="18" t="s">
        <v>2658</v>
      </c>
      <c r="D788" s="18" t="s">
        <v>2645</v>
      </c>
      <c r="E788" s="18" t="s">
        <v>2642</v>
      </c>
      <c r="F788" s="18" t="s">
        <v>2661</v>
      </c>
      <c r="G788" s="18" t="s">
        <v>2696</v>
      </c>
      <c r="H788" s="16">
        <v>1</v>
      </c>
      <c r="I788" s="16">
        <v>4555.42</v>
      </c>
      <c r="J788" s="16">
        <v>4555.42</v>
      </c>
    </row>
    <row r="789" spans="1:10" ht="15" thickBot="1">
      <c r="A789" s="16" t="s">
        <v>2488</v>
      </c>
      <c r="B789" s="18" t="s">
        <v>2682</v>
      </c>
      <c r="C789" s="18" t="s">
        <v>2653</v>
      </c>
      <c r="D789" s="18" t="s">
        <v>2644</v>
      </c>
      <c r="E789" s="18" t="s">
        <v>2641</v>
      </c>
      <c r="F789" s="18" t="s">
        <v>2372</v>
      </c>
      <c r="G789" s="18" t="s">
        <v>2694</v>
      </c>
      <c r="H789" s="16">
        <v>18</v>
      </c>
      <c r="I789" s="16">
        <v>3271.29</v>
      </c>
      <c r="J789" s="16">
        <v>58883.22</v>
      </c>
    </row>
    <row r="790" spans="1:10" ht="15" thickBot="1">
      <c r="A790" s="16" t="s">
        <v>2606</v>
      </c>
      <c r="B790" s="18" t="s">
        <v>2678</v>
      </c>
      <c r="C790" s="18" t="s">
        <v>2657</v>
      </c>
      <c r="D790" s="18" t="s">
        <v>2648</v>
      </c>
      <c r="E790" s="18" t="s">
        <v>2641</v>
      </c>
      <c r="F790" s="18" t="s">
        <v>2370</v>
      </c>
      <c r="G790" s="18" t="s">
        <v>2701</v>
      </c>
      <c r="H790" s="16">
        <v>15</v>
      </c>
      <c r="I790" s="16">
        <v>4406.3100000000004</v>
      </c>
      <c r="J790" s="16">
        <v>66094.649999999994</v>
      </c>
    </row>
    <row r="791" spans="1:10" ht="15" thickBot="1">
      <c r="A791" s="63">
        <v>44997</v>
      </c>
      <c r="B791" s="18" t="s">
        <v>2685</v>
      </c>
      <c r="C791" s="18" t="s">
        <v>2396</v>
      </c>
      <c r="D791" s="18" t="s">
        <v>2648</v>
      </c>
      <c r="E791" s="18" t="s">
        <v>2641</v>
      </c>
      <c r="F791" s="18" t="s">
        <v>2374</v>
      </c>
      <c r="G791" s="18" t="s">
        <v>2704</v>
      </c>
      <c r="H791" s="16">
        <v>19</v>
      </c>
      <c r="I791" s="16">
        <v>2016.56</v>
      </c>
      <c r="J791" s="16">
        <v>38314.639999999999</v>
      </c>
    </row>
    <row r="792" spans="1:10" ht="15" thickBot="1">
      <c r="A792" s="16" t="s">
        <v>2496</v>
      </c>
      <c r="B792" s="18" t="s">
        <v>2685</v>
      </c>
      <c r="C792" s="18" t="s">
        <v>2657</v>
      </c>
      <c r="D792" s="18" t="s">
        <v>2648</v>
      </c>
      <c r="E792" s="18" t="s">
        <v>2641</v>
      </c>
      <c r="F792" s="18" t="s">
        <v>2373</v>
      </c>
      <c r="G792" s="18" t="s">
        <v>2705</v>
      </c>
      <c r="H792" s="16">
        <v>13</v>
      </c>
      <c r="I792" s="16">
        <v>3531.03</v>
      </c>
      <c r="J792" s="16">
        <v>45903.39</v>
      </c>
    </row>
    <row r="793" spans="1:10" ht="15" thickBot="1">
      <c r="A793" s="16" t="s">
        <v>2525</v>
      </c>
      <c r="B793" s="18" t="s">
        <v>2683</v>
      </c>
      <c r="C793" s="18" t="s">
        <v>2654</v>
      </c>
      <c r="D793" s="18" t="s">
        <v>2646</v>
      </c>
      <c r="E793" s="18" t="s">
        <v>2642</v>
      </c>
      <c r="F793" s="18" t="s">
        <v>2373</v>
      </c>
      <c r="G793" s="18" t="s">
        <v>2688</v>
      </c>
      <c r="H793" s="16">
        <v>7</v>
      </c>
      <c r="I793" s="16">
        <v>4077.95</v>
      </c>
      <c r="J793" s="16">
        <v>28545.65</v>
      </c>
    </row>
    <row r="794" spans="1:10" ht="15" thickBot="1">
      <c r="A794" s="16" t="s">
        <v>2633</v>
      </c>
      <c r="B794" s="18" t="s">
        <v>2682</v>
      </c>
      <c r="C794" s="18" t="s">
        <v>2649</v>
      </c>
      <c r="D794" s="18" t="s">
        <v>2645</v>
      </c>
      <c r="E794" s="18" t="s">
        <v>2642</v>
      </c>
      <c r="F794" s="18" t="s">
        <v>2661</v>
      </c>
      <c r="G794" s="18" t="s">
        <v>2698</v>
      </c>
      <c r="H794" s="16">
        <v>1</v>
      </c>
      <c r="I794" s="16">
        <v>1628.88</v>
      </c>
      <c r="J794" s="16">
        <v>1628.88</v>
      </c>
    </row>
    <row r="795" spans="1:10" ht="15" thickBot="1">
      <c r="A795" s="16" t="s">
        <v>2526</v>
      </c>
      <c r="B795" s="18" t="s">
        <v>2679</v>
      </c>
      <c r="C795" s="18" t="s">
        <v>2658</v>
      </c>
      <c r="D795" s="18" t="s">
        <v>2645</v>
      </c>
      <c r="E795" s="18" t="s">
        <v>2642</v>
      </c>
      <c r="F795" s="18" t="s">
        <v>2372</v>
      </c>
      <c r="G795" s="18" t="s">
        <v>2690</v>
      </c>
      <c r="H795" s="16">
        <v>15</v>
      </c>
      <c r="I795" s="16">
        <v>2093.0300000000002</v>
      </c>
      <c r="J795" s="16">
        <v>31395.45</v>
      </c>
    </row>
    <row r="796" spans="1:10" ht="15" thickBot="1">
      <c r="A796" s="63">
        <v>44992</v>
      </c>
      <c r="B796" s="18" t="s">
        <v>2686</v>
      </c>
      <c r="C796" s="18" t="s">
        <v>2659</v>
      </c>
      <c r="D796" s="18" t="s">
        <v>2647</v>
      </c>
      <c r="E796" s="18" t="s">
        <v>2643</v>
      </c>
      <c r="F796" s="18" t="s">
        <v>2372</v>
      </c>
      <c r="G796" s="18" t="s">
        <v>2694</v>
      </c>
      <c r="H796" s="16">
        <v>14</v>
      </c>
      <c r="I796" s="16">
        <v>2441.0700000000002</v>
      </c>
      <c r="J796" s="16">
        <v>34174.980000000003</v>
      </c>
    </row>
    <row r="797" spans="1:10" ht="15" thickBot="1">
      <c r="A797" s="63">
        <v>45266</v>
      </c>
      <c r="B797" s="18" t="s">
        <v>2687</v>
      </c>
      <c r="C797" s="18" t="s">
        <v>2393</v>
      </c>
      <c r="D797" s="18" t="s">
        <v>2644</v>
      </c>
      <c r="E797" s="18" t="s">
        <v>2641</v>
      </c>
      <c r="F797" s="18" t="s">
        <v>2373</v>
      </c>
      <c r="G797" s="18" t="s">
        <v>2703</v>
      </c>
      <c r="H797" s="16">
        <v>18</v>
      </c>
      <c r="I797" s="16">
        <v>134.66999999999999</v>
      </c>
      <c r="J797" s="16">
        <v>2424.06</v>
      </c>
    </row>
    <row r="798" spans="1:10" ht="15" thickBot="1">
      <c r="A798" s="63">
        <v>45207</v>
      </c>
      <c r="B798" s="18" t="s">
        <v>2679</v>
      </c>
      <c r="C798" s="18" t="s">
        <v>2649</v>
      </c>
      <c r="D798" s="18" t="s">
        <v>2645</v>
      </c>
      <c r="E798" s="18" t="s">
        <v>2642</v>
      </c>
      <c r="F798" s="18" t="s">
        <v>2370</v>
      </c>
      <c r="G798" s="18" t="s">
        <v>1335</v>
      </c>
      <c r="H798" s="16">
        <v>8</v>
      </c>
      <c r="I798" s="16">
        <v>2518.13</v>
      </c>
      <c r="J798" s="16">
        <v>20145.04</v>
      </c>
    </row>
    <row r="799" spans="1:10" ht="15" thickBot="1">
      <c r="A799" s="63">
        <v>45054</v>
      </c>
      <c r="B799" s="18" t="s">
        <v>2680</v>
      </c>
      <c r="C799" s="18" t="s">
        <v>2659</v>
      </c>
      <c r="D799" s="18" t="s">
        <v>2647</v>
      </c>
      <c r="E799" s="18" t="s">
        <v>2643</v>
      </c>
      <c r="F799" s="18" t="s">
        <v>2374</v>
      </c>
      <c r="G799" s="18" t="s">
        <v>2700</v>
      </c>
      <c r="H799" s="16">
        <v>1</v>
      </c>
      <c r="I799" s="16">
        <v>2366.64</v>
      </c>
      <c r="J799" s="16">
        <v>2366.64</v>
      </c>
    </row>
    <row r="800" spans="1:10" ht="15" thickBot="1">
      <c r="A800" s="63">
        <v>45028</v>
      </c>
      <c r="B800" s="18" t="s">
        <v>2679</v>
      </c>
      <c r="C800" s="18" t="s">
        <v>2392</v>
      </c>
      <c r="D800" s="18" t="s">
        <v>2644</v>
      </c>
      <c r="E800" s="18" t="s">
        <v>2641</v>
      </c>
      <c r="F800" s="18" t="s">
        <v>2374</v>
      </c>
      <c r="G800" s="18" t="s">
        <v>2689</v>
      </c>
      <c r="H800" s="16">
        <v>14</v>
      </c>
      <c r="I800" s="16">
        <v>3167.49</v>
      </c>
      <c r="J800" s="16">
        <v>44344.86</v>
      </c>
    </row>
    <row r="801" spans="1:10" ht="15" thickBot="1">
      <c r="A801" s="63">
        <v>45265</v>
      </c>
      <c r="B801" s="18" t="s">
        <v>2682</v>
      </c>
      <c r="C801" s="18" t="s">
        <v>2392</v>
      </c>
      <c r="D801" s="18" t="s">
        <v>2644</v>
      </c>
      <c r="E801" s="18" t="s">
        <v>2641</v>
      </c>
      <c r="F801" s="18" t="s">
        <v>2370</v>
      </c>
      <c r="G801" s="18" t="s">
        <v>1336</v>
      </c>
      <c r="H801" s="16">
        <v>9</v>
      </c>
      <c r="I801" s="16">
        <v>109.56</v>
      </c>
      <c r="J801" s="16">
        <v>986.04</v>
      </c>
    </row>
    <row r="802" spans="1:10" ht="15" thickBot="1">
      <c r="A802" s="63">
        <v>44963</v>
      </c>
      <c r="B802" s="18" t="s">
        <v>2683</v>
      </c>
      <c r="C802" s="18" t="s">
        <v>2659</v>
      </c>
      <c r="D802" s="18" t="s">
        <v>2647</v>
      </c>
      <c r="E802" s="18" t="s">
        <v>2643</v>
      </c>
      <c r="F802" s="18" t="s">
        <v>2370</v>
      </c>
      <c r="G802" s="18" t="s">
        <v>2702</v>
      </c>
      <c r="H802" s="16">
        <v>20</v>
      </c>
      <c r="I802" s="16">
        <v>652.87</v>
      </c>
      <c r="J802" s="16">
        <v>13057.4</v>
      </c>
    </row>
    <row r="803" spans="1:10" ht="15" thickBot="1">
      <c r="A803" s="16" t="s">
        <v>2548</v>
      </c>
      <c r="B803" s="18" t="s">
        <v>2682</v>
      </c>
      <c r="C803" s="18" t="s">
        <v>2658</v>
      </c>
      <c r="D803" s="18" t="s">
        <v>2645</v>
      </c>
      <c r="E803" s="18" t="s">
        <v>2642</v>
      </c>
      <c r="F803" s="18" t="s">
        <v>2372</v>
      </c>
      <c r="G803" s="18" t="s">
        <v>2694</v>
      </c>
      <c r="H803" s="16">
        <v>4</v>
      </c>
      <c r="I803" s="16">
        <v>2563.65</v>
      </c>
      <c r="J803" s="16">
        <v>10254.6</v>
      </c>
    </row>
    <row r="804" spans="1:10" ht="15" thickBot="1">
      <c r="A804" s="16" t="s">
        <v>2640</v>
      </c>
      <c r="B804" s="18" t="s">
        <v>2681</v>
      </c>
      <c r="C804" s="18" t="s">
        <v>2650</v>
      </c>
      <c r="D804" s="18" t="s">
        <v>2646</v>
      </c>
      <c r="E804" s="18" t="s">
        <v>2642</v>
      </c>
      <c r="F804" s="18" t="s">
        <v>2661</v>
      </c>
      <c r="G804" s="18" t="s">
        <v>2695</v>
      </c>
      <c r="H804" s="16">
        <v>2</v>
      </c>
      <c r="I804" s="16">
        <v>771.23</v>
      </c>
      <c r="J804" s="16">
        <v>1542.46</v>
      </c>
    </row>
    <row r="805" spans="1:10" ht="15" thickBot="1">
      <c r="A805" s="16" t="s">
        <v>2479</v>
      </c>
      <c r="B805" s="18" t="s">
        <v>2684</v>
      </c>
      <c r="C805" s="18" t="s">
        <v>2651</v>
      </c>
      <c r="D805" s="18" t="s">
        <v>2646</v>
      </c>
      <c r="E805" s="18" t="s">
        <v>2642</v>
      </c>
      <c r="F805" s="18" t="s">
        <v>2372</v>
      </c>
      <c r="G805" s="18" t="s">
        <v>2694</v>
      </c>
      <c r="H805" s="16">
        <v>19</v>
      </c>
      <c r="I805" s="16">
        <v>2290.6799999999998</v>
      </c>
      <c r="J805" s="16">
        <v>43522.92</v>
      </c>
    </row>
    <row r="806" spans="1:10" ht="15" thickBot="1">
      <c r="A806" s="16" t="s">
        <v>2522</v>
      </c>
      <c r="B806" s="18" t="s">
        <v>2682</v>
      </c>
      <c r="C806" s="18" t="s">
        <v>2655</v>
      </c>
      <c r="D806" s="18" t="s">
        <v>2645</v>
      </c>
      <c r="E806" s="18" t="s">
        <v>2642</v>
      </c>
      <c r="F806" s="18" t="s">
        <v>2374</v>
      </c>
      <c r="G806" s="18" t="s">
        <v>2692</v>
      </c>
      <c r="H806" s="16">
        <v>9</v>
      </c>
      <c r="I806" s="16">
        <v>4965.3</v>
      </c>
      <c r="J806" s="16">
        <v>44687.7</v>
      </c>
    </row>
    <row r="807" spans="1:10" ht="15" thickBot="1">
      <c r="A807" s="16" t="s">
        <v>2486</v>
      </c>
      <c r="B807" s="18" t="s">
        <v>2681</v>
      </c>
      <c r="C807" s="18" t="s">
        <v>2653</v>
      </c>
      <c r="D807" s="18" t="s">
        <v>2644</v>
      </c>
      <c r="E807" s="18" t="s">
        <v>2641</v>
      </c>
      <c r="F807" s="18" t="s">
        <v>2370</v>
      </c>
      <c r="G807" s="18" t="s">
        <v>1336</v>
      </c>
      <c r="H807" s="16">
        <v>4</v>
      </c>
      <c r="I807" s="16">
        <v>3684.5</v>
      </c>
      <c r="J807" s="16">
        <v>14738</v>
      </c>
    </row>
    <row r="808" spans="1:10" ht="15" thickBot="1">
      <c r="A808" s="63">
        <v>45237</v>
      </c>
      <c r="B808" s="18" t="s">
        <v>2680</v>
      </c>
      <c r="C808" s="18" t="s">
        <v>2656</v>
      </c>
      <c r="D808" s="18" t="s">
        <v>2648</v>
      </c>
      <c r="E808" s="18" t="s">
        <v>2641</v>
      </c>
      <c r="F808" s="18" t="s">
        <v>2661</v>
      </c>
      <c r="G808" s="18" t="s">
        <v>2698</v>
      </c>
      <c r="H808" s="16">
        <v>14</v>
      </c>
      <c r="I808" s="16">
        <v>4566.12</v>
      </c>
      <c r="J808" s="16">
        <v>63925.68</v>
      </c>
    </row>
    <row r="809" spans="1:10" ht="15" thickBot="1">
      <c r="A809" s="16" t="s">
        <v>2547</v>
      </c>
      <c r="B809" s="18" t="s">
        <v>2683</v>
      </c>
      <c r="C809" s="18" t="s">
        <v>2650</v>
      </c>
      <c r="D809" s="18" t="s">
        <v>2646</v>
      </c>
      <c r="E809" s="18" t="s">
        <v>2642</v>
      </c>
      <c r="F809" s="18" t="s">
        <v>2373</v>
      </c>
      <c r="G809" s="18" t="s">
        <v>2705</v>
      </c>
      <c r="H809" s="16">
        <v>17</v>
      </c>
      <c r="I809" s="16">
        <v>2246.8200000000002</v>
      </c>
      <c r="J809" s="16">
        <v>38195.94</v>
      </c>
    </row>
    <row r="810" spans="1:10" ht="15" thickBot="1">
      <c r="A810" s="63">
        <v>45266</v>
      </c>
      <c r="B810" s="18" t="s">
        <v>2680</v>
      </c>
      <c r="C810" s="18" t="s">
        <v>2652</v>
      </c>
      <c r="D810" s="18" t="s">
        <v>2647</v>
      </c>
      <c r="E810" s="18" t="s">
        <v>2643</v>
      </c>
      <c r="F810" s="18" t="s">
        <v>2374</v>
      </c>
      <c r="G810" s="18" t="s">
        <v>2689</v>
      </c>
      <c r="H810" s="16">
        <v>3</v>
      </c>
      <c r="I810" s="16">
        <v>215.21</v>
      </c>
      <c r="J810" s="16">
        <v>645.63</v>
      </c>
    </row>
    <row r="811" spans="1:10" ht="15" thickBot="1">
      <c r="A811" s="16" t="s">
        <v>2436</v>
      </c>
      <c r="B811" s="18" t="s">
        <v>2687</v>
      </c>
      <c r="C811" s="18" t="s">
        <v>2658</v>
      </c>
      <c r="D811" s="18" t="s">
        <v>2645</v>
      </c>
      <c r="E811" s="18" t="s">
        <v>2642</v>
      </c>
      <c r="F811" s="18" t="s">
        <v>2370</v>
      </c>
      <c r="G811" s="18" t="s">
        <v>1335</v>
      </c>
      <c r="H811" s="16">
        <v>7</v>
      </c>
      <c r="I811" s="16">
        <v>1294.31</v>
      </c>
      <c r="J811" s="16">
        <v>9060.17</v>
      </c>
    </row>
    <row r="812" spans="1:10" ht="15" thickBot="1">
      <c r="A812" s="16" t="s">
        <v>2539</v>
      </c>
      <c r="B812" s="18" t="s">
        <v>2682</v>
      </c>
      <c r="C812" s="18" t="s">
        <v>2657</v>
      </c>
      <c r="D812" s="18" t="s">
        <v>2648</v>
      </c>
      <c r="E812" s="18" t="s">
        <v>2641</v>
      </c>
      <c r="F812" s="18" t="s">
        <v>2661</v>
      </c>
      <c r="G812" s="18" t="s">
        <v>2698</v>
      </c>
      <c r="H812" s="16">
        <v>9</v>
      </c>
      <c r="I812" s="16">
        <v>1558.74</v>
      </c>
      <c r="J812" s="16">
        <v>14028.66</v>
      </c>
    </row>
    <row r="813" spans="1:10" ht="15" thickBot="1">
      <c r="A813" s="16" t="s">
        <v>2490</v>
      </c>
      <c r="B813" s="18" t="s">
        <v>2685</v>
      </c>
      <c r="C813" s="18" t="s">
        <v>2654</v>
      </c>
      <c r="D813" s="18" t="s">
        <v>2646</v>
      </c>
      <c r="E813" s="18" t="s">
        <v>2642</v>
      </c>
      <c r="F813" s="18" t="s">
        <v>2374</v>
      </c>
      <c r="G813" s="18" t="s">
        <v>2704</v>
      </c>
      <c r="H813" s="16">
        <v>11</v>
      </c>
      <c r="I813" s="16">
        <v>4382.91</v>
      </c>
      <c r="J813" s="16">
        <v>48212.01</v>
      </c>
    </row>
    <row r="814" spans="1:10" ht="15" thickBot="1">
      <c r="A814" s="16" t="s">
        <v>2611</v>
      </c>
      <c r="B814" s="18" t="s">
        <v>2682</v>
      </c>
      <c r="C814" s="18" t="s">
        <v>2652</v>
      </c>
      <c r="D814" s="18" t="s">
        <v>2647</v>
      </c>
      <c r="E814" s="18" t="s">
        <v>2643</v>
      </c>
      <c r="F814" s="18" t="s">
        <v>2370</v>
      </c>
      <c r="G814" s="18" t="s">
        <v>2701</v>
      </c>
      <c r="H814" s="16">
        <v>6</v>
      </c>
      <c r="I814" s="16">
        <v>4197.59</v>
      </c>
      <c r="J814" s="16">
        <v>25185.54</v>
      </c>
    </row>
    <row r="815" spans="1:10" ht="15" thickBot="1">
      <c r="A815" s="63">
        <v>45018</v>
      </c>
      <c r="B815" s="18" t="s">
        <v>2678</v>
      </c>
      <c r="C815" s="18" t="s">
        <v>2650</v>
      </c>
      <c r="D815" s="18" t="s">
        <v>2646</v>
      </c>
      <c r="E815" s="18" t="s">
        <v>2642</v>
      </c>
      <c r="F815" s="18" t="s">
        <v>2374</v>
      </c>
      <c r="G815" s="18" t="s">
        <v>2704</v>
      </c>
      <c r="H815" s="16">
        <v>2</v>
      </c>
      <c r="I815" s="16">
        <v>4137.49</v>
      </c>
      <c r="J815" s="16">
        <v>8274.98</v>
      </c>
    </row>
    <row r="816" spans="1:10" ht="15" thickBot="1">
      <c r="A816" s="63">
        <v>45271</v>
      </c>
      <c r="B816" s="18" t="s">
        <v>2684</v>
      </c>
      <c r="C816" s="18" t="s">
        <v>2659</v>
      </c>
      <c r="D816" s="18" t="s">
        <v>2647</v>
      </c>
      <c r="E816" s="18" t="s">
        <v>2643</v>
      </c>
      <c r="F816" s="18" t="s">
        <v>2370</v>
      </c>
      <c r="G816" s="18" t="s">
        <v>2701</v>
      </c>
      <c r="H816" s="16">
        <v>16</v>
      </c>
      <c r="I816" s="16">
        <v>1598.06</v>
      </c>
      <c r="J816" s="16">
        <v>25568.959999999999</v>
      </c>
    </row>
    <row r="817" spans="1:10" ht="15" thickBot="1">
      <c r="A817" s="16" t="s">
        <v>2437</v>
      </c>
      <c r="B817" s="18" t="s">
        <v>2679</v>
      </c>
      <c r="C817" s="18" t="s">
        <v>2652</v>
      </c>
      <c r="D817" s="18" t="s">
        <v>2647</v>
      </c>
      <c r="E817" s="18" t="s">
        <v>2643</v>
      </c>
      <c r="F817" s="18" t="s">
        <v>2373</v>
      </c>
      <c r="G817" s="18" t="s">
        <v>2705</v>
      </c>
      <c r="H817" s="16">
        <v>3</v>
      </c>
      <c r="I817" s="16">
        <v>3044.02</v>
      </c>
      <c r="J817" s="16">
        <v>9132.06</v>
      </c>
    </row>
    <row r="818" spans="1:10" ht="15" thickBot="1">
      <c r="A818" s="63">
        <v>45170</v>
      </c>
      <c r="B818" s="18" t="s">
        <v>2678</v>
      </c>
      <c r="C818" s="18" t="s">
        <v>2393</v>
      </c>
      <c r="D818" s="18" t="s">
        <v>2644</v>
      </c>
      <c r="E818" s="18" t="s">
        <v>2641</v>
      </c>
      <c r="F818" s="18" t="s">
        <v>2372</v>
      </c>
      <c r="G818" s="18" t="s">
        <v>2699</v>
      </c>
      <c r="H818" s="16">
        <v>6</v>
      </c>
      <c r="I818" s="16">
        <v>4270.03</v>
      </c>
      <c r="J818" s="16">
        <v>25620.18</v>
      </c>
    </row>
    <row r="819" spans="1:10" ht="15" thickBot="1">
      <c r="A819" s="63">
        <v>45208</v>
      </c>
      <c r="B819" s="18" t="s">
        <v>2679</v>
      </c>
      <c r="C819" s="18" t="s">
        <v>2393</v>
      </c>
      <c r="D819" s="18" t="s">
        <v>2644</v>
      </c>
      <c r="E819" s="18" t="s">
        <v>2641</v>
      </c>
      <c r="F819" s="18" t="s">
        <v>2373</v>
      </c>
      <c r="G819" s="18" t="s">
        <v>2705</v>
      </c>
      <c r="H819" s="16">
        <v>13</v>
      </c>
      <c r="I819" s="16">
        <v>298.08999999999997</v>
      </c>
      <c r="J819" s="16">
        <v>3875.17</v>
      </c>
    </row>
    <row r="820" spans="1:10" ht="15" thickBot="1">
      <c r="A820" s="16" t="s">
        <v>2570</v>
      </c>
      <c r="B820" s="18" t="s">
        <v>2684</v>
      </c>
      <c r="C820" s="18" t="s">
        <v>2657</v>
      </c>
      <c r="D820" s="18" t="s">
        <v>2648</v>
      </c>
      <c r="E820" s="18" t="s">
        <v>2641</v>
      </c>
      <c r="F820" s="18" t="s">
        <v>2370</v>
      </c>
      <c r="G820" s="18" t="s">
        <v>1336</v>
      </c>
      <c r="H820" s="16">
        <v>3</v>
      </c>
      <c r="I820" s="16">
        <v>1453.68</v>
      </c>
      <c r="J820" s="16">
        <v>4361.04</v>
      </c>
    </row>
    <row r="821" spans="1:10" ht="15" thickBot="1">
      <c r="A821" s="16" t="s">
        <v>2598</v>
      </c>
      <c r="B821" s="18" t="s">
        <v>2686</v>
      </c>
      <c r="C821" s="18" t="s">
        <v>2659</v>
      </c>
      <c r="D821" s="18" t="s">
        <v>2647</v>
      </c>
      <c r="E821" s="18" t="s">
        <v>2643</v>
      </c>
      <c r="F821" s="18" t="s">
        <v>2374</v>
      </c>
      <c r="G821" s="18" t="s">
        <v>2700</v>
      </c>
      <c r="H821" s="16">
        <v>4</v>
      </c>
      <c r="I821" s="16">
        <v>1009.78</v>
      </c>
      <c r="J821" s="16">
        <v>4039.12</v>
      </c>
    </row>
    <row r="822" spans="1:10" ht="15" thickBot="1">
      <c r="A822" s="63">
        <v>45026</v>
      </c>
      <c r="B822" s="18" t="s">
        <v>2678</v>
      </c>
      <c r="C822" s="18" t="s">
        <v>2651</v>
      </c>
      <c r="D822" s="18" t="s">
        <v>2646</v>
      </c>
      <c r="E822" s="18" t="s">
        <v>2642</v>
      </c>
      <c r="F822" s="18" t="s">
        <v>2370</v>
      </c>
      <c r="G822" s="18" t="s">
        <v>1335</v>
      </c>
      <c r="H822" s="16">
        <v>12</v>
      </c>
      <c r="I822" s="16">
        <v>231.07</v>
      </c>
      <c r="J822" s="16">
        <v>2772.84</v>
      </c>
    </row>
    <row r="823" spans="1:10" ht="15" thickBot="1">
      <c r="A823" s="63">
        <v>45079</v>
      </c>
      <c r="B823" s="18" t="s">
        <v>2678</v>
      </c>
      <c r="C823" s="18" t="s">
        <v>2653</v>
      </c>
      <c r="D823" s="18" t="s">
        <v>2644</v>
      </c>
      <c r="E823" s="18" t="s">
        <v>2641</v>
      </c>
      <c r="F823" s="18" t="s">
        <v>2370</v>
      </c>
      <c r="G823" s="18" t="s">
        <v>1336</v>
      </c>
      <c r="H823" s="16">
        <v>12</v>
      </c>
      <c r="I823" s="16">
        <v>1410.03</v>
      </c>
      <c r="J823" s="16">
        <v>16920.36</v>
      </c>
    </row>
    <row r="824" spans="1:10" ht="15" thickBot="1">
      <c r="A824" s="63">
        <v>45171</v>
      </c>
      <c r="B824" s="18" t="s">
        <v>2684</v>
      </c>
      <c r="C824" s="18" t="s">
        <v>2393</v>
      </c>
      <c r="D824" s="18" t="s">
        <v>2644</v>
      </c>
      <c r="E824" s="18" t="s">
        <v>2641</v>
      </c>
      <c r="F824" s="18" t="s">
        <v>2374</v>
      </c>
      <c r="G824" s="18" t="s">
        <v>2692</v>
      </c>
      <c r="H824" s="16">
        <v>6</v>
      </c>
      <c r="I824" s="16">
        <v>1610.91</v>
      </c>
      <c r="J824" s="16">
        <v>9665.4599999999991</v>
      </c>
    </row>
    <row r="825" spans="1:10" ht="15" thickBot="1">
      <c r="A825" s="63">
        <v>45109</v>
      </c>
      <c r="B825" s="18" t="s">
        <v>2685</v>
      </c>
      <c r="C825" s="18" t="s">
        <v>2655</v>
      </c>
      <c r="D825" s="18" t="s">
        <v>2645</v>
      </c>
      <c r="E825" s="18" t="s">
        <v>2642</v>
      </c>
      <c r="F825" s="18" t="s">
        <v>2374</v>
      </c>
      <c r="G825" s="18" t="s">
        <v>2692</v>
      </c>
      <c r="H825" s="16">
        <v>7</v>
      </c>
      <c r="I825" s="16">
        <v>3396.62</v>
      </c>
      <c r="J825" s="16">
        <v>23776.34</v>
      </c>
    </row>
    <row r="826" spans="1:10" ht="15" thickBot="1">
      <c r="A826" s="63">
        <v>45145</v>
      </c>
      <c r="B826" s="18" t="s">
        <v>2687</v>
      </c>
      <c r="C826" s="18" t="s">
        <v>2655</v>
      </c>
      <c r="D826" s="18" t="s">
        <v>2645</v>
      </c>
      <c r="E826" s="18" t="s">
        <v>2642</v>
      </c>
      <c r="F826" s="18" t="s">
        <v>2374</v>
      </c>
      <c r="G826" s="18" t="s">
        <v>2700</v>
      </c>
      <c r="H826" s="16">
        <v>14</v>
      </c>
      <c r="I826" s="16">
        <v>4164.33</v>
      </c>
      <c r="J826" s="16">
        <v>58300.62</v>
      </c>
    </row>
    <row r="827" spans="1:10" ht="15" thickBot="1">
      <c r="A827" s="16" t="s">
        <v>2484</v>
      </c>
      <c r="B827" s="18" t="s">
        <v>2687</v>
      </c>
      <c r="C827" s="18" t="s">
        <v>2653</v>
      </c>
      <c r="D827" s="18" t="s">
        <v>2644</v>
      </c>
      <c r="E827" s="18" t="s">
        <v>2641</v>
      </c>
      <c r="F827" s="18" t="s">
        <v>2373</v>
      </c>
      <c r="G827" s="18" t="s">
        <v>2697</v>
      </c>
      <c r="H827" s="16">
        <v>12</v>
      </c>
      <c r="I827" s="16">
        <v>4414.2700000000004</v>
      </c>
      <c r="J827" s="16">
        <v>52971.24</v>
      </c>
    </row>
    <row r="828" spans="1:10" ht="15" thickBot="1">
      <c r="A828" s="16" t="s">
        <v>2447</v>
      </c>
      <c r="B828" s="18" t="s">
        <v>2685</v>
      </c>
      <c r="C828" s="18" t="s">
        <v>2650</v>
      </c>
      <c r="D828" s="18" t="s">
        <v>2646</v>
      </c>
      <c r="E828" s="18" t="s">
        <v>2642</v>
      </c>
      <c r="F828" s="18" t="s">
        <v>2372</v>
      </c>
      <c r="G828" s="18" t="s">
        <v>2699</v>
      </c>
      <c r="H828" s="16">
        <v>13</v>
      </c>
      <c r="I828" s="16">
        <v>3101.42</v>
      </c>
      <c r="J828" s="16">
        <v>40318.46</v>
      </c>
    </row>
    <row r="829" spans="1:10" ht="15" thickBot="1">
      <c r="A829" s="16" t="s">
        <v>2539</v>
      </c>
      <c r="B829" s="18" t="s">
        <v>2686</v>
      </c>
      <c r="C829" s="18" t="s">
        <v>2651</v>
      </c>
      <c r="D829" s="18" t="s">
        <v>2646</v>
      </c>
      <c r="E829" s="18" t="s">
        <v>2642</v>
      </c>
      <c r="F829" s="18" t="s">
        <v>2374</v>
      </c>
      <c r="G829" s="18" t="s">
        <v>2704</v>
      </c>
      <c r="H829" s="16">
        <v>18</v>
      </c>
      <c r="I829" s="16">
        <v>3002.55</v>
      </c>
      <c r="J829" s="16">
        <v>54045.9</v>
      </c>
    </row>
    <row r="830" spans="1:10" ht="15" thickBot="1">
      <c r="A830" s="63">
        <v>45048</v>
      </c>
      <c r="B830" s="18" t="s">
        <v>2678</v>
      </c>
      <c r="C830" s="18" t="s">
        <v>2660</v>
      </c>
      <c r="D830" s="18" t="s">
        <v>2647</v>
      </c>
      <c r="E830" s="18" t="s">
        <v>2643</v>
      </c>
      <c r="F830" s="18" t="s">
        <v>2373</v>
      </c>
      <c r="G830" s="18" t="s">
        <v>2688</v>
      </c>
      <c r="H830" s="16">
        <v>13</v>
      </c>
      <c r="I830" s="16">
        <v>2098.65</v>
      </c>
      <c r="J830" s="16">
        <v>27282.45</v>
      </c>
    </row>
    <row r="831" spans="1:10" ht="15" thickBot="1">
      <c r="A831" s="63">
        <v>45087</v>
      </c>
      <c r="B831" s="18" t="s">
        <v>2685</v>
      </c>
      <c r="C831" s="18" t="s">
        <v>2396</v>
      </c>
      <c r="D831" s="18" t="s">
        <v>2648</v>
      </c>
      <c r="E831" s="18" t="s">
        <v>2641</v>
      </c>
      <c r="F831" s="18" t="s">
        <v>2370</v>
      </c>
      <c r="G831" s="18" t="s">
        <v>2701</v>
      </c>
      <c r="H831" s="16">
        <v>5</v>
      </c>
      <c r="I831" s="16">
        <v>4106.79</v>
      </c>
      <c r="J831" s="16">
        <v>20533.95</v>
      </c>
    </row>
    <row r="832" spans="1:10" ht="15" thickBot="1">
      <c r="A832" s="16" t="s">
        <v>2518</v>
      </c>
      <c r="B832" s="18" t="s">
        <v>2681</v>
      </c>
      <c r="C832" s="18" t="s">
        <v>2659</v>
      </c>
      <c r="D832" s="18" t="s">
        <v>2647</v>
      </c>
      <c r="E832" s="18" t="s">
        <v>2643</v>
      </c>
      <c r="F832" s="18" t="s">
        <v>2372</v>
      </c>
      <c r="G832" s="18" t="s">
        <v>2690</v>
      </c>
      <c r="H832" s="16">
        <v>1</v>
      </c>
      <c r="I832" s="16">
        <v>3041.26</v>
      </c>
      <c r="J832" s="16">
        <v>3041.26</v>
      </c>
    </row>
    <row r="833" spans="1:10" ht="15" thickBot="1">
      <c r="A833" s="16" t="s">
        <v>2586</v>
      </c>
      <c r="B833" s="18" t="s">
        <v>2681</v>
      </c>
      <c r="C833" s="18" t="s">
        <v>2392</v>
      </c>
      <c r="D833" s="18" t="s">
        <v>2644</v>
      </c>
      <c r="E833" s="18" t="s">
        <v>2641</v>
      </c>
      <c r="F833" s="18" t="s">
        <v>2374</v>
      </c>
      <c r="G833" s="18" t="s">
        <v>2692</v>
      </c>
      <c r="H833" s="16">
        <v>7</v>
      </c>
      <c r="I833" s="16">
        <v>4514.21</v>
      </c>
      <c r="J833" s="16">
        <v>31599.47</v>
      </c>
    </row>
    <row r="834" spans="1:10" ht="15" thickBot="1">
      <c r="A834" s="16" t="s">
        <v>2605</v>
      </c>
      <c r="B834" s="18" t="s">
        <v>2687</v>
      </c>
      <c r="C834" s="18" t="s">
        <v>2650</v>
      </c>
      <c r="D834" s="18" t="s">
        <v>2646</v>
      </c>
      <c r="E834" s="18" t="s">
        <v>2642</v>
      </c>
      <c r="F834" s="18" t="s">
        <v>2372</v>
      </c>
      <c r="G834" s="18" t="s">
        <v>2690</v>
      </c>
      <c r="H834" s="16">
        <v>18</v>
      </c>
      <c r="I834" s="16">
        <v>2971.68</v>
      </c>
      <c r="J834" s="16">
        <v>53490.239999999998</v>
      </c>
    </row>
    <row r="835" spans="1:10" ht="15" thickBot="1">
      <c r="A835" s="16" t="s">
        <v>2538</v>
      </c>
      <c r="B835" s="18" t="s">
        <v>2684</v>
      </c>
      <c r="C835" s="18" t="s">
        <v>2649</v>
      </c>
      <c r="D835" s="18" t="s">
        <v>2645</v>
      </c>
      <c r="E835" s="18" t="s">
        <v>2642</v>
      </c>
      <c r="F835" s="18" t="s">
        <v>2661</v>
      </c>
      <c r="G835" s="18" t="s">
        <v>2691</v>
      </c>
      <c r="H835" s="16">
        <v>6</v>
      </c>
      <c r="I835" s="16">
        <v>2263.36</v>
      </c>
      <c r="J835" s="16">
        <v>13580.16</v>
      </c>
    </row>
    <row r="836" spans="1:10" ht="15" thickBot="1">
      <c r="A836" s="16" t="s">
        <v>2541</v>
      </c>
      <c r="B836" s="18" t="s">
        <v>2678</v>
      </c>
      <c r="C836" s="18" t="s">
        <v>2654</v>
      </c>
      <c r="D836" s="18" t="s">
        <v>2646</v>
      </c>
      <c r="E836" s="18" t="s">
        <v>2642</v>
      </c>
      <c r="F836" s="18" t="s">
        <v>2373</v>
      </c>
      <c r="G836" s="18" t="s">
        <v>2703</v>
      </c>
      <c r="H836" s="16">
        <v>8</v>
      </c>
      <c r="I836" s="16">
        <v>3859.28</v>
      </c>
      <c r="J836" s="16">
        <v>30874.240000000002</v>
      </c>
    </row>
    <row r="837" spans="1:10" ht="15" thickBot="1">
      <c r="A837" s="16" t="s">
        <v>2542</v>
      </c>
      <c r="B837" s="18" t="s">
        <v>2685</v>
      </c>
      <c r="C837" s="18" t="s">
        <v>2653</v>
      </c>
      <c r="D837" s="18" t="s">
        <v>2644</v>
      </c>
      <c r="E837" s="18" t="s">
        <v>2641</v>
      </c>
      <c r="F837" s="18" t="s">
        <v>2373</v>
      </c>
      <c r="G837" s="18" t="s">
        <v>2705</v>
      </c>
      <c r="H837" s="16">
        <v>14</v>
      </c>
      <c r="I837" s="16">
        <v>3044.71</v>
      </c>
      <c r="J837" s="16">
        <v>42625.94</v>
      </c>
    </row>
    <row r="838" spans="1:10" ht="15" thickBot="1">
      <c r="A838" s="16" t="s">
        <v>2566</v>
      </c>
      <c r="B838" s="18" t="s">
        <v>2681</v>
      </c>
      <c r="C838" s="18" t="s">
        <v>2655</v>
      </c>
      <c r="D838" s="18" t="s">
        <v>2645</v>
      </c>
      <c r="E838" s="18" t="s">
        <v>2642</v>
      </c>
      <c r="F838" s="18" t="s">
        <v>2374</v>
      </c>
      <c r="G838" s="18" t="s">
        <v>2700</v>
      </c>
      <c r="H838" s="16">
        <v>11</v>
      </c>
      <c r="I838" s="16">
        <v>4653.38</v>
      </c>
      <c r="J838" s="16">
        <v>51187.18</v>
      </c>
    </row>
    <row r="839" spans="1:10" ht="15" thickBot="1">
      <c r="A839" s="63">
        <v>45109</v>
      </c>
      <c r="B839" s="18" t="s">
        <v>2684</v>
      </c>
      <c r="C839" s="18" t="s">
        <v>2649</v>
      </c>
      <c r="D839" s="18" t="s">
        <v>2645</v>
      </c>
      <c r="E839" s="18" t="s">
        <v>2642</v>
      </c>
      <c r="F839" s="18" t="s">
        <v>2373</v>
      </c>
      <c r="G839" s="18" t="s">
        <v>2705</v>
      </c>
      <c r="H839" s="16">
        <v>9</v>
      </c>
      <c r="I839" s="16">
        <v>3425.59</v>
      </c>
      <c r="J839" s="16">
        <v>30830.31</v>
      </c>
    </row>
    <row r="840" spans="1:10" ht="15" thickBot="1">
      <c r="A840" s="16" t="s">
        <v>2460</v>
      </c>
      <c r="B840" s="18" t="s">
        <v>2678</v>
      </c>
      <c r="C840" s="18" t="s">
        <v>2392</v>
      </c>
      <c r="D840" s="18" t="s">
        <v>2644</v>
      </c>
      <c r="E840" s="18" t="s">
        <v>2641</v>
      </c>
      <c r="F840" s="18" t="s">
        <v>2372</v>
      </c>
      <c r="G840" s="18" t="s">
        <v>2690</v>
      </c>
      <c r="H840" s="16">
        <v>15</v>
      </c>
      <c r="I840" s="16">
        <v>4671.6899999999996</v>
      </c>
      <c r="J840" s="16">
        <v>70075.350000000006</v>
      </c>
    </row>
    <row r="841" spans="1:10" ht="15" thickBot="1">
      <c r="A841" s="16" t="s">
        <v>2513</v>
      </c>
      <c r="B841" s="18" t="s">
        <v>2679</v>
      </c>
      <c r="C841" s="18" t="s">
        <v>2393</v>
      </c>
      <c r="D841" s="18" t="s">
        <v>2644</v>
      </c>
      <c r="E841" s="18" t="s">
        <v>2641</v>
      </c>
      <c r="F841" s="18" t="s">
        <v>2374</v>
      </c>
      <c r="G841" s="18" t="s">
        <v>2704</v>
      </c>
      <c r="H841" s="16">
        <v>5</v>
      </c>
      <c r="I841" s="16">
        <v>4600.38</v>
      </c>
      <c r="J841" s="16">
        <v>23001.9</v>
      </c>
    </row>
    <row r="842" spans="1:10" ht="15" thickBot="1">
      <c r="A842" s="63">
        <v>45236</v>
      </c>
      <c r="B842" s="18" t="s">
        <v>2686</v>
      </c>
      <c r="C842" s="18" t="s">
        <v>2650</v>
      </c>
      <c r="D842" s="18" t="s">
        <v>2646</v>
      </c>
      <c r="E842" s="18" t="s">
        <v>2642</v>
      </c>
      <c r="F842" s="18" t="s">
        <v>2661</v>
      </c>
      <c r="G842" s="18" t="s">
        <v>2698</v>
      </c>
      <c r="H842" s="16">
        <v>19</v>
      </c>
      <c r="I842" s="16">
        <v>2183.09</v>
      </c>
      <c r="J842" s="16">
        <v>41478.71</v>
      </c>
    </row>
    <row r="843" spans="1:10" ht="15" thickBot="1">
      <c r="A843" s="16" t="s">
        <v>2619</v>
      </c>
      <c r="B843" s="18" t="s">
        <v>2684</v>
      </c>
      <c r="C843" s="18" t="s">
        <v>2651</v>
      </c>
      <c r="D843" s="18" t="s">
        <v>2646</v>
      </c>
      <c r="E843" s="18" t="s">
        <v>2642</v>
      </c>
      <c r="F843" s="18" t="s">
        <v>2370</v>
      </c>
      <c r="G843" s="18" t="s">
        <v>1336</v>
      </c>
      <c r="H843" s="16">
        <v>8</v>
      </c>
      <c r="I843" s="16">
        <v>1850.8</v>
      </c>
      <c r="J843" s="16">
        <v>14806.4</v>
      </c>
    </row>
    <row r="844" spans="1:10" ht="15" thickBot="1">
      <c r="A844" s="63">
        <v>45272</v>
      </c>
      <c r="B844" s="18" t="s">
        <v>2679</v>
      </c>
      <c r="C844" s="18" t="s">
        <v>2659</v>
      </c>
      <c r="D844" s="18" t="s">
        <v>2647</v>
      </c>
      <c r="E844" s="18" t="s">
        <v>2643</v>
      </c>
      <c r="F844" s="18" t="s">
        <v>2370</v>
      </c>
      <c r="G844" s="18" t="s">
        <v>2701</v>
      </c>
      <c r="H844" s="16">
        <v>12</v>
      </c>
      <c r="I844" s="16">
        <v>3695.68</v>
      </c>
      <c r="J844" s="16">
        <v>44348.160000000003</v>
      </c>
    </row>
    <row r="845" spans="1:10" ht="15" thickBot="1">
      <c r="A845" s="63">
        <v>45267</v>
      </c>
      <c r="B845" s="18" t="s">
        <v>2678</v>
      </c>
      <c r="C845" s="18" t="s">
        <v>2656</v>
      </c>
      <c r="D845" s="18" t="s">
        <v>2648</v>
      </c>
      <c r="E845" s="18" t="s">
        <v>2641</v>
      </c>
      <c r="F845" s="18" t="s">
        <v>2373</v>
      </c>
      <c r="G845" s="18" t="s">
        <v>2705</v>
      </c>
      <c r="H845" s="16">
        <v>14</v>
      </c>
      <c r="I845" s="16">
        <v>3099.57</v>
      </c>
      <c r="J845" s="16">
        <v>43393.98</v>
      </c>
    </row>
    <row r="846" spans="1:10" ht="15" thickBot="1">
      <c r="A846" s="16" t="s">
        <v>2624</v>
      </c>
      <c r="B846" s="18" t="s">
        <v>2683</v>
      </c>
      <c r="C846" s="18" t="s">
        <v>2653</v>
      </c>
      <c r="D846" s="18" t="s">
        <v>2644</v>
      </c>
      <c r="E846" s="18" t="s">
        <v>2641</v>
      </c>
      <c r="F846" s="18" t="s">
        <v>2372</v>
      </c>
      <c r="G846" s="18" t="s">
        <v>2693</v>
      </c>
      <c r="H846" s="16">
        <v>1</v>
      </c>
      <c r="I846" s="16">
        <v>3758.07</v>
      </c>
      <c r="J846" s="16">
        <v>3758.07</v>
      </c>
    </row>
    <row r="847" spans="1:10" ht="15" thickBot="1">
      <c r="A847" s="16" t="s">
        <v>2606</v>
      </c>
      <c r="B847" s="18" t="s">
        <v>2682</v>
      </c>
      <c r="C847" s="18" t="s">
        <v>2660</v>
      </c>
      <c r="D847" s="18" t="s">
        <v>2647</v>
      </c>
      <c r="E847" s="18" t="s">
        <v>2643</v>
      </c>
      <c r="F847" s="18" t="s">
        <v>2373</v>
      </c>
      <c r="G847" s="18" t="s">
        <v>2697</v>
      </c>
      <c r="H847" s="16">
        <v>5</v>
      </c>
      <c r="I847" s="16">
        <v>2536.65</v>
      </c>
      <c r="J847" s="16">
        <v>12683.25</v>
      </c>
    </row>
    <row r="848" spans="1:10" ht="15" thickBot="1">
      <c r="A848" s="16" t="s">
        <v>2528</v>
      </c>
      <c r="B848" s="18" t="s">
        <v>2683</v>
      </c>
      <c r="C848" s="18" t="s">
        <v>2392</v>
      </c>
      <c r="D848" s="18" t="s">
        <v>2644</v>
      </c>
      <c r="E848" s="18" t="s">
        <v>2641</v>
      </c>
      <c r="F848" s="18" t="s">
        <v>2661</v>
      </c>
      <c r="G848" s="18" t="s">
        <v>2696</v>
      </c>
      <c r="H848" s="16">
        <v>9</v>
      </c>
      <c r="I848" s="16">
        <v>564.08000000000004</v>
      </c>
      <c r="J848" s="16">
        <v>5076.72</v>
      </c>
    </row>
    <row r="849" spans="1:10" ht="15" thickBot="1">
      <c r="A849" s="16" t="s">
        <v>2455</v>
      </c>
      <c r="B849" s="18" t="s">
        <v>2678</v>
      </c>
      <c r="C849" s="18" t="s">
        <v>2658</v>
      </c>
      <c r="D849" s="18" t="s">
        <v>2645</v>
      </c>
      <c r="E849" s="18" t="s">
        <v>2642</v>
      </c>
      <c r="F849" s="18" t="s">
        <v>2661</v>
      </c>
      <c r="G849" s="18" t="s">
        <v>2695</v>
      </c>
      <c r="H849" s="16">
        <v>4</v>
      </c>
      <c r="I849" s="16">
        <v>3762.47</v>
      </c>
      <c r="J849" s="16">
        <v>15049.88</v>
      </c>
    </row>
    <row r="850" spans="1:10" ht="15" thickBot="1">
      <c r="A850" s="16" t="s">
        <v>2461</v>
      </c>
      <c r="B850" s="18" t="s">
        <v>2680</v>
      </c>
      <c r="C850" s="18" t="s">
        <v>2657</v>
      </c>
      <c r="D850" s="18" t="s">
        <v>2648</v>
      </c>
      <c r="E850" s="18" t="s">
        <v>2641</v>
      </c>
      <c r="F850" s="18" t="s">
        <v>2661</v>
      </c>
      <c r="G850" s="18" t="s">
        <v>2698</v>
      </c>
      <c r="H850" s="16">
        <v>5</v>
      </c>
      <c r="I850" s="16">
        <v>4180.57</v>
      </c>
      <c r="J850" s="16">
        <v>20902.849999999999</v>
      </c>
    </row>
    <row r="851" spans="1:10" ht="15" thickBot="1">
      <c r="A851" s="16" t="s">
        <v>2545</v>
      </c>
      <c r="B851" s="18" t="s">
        <v>2684</v>
      </c>
      <c r="C851" s="18" t="s">
        <v>2655</v>
      </c>
      <c r="D851" s="18" t="s">
        <v>2645</v>
      </c>
      <c r="E851" s="18" t="s">
        <v>2642</v>
      </c>
      <c r="F851" s="18" t="s">
        <v>2373</v>
      </c>
      <c r="G851" s="18" t="s">
        <v>2697</v>
      </c>
      <c r="H851" s="16">
        <v>5</v>
      </c>
      <c r="I851" s="16">
        <v>1947.01</v>
      </c>
      <c r="J851" s="16">
        <v>9735.0499999999993</v>
      </c>
    </row>
    <row r="852" spans="1:10" ht="15" thickBot="1">
      <c r="A852" s="16" t="s">
        <v>2598</v>
      </c>
      <c r="B852" s="18" t="s">
        <v>2678</v>
      </c>
      <c r="C852" s="18" t="s">
        <v>2653</v>
      </c>
      <c r="D852" s="18" t="s">
        <v>2644</v>
      </c>
      <c r="E852" s="18" t="s">
        <v>2641</v>
      </c>
      <c r="F852" s="18" t="s">
        <v>2372</v>
      </c>
      <c r="G852" s="18" t="s">
        <v>2694</v>
      </c>
      <c r="H852" s="16">
        <v>13</v>
      </c>
      <c r="I852" s="16">
        <v>4686.21</v>
      </c>
      <c r="J852" s="16">
        <v>60920.73</v>
      </c>
    </row>
    <row r="853" spans="1:10" ht="15" thickBot="1">
      <c r="A853" s="16" t="s">
        <v>2640</v>
      </c>
      <c r="B853" s="18" t="s">
        <v>2680</v>
      </c>
      <c r="C853" s="18" t="s">
        <v>2653</v>
      </c>
      <c r="D853" s="18" t="s">
        <v>2644</v>
      </c>
      <c r="E853" s="18" t="s">
        <v>2641</v>
      </c>
      <c r="F853" s="18" t="s">
        <v>2373</v>
      </c>
      <c r="G853" s="18" t="s">
        <v>2688</v>
      </c>
      <c r="H853" s="16">
        <v>7</v>
      </c>
      <c r="I853" s="16">
        <v>4418.17</v>
      </c>
      <c r="J853" s="16">
        <v>30927.19</v>
      </c>
    </row>
    <row r="854" spans="1:10" ht="15" thickBot="1">
      <c r="A854" s="63">
        <v>45179</v>
      </c>
      <c r="B854" s="18" t="s">
        <v>2684</v>
      </c>
      <c r="C854" s="18" t="s">
        <v>2393</v>
      </c>
      <c r="D854" s="18" t="s">
        <v>2644</v>
      </c>
      <c r="E854" s="18" t="s">
        <v>2641</v>
      </c>
      <c r="F854" s="18" t="s">
        <v>2372</v>
      </c>
      <c r="G854" s="18" t="s">
        <v>2699</v>
      </c>
      <c r="H854" s="16">
        <v>19</v>
      </c>
      <c r="I854" s="16">
        <v>4186.6400000000003</v>
      </c>
      <c r="J854" s="16">
        <v>79546.16</v>
      </c>
    </row>
    <row r="855" spans="1:10" ht="15" thickBot="1">
      <c r="A855" s="63">
        <v>45084</v>
      </c>
      <c r="B855" s="18" t="s">
        <v>2679</v>
      </c>
      <c r="C855" s="18" t="s">
        <v>2396</v>
      </c>
      <c r="D855" s="18" t="s">
        <v>2648</v>
      </c>
      <c r="E855" s="18" t="s">
        <v>2641</v>
      </c>
      <c r="F855" s="18" t="s">
        <v>2373</v>
      </c>
      <c r="G855" s="18" t="s">
        <v>2688</v>
      </c>
      <c r="H855" s="16">
        <v>6</v>
      </c>
      <c r="I855" s="16">
        <v>1003.96</v>
      </c>
      <c r="J855" s="16">
        <v>6023.76</v>
      </c>
    </row>
    <row r="856" spans="1:10" ht="15" thickBot="1">
      <c r="A856" s="16" t="s">
        <v>2583</v>
      </c>
      <c r="B856" s="18" t="s">
        <v>2685</v>
      </c>
      <c r="C856" s="18" t="s">
        <v>2651</v>
      </c>
      <c r="D856" s="18" t="s">
        <v>2646</v>
      </c>
      <c r="E856" s="18" t="s">
        <v>2642</v>
      </c>
      <c r="F856" s="18" t="s">
        <v>2370</v>
      </c>
      <c r="G856" s="18" t="s">
        <v>1336</v>
      </c>
      <c r="H856" s="16">
        <v>13</v>
      </c>
      <c r="I856" s="16">
        <v>1028.74</v>
      </c>
      <c r="J856" s="16">
        <v>13373.62</v>
      </c>
    </row>
    <row r="857" spans="1:10" ht="15" thickBot="1">
      <c r="A857" s="16" t="s">
        <v>2596</v>
      </c>
      <c r="B857" s="18" t="s">
        <v>2682</v>
      </c>
      <c r="C857" s="18" t="s">
        <v>2654</v>
      </c>
      <c r="D857" s="18" t="s">
        <v>2646</v>
      </c>
      <c r="E857" s="18" t="s">
        <v>2642</v>
      </c>
      <c r="F857" s="18" t="s">
        <v>2372</v>
      </c>
      <c r="G857" s="18" t="s">
        <v>2699</v>
      </c>
      <c r="H857" s="16">
        <v>20</v>
      </c>
      <c r="I857" s="16">
        <v>4751.1400000000003</v>
      </c>
      <c r="J857" s="16">
        <v>95022.8</v>
      </c>
    </row>
    <row r="858" spans="1:10" ht="15" thickBot="1">
      <c r="A858" s="16" t="s">
        <v>2627</v>
      </c>
      <c r="B858" s="18" t="s">
        <v>2678</v>
      </c>
      <c r="C858" s="18" t="s">
        <v>2649</v>
      </c>
      <c r="D858" s="18" t="s">
        <v>2645</v>
      </c>
      <c r="E858" s="18" t="s">
        <v>2642</v>
      </c>
      <c r="F858" s="18" t="s">
        <v>2372</v>
      </c>
      <c r="G858" s="18" t="s">
        <v>2694</v>
      </c>
      <c r="H858" s="16">
        <v>8</v>
      </c>
      <c r="I858" s="16">
        <v>565.82000000000005</v>
      </c>
      <c r="J858" s="16">
        <v>4526.5600000000004</v>
      </c>
    </row>
    <row r="859" spans="1:10" ht="15" thickBot="1">
      <c r="A859" s="16" t="s">
        <v>2567</v>
      </c>
      <c r="B859" s="18" t="s">
        <v>2680</v>
      </c>
      <c r="C859" s="18" t="s">
        <v>2393</v>
      </c>
      <c r="D859" s="18" t="s">
        <v>2644</v>
      </c>
      <c r="E859" s="18" t="s">
        <v>2641</v>
      </c>
      <c r="F859" s="18" t="s">
        <v>2370</v>
      </c>
      <c r="G859" s="18" t="s">
        <v>2701</v>
      </c>
      <c r="H859" s="16">
        <v>1</v>
      </c>
      <c r="I859" s="16">
        <v>1903.53</v>
      </c>
      <c r="J859" s="16">
        <v>1903.53</v>
      </c>
    </row>
    <row r="860" spans="1:10" ht="15" thickBot="1">
      <c r="A860" s="63">
        <v>45149</v>
      </c>
      <c r="B860" s="18" t="s">
        <v>2682</v>
      </c>
      <c r="C860" s="18" t="s">
        <v>2657</v>
      </c>
      <c r="D860" s="18" t="s">
        <v>2648</v>
      </c>
      <c r="E860" s="18" t="s">
        <v>2641</v>
      </c>
      <c r="F860" s="18" t="s">
        <v>2374</v>
      </c>
      <c r="G860" s="18" t="s">
        <v>2689</v>
      </c>
      <c r="H860" s="16">
        <v>20</v>
      </c>
      <c r="I860" s="16">
        <v>3286.69</v>
      </c>
      <c r="J860" s="16">
        <v>65733.8</v>
      </c>
    </row>
    <row r="861" spans="1:10" ht="15" thickBot="1">
      <c r="A861" s="16" t="s">
        <v>2541</v>
      </c>
      <c r="B861" s="18" t="s">
        <v>2678</v>
      </c>
      <c r="C861" s="18" t="s">
        <v>2652</v>
      </c>
      <c r="D861" s="18" t="s">
        <v>2647</v>
      </c>
      <c r="E861" s="18" t="s">
        <v>2643</v>
      </c>
      <c r="F861" s="18" t="s">
        <v>2374</v>
      </c>
      <c r="G861" s="18" t="s">
        <v>2700</v>
      </c>
      <c r="H861" s="16">
        <v>20</v>
      </c>
      <c r="I861" s="16">
        <v>1176.4000000000001</v>
      </c>
      <c r="J861" s="16">
        <v>23528</v>
      </c>
    </row>
    <row r="862" spans="1:10" ht="15" thickBot="1">
      <c r="A862" s="16" t="s">
        <v>2533</v>
      </c>
      <c r="B862" s="18" t="s">
        <v>2678</v>
      </c>
      <c r="C862" s="18" t="s">
        <v>2396</v>
      </c>
      <c r="D862" s="18" t="s">
        <v>2648</v>
      </c>
      <c r="E862" s="18" t="s">
        <v>2641</v>
      </c>
      <c r="F862" s="18" t="s">
        <v>2374</v>
      </c>
      <c r="G862" s="18" t="s">
        <v>2689</v>
      </c>
      <c r="H862" s="16">
        <v>11</v>
      </c>
      <c r="I862" s="16">
        <v>2038.9</v>
      </c>
      <c r="J862" s="16">
        <v>22427.9</v>
      </c>
    </row>
    <row r="863" spans="1:10" ht="15" thickBot="1">
      <c r="A863" s="63">
        <v>44929</v>
      </c>
      <c r="B863" s="18" t="s">
        <v>2680</v>
      </c>
      <c r="C863" s="18" t="s">
        <v>2654</v>
      </c>
      <c r="D863" s="18" t="s">
        <v>2646</v>
      </c>
      <c r="E863" s="18" t="s">
        <v>2642</v>
      </c>
      <c r="F863" s="18" t="s">
        <v>2374</v>
      </c>
      <c r="G863" s="18" t="s">
        <v>2704</v>
      </c>
      <c r="H863" s="16">
        <v>19</v>
      </c>
      <c r="I863" s="16">
        <v>3990.16</v>
      </c>
      <c r="J863" s="16">
        <v>75813.039999999994</v>
      </c>
    </row>
    <row r="864" spans="1:10" ht="15" thickBot="1">
      <c r="A864" s="16" t="s">
        <v>2625</v>
      </c>
      <c r="B864" s="18" t="s">
        <v>2687</v>
      </c>
      <c r="C864" s="18" t="s">
        <v>2660</v>
      </c>
      <c r="D864" s="18" t="s">
        <v>2647</v>
      </c>
      <c r="E864" s="18" t="s">
        <v>2643</v>
      </c>
      <c r="F864" s="18" t="s">
        <v>2372</v>
      </c>
      <c r="G864" s="18" t="s">
        <v>2693</v>
      </c>
      <c r="H864" s="16">
        <v>15</v>
      </c>
      <c r="I864" s="16">
        <v>3765.36</v>
      </c>
      <c r="J864" s="16">
        <v>56480.4</v>
      </c>
    </row>
    <row r="865" spans="1:10" ht="15" thickBot="1">
      <c r="A865" s="16" t="s">
        <v>2531</v>
      </c>
      <c r="B865" s="18" t="s">
        <v>2681</v>
      </c>
      <c r="C865" s="18" t="s">
        <v>2650</v>
      </c>
      <c r="D865" s="18" t="s">
        <v>2646</v>
      </c>
      <c r="E865" s="18" t="s">
        <v>2642</v>
      </c>
      <c r="F865" s="18" t="s">
        <v>2372</v>
      </c>
      <c r="G865" s="18" t="s">
        <v>2694</v>
      </c>
      <c r="H865" s="16">
        <v>12</v>
      </c>
      <c r="I865" s="16">
        <v>1794.88</v>
      </c>
      <c r="J865" s="16">
        <v>21538.560000000001</v>
      </c>
    </row>
    <row r="866" spans="1:10" ht="15" thickBot="1">
      <c r="A866" s="16" t="s">
        <v>2594</v>
      </c>
      <c r="B866" s="18" t="s">
        <v>2683</v>
      </c>
      <c r="C866" s="18" t="s">
        <v>2658</v>
      </c>
      <c r="D866" s="18" t="s">
        <v>2645</v>
      </c>
      <c r="E866" s="18" t="s">
        <v>2642</v>
      </c>
      <c r="F866" s="18" t="s">
        <v>2370</v>
      </c>
      <c r="G866" s="18" t="s">
        <v>2701</v>
      </c>
      <c r="H866" s="16">
        <v>19</v>
      </c>
      <c r="I866" s="16">
        <v>2750.97</v>
      </c>
      <c r="J866" s="16">
        <v>52268.43</v>
      </c>
    </row>
    <row r="867" spans="1:10" ht="15" thickBot="1">
      <c r="A867" s="16" t="s">
        <v>2538</v>
      </c>
      <c r="B867" s="18" t="s">
        <v>2687</v>
      </c>
      <c r="C867" s="18" t="s">
        <v>2653</v>
      </c>
      <c r="D867" s="18" t="s">
        <v>2644</v>
      </c>
      <c r="E867" s="18" t="s">
        <v>2641</v>
      </c>
      <c r="F867" s="18" t="s">
        <v>2374</v>
      </c>
      <c r="G867" s="18" t="s">
        <v>2689</v>
      </c>
      <c r="H867" s="16">
        <v>17</v>
      </c>
      <c r="I867" s="16">
        <v>3677.4</v>
      </c>
      <c r="J867" s="16">
        <v>62515.8</v>
      </c>
    </row>
    <row r="868" spans="1:10" ht="15" thickBot="1">
      <c r="A868" s="16" t="s">
        <v>2521</v>
      </c>
      <c r="B868" s="18" t="s">
        <v>2687</v>
      </c>
      <c r="C868" s="18" t="s">
        <v>2393</v>
      </c>
      <c r="D868" s="18" t="s">
        <v>2644</v>
      </c>
      <c r="E868" s="18" t="s">
        <v>2641</v>
      </c>
      <c r="F868" s="18" t="s">
        <v>2374</v>
      </c>
      <c r="G868" s="18" t="s">
        <v>2689</v>
      </c>
      <c r="H868" s="16">
        <v>7</v>
      </c>
      <c r="I868" s="16">
        <v>2253.94</v>
      </c>
      <c r="J868" s="16">
        <v>15777.58</v>
      </c>
    </row>
    <row r="869" spans="1:10" ht="15" thickBot="1">
      <c r="A869" s="16" t="s">
        <v>2588</v>
      </c>
      <c r="B869" s="18" t="s">
        <v>2680</v>
      </c>
      <c r="C869" s="18" t="s">
        <v>2658</v>
      </c>
      <c r="D869" s="18" t="s">
        <v>2645</v>
      </c>
      <c r="E869" s="18" t="s">
        <v>2642</v>
      </c>
      <c r="F869" s="18" t="s">
        <v>2661</v>
      </c>
      <c r="G869" s="18" t="s">
        <v>2696</v>
      </c>
      <c r="H869" s="16">
        <v>8</v>
      </c>
      <c r="I869" s="16">
        <v>1762.43</v>
      </c>
      <c r="J869" s="16">
        <v>14099.44</v>
      </c>
    </row>
    <row r="870" spans="1:10" ht="15" thickBot="1">
      <c r="A870" s="16" t="s">
        <v>2580</v>
      </c>
      <c r="B870" s="18" t="s">
        <v>2680</v>
      </c>
      <c r="C870" s="18" t="s">
        <v>2654</v>
      </c>
      <c r="D870" s="18" t="s">
        <v>2646</v>
      </c>
      <c r="E870" s="18" t="s">
        <v>2642</v>
      </c>
      <c r="F870" s="18" t="s">
        <v>2373</v>
      </c>
      <c r="G870" s="18" t="s">
        <v>2697</v>
      </c>
      <c r="H870" s="16">
        <v>20</v>
      </c>
      <c r="I870" s="16">
        <v>278.55</v>
      </c>
      <c r="J870" s="16">
        <v>5571</v>
      </c>
    </row>
    <row r="871" spans="1:10" ht="15" thickBot="1">
      <c r="A871" s="16" t="s">
        <v>2667</v>
      </c>
      <c r="B871" s="18" t="s">
        <v>2678</v>
      </c>
      <c r="C871" s="18" t="s">
        <v>2653</v>
      </c>
      <c r="D871" s="18" t="s">
        <v>2644</v>
      </c>
      <c r="E871" s="18" t="s">
        <v>2641</v>
      </c>
      <c r="F871" s="18" t="s">
        <v>2373</v>
      </c>
      <c r="G871" s="18" t="s">
        <v>2697</v>
      </c>
      <c r="H871" s="16">
        <v>7</v>
      </c>
      <c r="I871" s="16">
        <v>1940.86</v>
      </c>
      <c r="J871" s="16">
        <v>13586.02</v>
      </c>
    </row>
    <row r="872" spans="1:10" ht="15" thickBot="1">
      <c r="A872" s="63">
        <v>44967</v>
      </c>
      <c r="B872" s="18" t="s">
        <v>2678</v>
      </c>
      <c r="C872" s="18" t="s">
        <v>2654</v>
      </c>
      <c r="D872" s="18" t="s">
        <v>2646</v>
      </c>
      <c r="E872" s="18" t="s">
        <v>2642</v>
      </c>
      <c r="F872" s="18" t="s">
        <v>2661</v>
      </c>
      <c r="G872" s="18" t="s">
        <v>2695</v>
      </c>
      <c r="H872" s="16">
        <v>1</v>
      </c>
      <c r="I872" s="16">
        <v>414.64</v>
      </c>
      <c r="J872" s="16">
        <v>414.64</v>
      </c>
    </row>
    <row r="873" spans="1:10" ht="15" thickBot="1">
      <c r="A873" s="63">
        <v>45026</v>
      </c>
      <c r="B873" s="18" t="s">
        <v>2680</v>
      </c>
      <c r="C873" s="18" t="s">
        <v>2655</v>
      </c>
      <c r="D873" s="18" t="s">
        <v>2645</v>
      </c>
      <c r="E873" s="18" t="s">
        <v>2642</v>
      </c>
      <c r="F873" s="18" t="s">
        <v>2374</v>
      </c>
      <c r="G873" s="18" t="s">
        <v>2692</v>
      </c>
      <c r="H873" s="16">
        <v>7</v>
      </c>
      <c r="I873" s="16">
        <v>1073.54</v>
      </c>
      <c r="J873" s="16">
        <v>7514.78</v>
      </c>
    </row>
    <row r="874" spans="1:10" ht="15" thickBot="1">
      <c r="A874" s="63">
        <v>45146</v>
      </c>
      <c r="B874" s="18" t="s">
        <v>2683</v>
      </c>
      <c r="C874" s="18" t="s">
        <v>2654</v>
      </c>
      <c r="D874" s="18" t="s">
        <v>2646</v>
      </c>
      <c r="E874" s="18" t="s">
        <v>2642</v>
      </c>
      <c r="F874" s="18" t="s">
        <v>2370</v>
      </c>
      <c r="G874" s="18" t="s">
        <v>2702</v>
      </c>
      <c r="H874" s="16">
        <v>2</v>
      </c>
      <c r="I874" s="16">
        <v>2078.33</v>
      </c>
      <c r="J874" s="16">
        <v>4156.66</v>
      </c>
    </row>
    <row r="875" spans="1:10" ht="15" thickBot="1">
      <c r="A875" s="16" t="s">
        <v>2484</v>
      </c>
      <c r="B875" s="18" t="s">
        <v>2681</v>
      </c>
      <c r="C875" s="18" t="s">
        <v>2652</v>
      </c>
      <c r="D875" s="18" t="s">
        <v>2647</v>
      </c>
      <c r="E875" s="18" t="s">
        <v>2643</v>
      </c>
      <c r="F875" s="18" t="s">
        <v>2373</v>
      </c>
      <c r="G875" s="18" t="s">
        <v>2703</v>
      </c>
      <c r="H875" s="16">
        <v>15</v>
      </c>
      <c r="I875" s="16">
        <v>4188.84</v>
      </c>
      <c r="J875" s="16">
        <v>62832.6</v>
      </c>
    </row>
    <row r="876" spans="1:10" ht="15" thickBot="1">
      <c r="A876" s="63">
        <v>45175</v>
      </c>
      <c r="B876" s="18" t="s">
        <v>2685</v>
      </c>
      <c r="C876" s="18" t="s">
        <v>2654</v>
      </c>
      <c r="D876" s="18" t="s">
        <v>2646</v>
      </c>
      <c r="E876" s="18" t="s">
        <v>2642</v>
      </c>
      <c r="F876" s="18" t="s">
        <v>2372</v>
      </c>
      <c r="G876" s="18" t="s">
        <v>2699</v>
      </c>
      <c r="H876" s="16">
        <v>16</v>
      </c>
      <c r="I876" s="16">
        <v>3046.66</v>
      </c>
      <c r="J876" s="16">
        <v>48746.559999999998</v>
      </c>
    </row>
    <row r="877" spans="1:10" ht="15" thickBot="1">
      <c r="A877" s="63">
        <v>45085</v>
      </c>
      <c r="B877" s="18" t="s">
        <v>2683</v>
      </c>
      <c r="C877" s="18" t="s">
        <v>2654</v>
      </c>
      <c r="D877" s="18" t="s">
        <v>2646</v>
      </c>
      <c r="E877" s="18" t="s">
        <v>2642</v>
      </c>
      <c r="F877" s="18" t="s">
        <v>2372</v>
      </c>
      <c r="G877" s="18" t="s">
        <v>2699</v>
      </c>
      <c r="H877" s="16">
        <v>13</v>
      </c>
      <c r="I877" s="16">
        <v>566.55999999999995</v>
      </c>
      <c r="J877" s="16">
        <v>7365.28</v>
      </c>
    </row>
    <row r="878" spans="1:10" ht="15" thickBot="1">
      <c r="A878" s="63">
        <v>45207</v>
      </c>
      <c r="B878" s="18" t="s">
        <v>2683</v>
      </c>
      <c r="C878" s="18" t="s">
        <v>2659</v>
      </c>
      <c r="D878" s="18" t="s">
        <v>2647</v>
      </c>
      <c r="E878" s="18" t="s">
        <v>2643</v>
      </c>
      <c r="F878" s="18" t="s">
        <v>2370</v>
      </c>
      <c r="G878" s="18" t="s">
        <v>2702</v>
      </c>
      <c r="H878" s="16">
        <v>9</v>
      </c>
      <c r="I878" s="16">
        <v>4726.68</v>
      </c>
      <c r="J878" s="16">
        <v>42540.12</v>
      </c>
    </row>
    <row r="879" spans="1:10" ht="15" thickBot="1">
      <c r="A879" s="16" t="s">
        <v>2493</v>
      </c>
      <c r="B879" s="18" t="s">
        <v>2687</v>
      </c>
      <c r="C879" s="18" t="s">
        <v>2655</v>
      </c>
      <c r="D879" s="18" t="s">
        <v>2645</v>
      </c>
      <c r="E879" s="18" t="s">
        <v>2642</v>
      </c>
      <c r="F879" s="18" t="s">
        <v>2372</v>
      </c>
      <c r="G879" s="18" t="s">
        <v>2699</v>
      </c>
      <c r="H879" s="16">
        <v>15</v>
      </c>
      <c r="I879" s="16">
        <v>2503.4699999999998</v>
      </c>
      <c r="J879" s="16">
        <v>37552.050000000003</v>
      </c>
    </row>
    <row r="880" spans="1:10" ht="15" thickBot="1">
      <c r="A880" s="63">
        <v>45237</v>
      </c>
      <c r="B880" s="18" t="s">
        <v>2680</v>
      </c>
      <c r="C880" s="18" t="s">
        <v>2655</v>
      </c>
      <c r="D880" s="18" t="s">
        <v>2645</v>
      </c>
      <c r="E880" s="18" t="s">
        <v>2642</v>
      </c>
      <c r="F880" s="18" t="s">
        <v>2661</v>
      </c>
      <c r="G880" s="18" t="s">
        <v>2695</v>
      </c>
      <c r="H880" s="16">
        <v>13</v>
      </c>
      <c r="I880" s="16">
        <v>2244.77</v>
      </c>
      <c r="J880" s="16">
        <v>29182.01</v>
      </c>
    </row>
    <row r="881" spans="1:10" ht="15" thickBot="1">
      <c r="A881" s="63">
        <v>45242</v>
      </c>
      <c r="B881" s="18" t="s">
        <v>2684</v>
      </c>
      <c r="C881" s="18" t="s">
        <v>2393</v>
      </c>
      <c r="D881" s="18" t="s">
        <v>2644</v>
      </c>
      <c r="E881" s="18" t="s">
        <v>2641</v>
      </c>
      <c r="F881" s="18" t="s">
        <v>2374</v>
      </c>
      <c r="G881" s="18" t="s">
        <v>2689</v>
      </c>
      <c r="H881" s="16">
        <v>18</v>
      </c>
      <c r="I881" s="16">
        <v>3559.2</v>
      </c>
      <c r="J881" s="16">
        <v>64065.599999999999</v>
      </c>
    </row>
    <row r="882" spans="1:10" ht="15" thickBot="1">
      <c r="A882" s="16" t="s">
        <v>2619</v>
      </c>
      <c r="B882" s="18" t="s">
        <v>2681</v>
      </c>
      <c r="C882" s="18" t="s">
        <v>2649</v>
      </c>
      <c r="D882" s="18" t="s">
        <v>2645</v>
      </c>
      <c r="E882" s="18" t="s">
        <v>2642</v>
      </c>
      <c r="F882" s="18" t="s">
        <v>2372</v>
      </c>
      <c r="G882" s="18" t="s">
        <v>2699</v>
      </c>
      <c r="H882" s="16">
        <v>16</v>
      </c>
      <c r="I882" s="16">
        <v>4238.6400000000003</v>
      </c>
      <c r="J882" s="16">
        <v>67818.240000000005</v>
      </c>
    </row>
    <row r="883" spans="1:10" ht="15" thickBot="1">
      <c r="A883" s="16" t="s">
        <v>2487</v>
      </c>
      <c r="B883" s="18" t="s">
        <v>2682</v>
      </c>
      <c r="C883" s="18" t="s">
        <v>2392</v>
      </c>
      <c r="D883" s="18" t="s">
        <v>2644</v>
      </c>
      <c r="E883" s="18" t="s">
        <v>2641</v>
      </c>
      <c r="F883" s="18" t="s">
        <v>2372</v>
      </c>
      <c r="G883" s="18" t="s">
        <v>2699</v>
      </c>
      <c r="H883" s="16">
        <v>13</v>
      </c>
      <c r="I883" s="16">
        <v>151.65</v>
      </c>
      <c r="J883" s="16">
        <v>1971.45</v>
      </c>
    </row>
    <row r="884" spans="1:10" ht="15" thickBot="1">
      <c r="A884" s="63">
        <v>45175</v>
      </c>
      <c r="B884" s="18" t="s">
        <v>2678</v>
      </c>
      <c r="C884" s="18" t="s">
        <v>2392</v>
      </c>
      <c r="D884" s="18" t="s">
        <v>2644</v>
      </c>
      <c r="E884" s="18" t="s">
        <v>2641</v>
      </c>
      <c r="F884" s="18" t="s">
        <v>2373</v>
      </c>
      <c r="G884" s="18" t="s">
        <v>2705</v>
      </c>
      <c r="H884" s="16">
        <v>11</v>
      </c>
      <c r="I884" s="16">
        <v>4242.8999999999996</v>
      </c>
      <c r="J884" s="16">
        <v>46671.9</v>
      </c>
    </row>
    <row r="885" spans="1:10" ht="15" thickBot="1">
      <c r="A885" s="16" t="s">
        <v>2587</v>
      </c>
      <c r="B885" s="18" t="s">
        <v>2679</v>
      </c>
      <c r="C885" s="18" t="s">
        <v>2396</v>
      </c>
      <c r="D885" s="18" t="s">
        <v>2648</v>
      </c>
      <c r="E885" s="18" t="s">
        <v>2641</v>
      </c>
      <c r="F885" s="18" t="s">
        <v>2661</v>
      </c>
      <c r="G885" s="18" t="s">
        <v>2691</v>
      </c>
      <c r="H885" s="16">
        <v>9</v>
      </c>
      <c r="I885" s="16">
        <v>4639.93</v>
      </c>
      <c r="J885" s="16">
        <v>41759.370000000003</v>
      </c>
    </row>
    <row r="886" spans="1:10" ht="15" thickBot="1">
      <c r="A886" s="16" t="s">
        <v>2454</v>
      </c>
      <c r="B886" s="18" t="s">
        <v>2684</v>
      </c>
      <c r="C886" s="18" t="s">
        <v>2651</v>
      </c>
      <c r="D886" s="18" t="s">
        <v>2646</v>
      </c>
      <c r="E886" s="18" t="s">
        <v>2642</v>
      </c>
      <c r="F886" s="18" t="s">
        <v>2372</v>
      </c>
      <c r="G886" s="18" t="s">
        <v>2693</v>
      </c>
      <c r="H886" s="16">
        <v>4</v>
      </c>
      <c r="I886" s="16">
        <v>4336.92</v>
      </c>
      <c r="J886" s="16">
        <v>17347.68</v>
      </c>
    </row>
    <row r="887" spans="1:10" ht="15" thickBot="1">
      <c r="A887" s="16" t="s">
        <v>2552</v>
      </c>
      <c r="B887" s="18" t="s">
        <v>2678</v>
      </c>
      <c r="C887" s="18" t="s">
        <v>2660</v>
      </c>
      <c r="D887" s="18" t="s">
        <v>2647</v>
      </c>
      <c r="E887" s="18" t="s">
        <v>2643</v>
      </c>
      <c r="F887" s="18" t="s">
        <v>2373</v>
      </c>
      <c r="G887" s="18" t="s">
        <v>2688</v>
      </c>
      <c r="H887" s="16">
        <v>17</v>
      </c>
      <c r="I887" s="16">
        <v>1005.44</v>
      </c>
      <c r="J887" s="16">
        <v>17092.48</v>
      </c>
    </row>
    <row r="888" spans="1:10" ht="15" thickBot="1">
      <c r="A888" s="63">
        <v>45233</v>
      </c>
      <c r="B888" s="18" t="s">
        <v>2679</v>
      </c>
      <c r="C888" s="18" t="s">
        <v>2649</v>
      </c>
      <c r="D888" s="18" t="s">
        <v>2645</v>
      </c>
      <c r="E888" s="18" t="s">
        <v>2642</v>
      </c>
      <c r="F888" s="18" t="s">
        <v>2373</v>
      </c>
      <c r="G888" s="18" t="s">
        <v>2703</v>
      </c>
      <c r="H888" s="16">
        <v>18</v>
      </c>
      <c r="I888" s="16">
        <v>2231.56</v>
      </c>
      <c r="J888" s="16">
        <v>40168.080000000002</v>
      </c>
    </row>
    <row r="889" spans="1:10" ht="15" thickBot="1">
      <c r="A889" s="63">
        <v>45237</v>
      </c>
      <c r="B889" s="18" t="s">
        <v>2678</v>
      </c>
      <c r="C889" s="18" t="s">
        <v>2393</v>
      </c>
      <c r="D889" s="18" t="s">
        <v>2644</v>
      </c>
      <c r="E889" s="18" t="s">
        <v>2641</v>
      </c>
      <c r="F889" s="18" t="s">
        <v>2373</v>
      </c>
      <c r="G889" s="18" t="s">
        <v>2697</v>
      </c>
      <c r="H889" s="16">
        <v>14</v>
      </c>
      <c r="I889" s="16">
        <v>3677.67</v>
      </c>
      <c r="J889" s="16">
        <v>51487.38</v>
      </c>
    </row>
    <row r="890" spans="1:10" ht="15" thickBot="1">
      <c r="A890" s="16" t="s">
        <v>2568</v>
      </c>
      <c r="B890" s="18" t="s">
        <v>2680</v>
      </c>
      <c r="C890" s="18" t="s">
        <v>2651</v>
      </c>
      <c r="D890" s="18" t="s">
        <v>2646</v>
      </c>
      <c r="E890" s="18" t="s">
        <v>2642</v>
      </c>
      <c r="F890" s="18" t="s">
        <v>2370</v>
      </c>
      <c r="G890" s="18" t="s">
        <v>2702</v>
      </c>
      <c r="H890" s="16">
        <v>6</v>
      </c>
      <c r="I890" s="16">
        <v>1047.72</v>
      </c>
      <c r="J890" s="16">
        <v>6286.32</v>
      </c>
    </row>
    <row r="891" spans="1:10" ht="15" thickBot="1">
      <c r="A891" s="16" t="s">
        <v>2548</v>
      </c>
      <c r="B891" s="18" t="s">
        <v>2679</v>
      </c>
      <c r="C891" s="18" t="s">
        <v>2651</v>
      </c>
      <c r="D891" s="18" t="s">
        <v>2646</v>
      </c>
      <c r="E891" s="18" t="s">
        <v>2642</v>
      </c>
      <c r="F891" s="18" t="s">
        <v>2374</v>
      </c>
      <c r="G891" s="18" t="s">
        <v>2704</v>
      </c>
      <c r="H891" s="16">
        <v>20</v>
      </c>
      <c r="I891" s="16">
        <v>827.08</v>
      </c>
      <c r="J891" s="16">
        <v>16541.599999999999</v>
      </c>
    </row>
    <row r="892" spans="1:10" ht="15" thickBot="1">
      <c r="A892" s="16" t="s">
        <v>2448</v>
      </c>
      <c r="B892" s="18" t="s">
        <v>2679</v>
      </c>
      <c r="C892" s="18" t="s">
        <v>2655</v>
      </c>
      <c r="D892" s="18" t="s">
        <v>2645</v>
      </c>
      <c r="E892" s="18" t="s">
        <v>2642</v>
      </c>
      <c r="F892" s="18" t="s">
        <v>2374</v>
      </c>
      <c r="G892" s="18" t="s">
        <v>2692</v>
      </c>
      <c r="H892" s="16">
        <v>19</v>
      </c>
      <c r="I892" s="16">
        <v>1726.65</v>
      </c>
      <c r="J892" s="16">
        <v>32806.35</v>
      </c>
    </row>
    <row r="893" spans="1:10" ht="15" thickBot="1">
      <c r="A893" s="63">
        <v>45143</v>
      </c>
      <c r="B893" s="18" t="s">
        <v>2682</v>
      </c>
      <c r="C893" s="18" t="s">
        <v>2658</v>
      </c>
      <c r="D893" s="18" t="s">
        <v>2645</v>
      </c>
      <c r="E893" s="18" t="s">
        <v>2642</v>
      </c>
      <c r="F893" s="18" t="s">
        <v>2374</v>
      </c>
      <c r="G893" s="18" t="s">
        <v>2700</v>
      </c>
      <c r="H893" s="16">
        <v>17</v>
      </c>
      <c r="I893" s="16">
        <v>2339.5700000000002</v>
      </c>
      <c r="J893" s="16">
        <v>39772.69</v>
      </c>
    </row>
    <row r="894" spans="1:10" ht="15" thickBot="1">
      <c r="A894" s="63">
        <v>44962</v>
      </c>
      <c r="B894" s="18" t="s">
        <v>2682</v>
      </c>
      <c r="C894" s="18" t="s">
        <v>2651</v>
      </c>
      <c r="D894" s="18" t="s">
        <v>2646</v>
      </c>
      <c r="E894" s="18" t="s">
        <v>2642</v>
      </c>
      <c r="F894" s="18" t="s">
        <v>2372</v>
      </c>
      <c r="G894" s="18" t="s">
        <v>2693</v>
      </c>
      <c r="H894" s="16">
        <v>8</v>
      </c>
      <c r="I894" s="16">
        <v>4984.96</v>
      </c>
      <c r="J894" s="16">
        <v>39879.68</v>
      </c>
    </row>
    <row r="895" spans="1:10" ht="15" thickBot="1">
      <c r="A895" s="63">
        <v>45021</v>
      </c>
      <c r="B895" s="18" t="s">
        <v>2687</v>
      </c>
      <c r="C895" s="18" t="s">
        <v>2659</v>
      </c>
      <c r="D895" s="18" t="s">
        <v>2647</v>
      </c>
      <c r="E895" s="18" t="s">
        <v>2643</v>
      </c>
      <c r="F895" s="18" t="s">
        <v>2370</v>
      </c>
      <c r="G895" s="18" t="s">
        <v>2701</v>
      </c>
      <c r="H895" s="16">
        <v>17</v>
      </c>
      <c r="I895" s="16">
        <v>3259.21</v>
      </c>
      <c r="J895" s="16">
        <v>55406.57</v>
      </c>
    </row>
    <row r="896" spans="1:10" ht="15" thickBot="1">
      <c r="A896" s="16" t="s">
        <v>2596</v>
      </c>
      <c r="B896" s="18" t="s">
        <v>2679</v>
      </c>
      <c r="C896" s="18" t="s">
        <v>2654</v>
      </c>
      <c r="D896" s="18" t="s">
        <v>2646</v>
      </c>
      <c r="E896" s="18" t="s">
        <v>2642</v>
      </c>
      <c r="F896" s="18" t="s">
        <v>2373</v>
      </c>
      <c r="G896" s="18" t="s">
        <v>2688</v>
      </c>
      <c r="H896" s="16">
        <v>7</v>
      </c>
      <c r="I896" s="16">
        <v>4847.62</v>
      </c>
      <c r="J896" s="16">
        <v>33933.339999999997</v>
      </c>
    </row>
    <row r="897" spans="1:10" ht="15" thickBot="1">
      <c r="A897" s="16" t="s">
        <v>2483</v>
      </c>
      <c r="B897" s="18" t="s">
        <v>2680</v>
      </c>
      <c r="C897" s="18" t="s">
        <v>2650</v>
      </c>
      <c r="D897" s="18" t="s">
        <v>2646</v>
      </c>
      <c r="E897" s="18" t="s">
        <v>2642</v>
      </c>
      <c r="F897" s="18" t="s">
        <v>2661</v>
      </c>
      <c r="G897" s="18" t="s">
        <v>2695</v>
      </c>
      <c r="H897" s="16">
        <v>6</v>
      </c>
      <c r="I897" s="16">
        <v>2260.16</v>
      </c>
      <c r="J897" s="16">
        <v>13560.96</v>
      </c>
    </row>
    <row r="898" spans="1:10" ht="15" thickBot="1">
      <c r="A898" s="63">
        <v>45269</v>
      </c>
      <c r="B898" s="18" t="s">
        <v>2683</v>
      </c>
      <c r="C898" s="18" t="s">
        <v>2652</v>
      </c>
      <c r="D898" s="18" t="s">
        <v>2647</v>
      </c>
      <c r="E898" s="18" t="s">
        <v>2643</v>
      </c>
      <c r="F898" s="18" t="s">
        <v>2373</v>
      </c>
      <c r="G898" s="18" t="s">
        <v>2697</v>
      </c>
      <c r="H898" s="16">
        <v>16</v>
      </c>
      <c r="I898" s="16">
        <v>1795.37</v>
      </c>
      <c r="J898" s="16">
        <v>28725.919999999998</v>
      </c>
    </row>
    <row r="899" spans="1:10" ht="15" thickBot="1">
      <c r="A899" s="63">
        <v>44990</v>
      </c>
      <c r="B899" s="18" t="s">
        <v>2683</v>
      </c>
      <c r="C899" s="18" t="s">
        <v>2657</v>
      </c>
      <c r="D899" s="18" t="s">
        <v>2648</v>
      </c>
      <c r="E899" s="18" t="s">
        <v>2641</v>
      </c>
      <c r="F899" s="18" t="s">
        <v>2370</v>
      </c>
      <c r="G899" s="18" t="s">
        <v>2702</v>
      </c>
      <c r="H899" s="16">
        <v>19</v>
      </c>
      <c r="I899" s="16">
        <v>2040.79</v>
      </c>
      <c r="J899" s="16">
        <v>38775.01</v>
      </c>
    </row>
    <row r="900" spans="1:10" ht="15" thickBot="1">
      <c r="A900" s="16" t="s">
        <v>2626</v>
      </c>
      <c r="B900" s="18" t="s">
        <v>2686</v>
      </c>
      <c r="C900" s="18" t="s">
        <v>2655</v>
      </c>
      <c r="D900" s="18" t="s">
        <v>2645</v>
      </c>
      <c r="E900" s="18" t="s">
        <v>2642</v>
      </c>
      <c r="F900" s="18" t="s">
        <v>2373</v>
      </c>
      <c r="G900" s="18" t="s">
        <v>2705</v>
      </c>
      <c r="H900" s="16">
        <v>13</v>
      </c>
      <c r="I900" s="16">
        <v>1764.64</v>
      </c>
      <c r="J900" s="16">
        <v>22940.32</v>
      </c>
    </row>
    <row r="901" spans="1:10" ht="15" thickBot="1">
      <c r="A901" s="16" t="s">
        <v>2576</v>
      </c>
      <c r="B901" s="18" t="s">
        <v>2678</v>
      </c>
      <c r="C901" s="18" t="s">
        <v>2654</v>
      </c>
      <c r="D901" s="18" t="s">
        <v>2646</v>
      </c>
      <c r="E901" s="18" t="s">
        <v>2642</v>
      </c>
      <c r="F901" s="18" t="s">
        <v>2661</v>
      </c>
      <c r="G901" s="18" t="s">
        <v>2695</v>
      </c>
      <c r="H901" s="16">
        <v>6</v>
      </c>
      <c r="I901" s="16">
        <v>746.23</v>
      </c>
      <c r="J901" s="16">
        <v>4477.38</v>
      </c>
    </row>
    <row r="902" spans="1:10" ht="15" thickBot="1">
      <c r="A902" s="63">
        <v>45210</v>
      </c>
      <c r="B902" s="18" t="s">
        <v>2680</v>
      </c>
      <c r="C902" s="18" t="s">
        <v>2652</v>
      </c>
      <c r="D902" s="18" t="s">
        <v>2647</v>
      </c>
      <c r="E902" s="18" t="s">
        <v>2643</v>
      </c>
      <c r="F902" s="18" t="s">
        <v>2373</v>
      </c>
      <c r="G902" s="18" t="s">
        <v>2703</v>
      </c>
      <c r="H902" s="16">
        <v>14</v>
      </c>
      <c r="I902" s="16">
        <v>2385.9899999999998</v>
      </c>
      <c r="J902" s="16">
        <v>33403.86</v>
      </c>
    </row>
    <row r="903" spans="1:10" ht="15" thickBot="1">
      <c r="A903" s="63">
        <v>45264</v>
      </c>
      <c r="B903" s="18" t="s">
        <v>2678</v>
      </c>
      <c r="C903" s="18" t="s">
        <v>2657</v>
      </c>
      <c r="D903" s="18" t="s">
        <v>2648</v>
      </c>
      <c r="E903" s="18" t="s">
        <v>2641</v>
      </c>
      <c r="F903" s="18" t="s">
        <v>2370</v>
      </c>
      <c r="G903" s="18" t="s">
        <v>1335</v>
      </c>
      <c r="H903" s="16">
        <v>1</v>
      </c>
      <c r="I903" s="16">
        <v>2362.15</v>
      </c>
      <c r="J903" s="16">
        <v>2362.15</v>
      </c>
    </row>
    <row r="904" spans="1:10" ht="15" thickBot="1">
      <c r="A904" s="16" t="s">
        <v>2515</v>
      </c>
      <c r="B904" s="18" t="s">
        <v>2683</v>
      </c>
      <c r="C904" s="18" t="s">
        <v>2652</v>
      </c>
      <c r="D904" s="18" t="s">
        <v>2647</v>
      </c>
      <c r="E904" s="18" t="s">
        <v>2643</v>
      </c>
      <c r="F904" s="18" t="s">
        <v>2372</v>
      </c>
      <c r="G904" s="18" t="s">
        <v>2693</v>
      </c>
      <c r="H904" s="16">
        <v>16</v>
      </c>
      <c r="I904" s="16">
        <v>1236.8</v>
      </c>
      <c r="J904" s="16">
        <v>19788.8</v>
      </c>
    </row>
    <row r="905" spans="1:10" ht="15" thickBot="1">
      <c r="A905" s="63">
        <v>45140</v>
      </c>
      <c r="B905" s="18" t="s">
        <v>2681</v>
      </c>
      <c r="C905" s="18" t="s">
        <v>2652</v>
      </c>
      <c r="D905" s="18" t="s">
        <v>2647</v>
      </c>
      <c r="E905" s="18" t="s">
        <v>2643</v>
      </c>
      <c r="F905" s="18" t="s">
        <v>2370</v>
      </c>
      <c r="G905" s="18" t="s">
        <v>1336</v>
      </c>
      <c r="H905" s="16">
        <v>17</v>
      </c>
      <c r="I905" s="16">
        <v>1248.03</v>
      </c>
      <c r="J905" s="16">
        <v>21216.51</v>
      </c>
    </row>
    <row r="906" spans="1:10" ht="15" thickBot="1">
      <c r="A906" s="63">
        <v>44991</v>
      </c>
      <c r="B906" s="18" t="s">
        <v>2686</v>
      </c>
      <c r="C906" s="18" t="s">
        <v>2659</v>
      </c>
      <c r="D906" s="18" t="s">
        <v>2647</v>
      </c>
      <c r="E906" s="18" t="s">
        <v>2643</v>
      </c>
      <c r="F906" s="18" t="s">
        <v>2374</v>
      </c>
      <c r="G906" s="18" t="s">
        <v>2692</v>
      </c>
      <c r="H906" s="16">
        <v>16</v>
      </c>
      <c r="I906" s="16">
        <v>665.83</v>
      </c>
      <c r="J906" s="16">
        <v>10653.28</v>
      </c>
    </row>
    <row r="907" spans="1:10" ht="15" thickBot="1">
      <c r="A907" s="63">
        <v>45082</v>
      </c>
      <c r="B907" s="18" t="s">
        <v>2678</v>
      </c>
      <c r="C907" s="18" t="s">
        <v>2393</v>
      </c>
      <c r="D907" s="18" t="s">
        <v>2644</v>
      </c>
      <c r="E907" s="18" t="s">
        <v>2641</v>
      </c>
      <c r="F907" s="18" t="s">
        <v>2370</v>
      </c>
      <c r="G907" s="18" t="s">
        <v>2701</v>
      </c>
      <c r="H907" s="16">
        <v>16</v>
      </c>
      <c r="I907" s="16">
        <v>615.70000000000005</v>
      </c>
      <c r="J907" s="16">
        <v>9851.2000000000007</v>
      </c>
    </row>
    <row r="908" spans="1:10" ht="15" thickBot="1">
      <c r="A908" s="16" t="s">
        <v>2668</v>
      </c>
      <c r="B908" s="18" t="s">
        <v>2684</v>
      </c>
      <c r="C908" s="18" t="s">
        <v>2655</v>
      </c>
      <c r="D908" s="18" t="s">
        <v>2645</v>
      </c>
      <c r="E908" s="18" t="s">
        <v>2642</v>
      </c>
      <c r="F908" s="18" t="s">
        <v>2374</v>
      </c>
      <c r="G908" s="18" t="s">
        <v>2704</v>
      </c>
      <c r="H908" s="16">
        <v>13</v>
      </c>
      <c r="I908" s="16">
        <v>3616.99</v>
      </c>
      <c r="J908" s="16">
        <v>47020.87</v>
      </c>
    </row>
    <row r="909" spans="1:10" ht="15" thickBot="1">
      <c r="A909" s="63">
        <v>45144</v>
      </c>
      <c r="B909" s="18" t="s">
        <v>2687</v>
      </c>
      <c r="C909" s="18" t="s">
        <v>2651</v>
      </c>
      <c r="D909" s="18" t="s">
        <v>2646</v>
      </c>
      <c r="E909" s="18" t="s">
        <v>2642</v>
      </c>
      <c r="F909" s="18" t="s">
        <v>2372</v>
      </c>
      <c r="G909" s="18" t="s">
        <v>2693</v>
      </c>
      <c r="H909" s="16">
        <v>9</v>
      </c>
      <c r="I909" s="16">
        <v>1940.11</v>
      </c>
      <c r="J909" s="16">
        <v>17460.990000000002</v>
      </c>
    </row>
    <row r="910" spans="1:10" ht="15" thickBot="1">
      <c r="A910" s="16" t="s">
        <v>2552</v>
      </c>
      <c r="B910" s="18" t="s">
        <v>2685</v>
      </c>
      <c r="C910" s="18" t="s">
        <v>2651</v>
      </c>
      <c r="D910" s="18" t="s">
        <v>2646</v>
      </c>
      <c r="E910" s="18" t="s">
        <v>2642</v>
      </c>
      <c r="F910" s="18" t="s">
        <v>2370</v>
      </c>
      <c r="G910" s="18" t="s">
        <v>1336</v>
      </c>
      <c r="H910" s="16">
        <v>16</v>
      </c>
      <c r="I910" s="16">
        <v>1064.93</v>
      </c>
      <c r="J910" s="16">
        <v>17038.88</v>
      </c>
    </row>
    <row r="911" spans="1:10" ht="15" thickBot="1">
      <c r="A911" s="63">
        <v>45232</v>
      </c>
      <c r="B911" s="18" t="s">
        <v>2685</v>
      </c>
      <c r="C911" s="18" t="s">
        <v>2392</v>
      </c>
      <c r="D911" s="18" t="s">
        <v>2644</v>
      </c>
      <c r="E911" s="18" t="s">
        <v>2641</v>
      </c>
      <c r="F911" s="18" t="s">
        <v>2372</v>
      </c>
      <c r="G911" s="18" t="s">
        <v>2699</v>
      </c>
      <c r="H911" s="16">
        <v>2</v>
      </c>
      <c r="I911" s="16">
        <v>4845.74</v>
      </c>
      <c r="J911" s="16">
        <v>9691.48</v>
      </c>
    </row>
    <row r="912" spans="1:10" ht="15" thickBot="1">
      <c r="A912" s="16" t="s">
        <v>2596</v>
      </c>
      <c r="B912" s="18" t="s">
        <v>2681</v>
      </c>
      <c r="C912" s="18" t="s">
        <v>2649</v>
      </c>
      <c r="D912" s="18" t="s">
        <v>2645</v>
      </c>
      <c r="E912" s="18" t="s">
        <v>2642</v>
      </c>
      <c r="F912" s="18" t="s">
        <v>2661</v>
      </c>
      <c r="G912" s="18" t="s">
        <v>2698</v>
      </c>
      <c r="H912" s="16">
        <v>3</v>
      </c>
      <c r="I912" s="16">
        <v>4766.28</v>
      </c>
      <c r="J912" s="16">
        <v>14298.84</v>
      </c>
    </row>
    <row r="913" spans="1:10" ht="15" thickBot="1">
      <c r="A913" s="63">
        <v>45233</v>
      </c>
      <c r="B913" s="18" t="s">
        <v>2679</v>
      </c>
      <c r="C913" s="18" t="s">
        <v>2652</v>
      </c>
      <c r="D913" s="18" t="s">
        <v>2647</v>
      </c>
      <c r="E913" s="18" t="s">
        <v>2643</v>
      </c>
      <c r="F913" s="18" t="s">
        <v>2372</v>
      </c>
      <c r="G913" s="18" t="s">
        <v>2699</v>
      </c>
      <c r="H913" s="16">
        <v>15</v>
      </c>
      <c r="I913" s="16">
        <v>3946.23</v>
      </c>
      <c r="J913" s="16">
        <v>59193.45</v>
      </c>
    </row>
    <row r="914" spans="1:10" ht="15" thickBot="1">
      <c r="A914" s="63">
        <v>45145</v>
      </c>
      <c r="B914" s="18" t="s">
        <v>2684</v>
      </c>
      <c r="C914" s="18" t="s">
        <v>2656</v>
      </c>
      <c r="D914" s="18" t="s">
        <v>2648</v>
      </c>
      <c r="E914" s="18" t="s">
        <v>2641</v>
      </c>
      <c r="F914" s="18" t="s">
        <v>2372</v>
      </c>
      <c r="G914" s="18" t="s">
        <v>2693</v>
      </c>
      <c r="H914" s="16">
        <v>12</v>
      </c>
      <c r="I914" s="16">
        <v>1804.27</v>
      </c>
      <c r="J914" s="16">
        <v>21651.24</v>
      </c>
    </row>
    <row r="915" spans="1:10" ht="15" thickBot="1">
      <c r="A915" s="16" t="s">
        <v>2557</v>
      </c>
      <c r="B915" s="18" t="s">
        <v>2682</v>
      </c>
      <c r="C915" s="18" t="s">
        <v>2653</v>
      </c>
      <c r="D915" s="18" t="s">
        <v>2644</v>
      </c>
      <c r="E915" s="18" t="s">
        <v>2641</v>
      </c>
      <c r="F915" s="18" t="s">
        <v>2370</v>
      </c>
      <c r="G915" s="18" t="s">
        <v>1335</v>
      </c>
      <c r="H915" s="16">
        <v>3</v>
      </c>
      <c r="I915" s="16">
        <v>2055.4499999999998</v>
      </c>
      <c r="J915" s="16">
        <v>6166.35</v>
      </c>
    </row>
    <row r="916" spans="1:10" ht="15" thickBot="1">
      <c r="A916" s="63">
        <v>45056</v>
      </c>
      <c r="B916" s="18" t="s">
        <v>2682</v>
      </c>
      <c r="C916" s="18" t="s">
        <v>2652</v>
      </c>
      <c r="D916" s="18" t="s">
        <v>2647</v>
      </c>
      <c r="E916" s="18" t="s">
        <v>2643</v>
      </c>
      <c r="F916" s="18" t="s">
        <v>2373</v>
      </c>
      <c r="G916" s="18" t="s">
        <v>2697</v>
      </c>
      <c r="H916" s="16">
        <v>5</v>
      </c>
      <c r="I916" s="16">
        <v>1568.68</v>
      </c>
      <c r="J916" s="16">
        <v>7843.4</v>
      </c>
    </row>
    <row r="917" spans="1:10" ht="15" thickBot="1">
      <c r="A917" s="16" t="s">
        <v>2536</v>
      </c>
      <c r="B917" s="18" t="s">
        <v>2683</v>
      </c>
      <c r="C917" s="18" t="s">
        <v>2649</v>
      </c>
      <c r="D917" s="18" t="s">
        <v>2645</v>
      </c>
      <c r="E917" s="18" t="s">
        <v>2642</v>
      </c>
      <c r="F917" s="18" t="s">
        <v>2373</v>
      </c>
      <c r="G917" s="18" t="s">
        <v>2703</v>
      </c>
      <c r="H917" s="16">
        <v>16</v>
      </c>
      <c r="I917" s="16">
        <v>2288.6799999999998</v>
      </c>
      <c r="J917" s="16">
        <v>36618.879999999997</v>
      </c>
    </row>
    <row r="918" spans="1:10" ht="15" thickBot="1">
      <c r="A918" s="63">
        <v>45113</v>
      </c>
      <c r="B918" s="18" t="s">
        <v>2686</v>
      </c>
      <c r="C918" s="18" t="s">
        <v>2651</v>
      </c>
      <c r="D918" s="18" t="s">
        <v>2646</v>
      </c>
      <c r="E918" s="18" t="s">
        <v>2642</v>
      </c>
      <c r="F918" s="18" t="s">
        <v>2373</v>
      </c>
      <c r="G918" s="18" t="s">
        <v>2705</v>
      </c>
      <c r="H918" s="16">
        <v>12</v>
      </c>
      <c r="I918" s="16">
        <v>2133.0500000000002</v>
      </c>
      <c r="J918" s="16">
        <v>25596.6</v>
      </c>
    </row>
    <row r="919" spans="1:10" ht="15" thickBot="1">
      <c r="A919" s="63">
        <v>45050</v>
      </c>
      <c r="B919" s="18" t="s">
        <v>2686</v>
      </c>
      <c r="C919" s="18" t="s">
        <v>2393</v>
      </c>
      <c r="D919" s="18" t="s">
        <v>2644</v>
      </c>
      <c r="E919" s="18" t="s">
        <v>2641</v>
      </c>
      <c r="F919" s="18" t="s">
        <v>2661</v>
      </c>
      <c r="G919" s="18" t="s">
        <v>2696</v>
      </c>
      <c r="H919" s="16">
        <v>4</v>
      </c>
      <c r="I919" s="16">
        <v>1208.42</v>
      </c>
      <c r="J919" s="16">
        <v>4833.68</v>
      </c>
    </row>
    <row r="920" spans="1:10" ht="15" thickBot="1">
      <c r="A920" s="63">
        <v>45175</v>
      </c>
      <c r="B920" s="18" t="s">
        <v>2686</v>
      </c>
      <c r="C920" s="18" t="s">
        <v>2660</v>
      </c>
      <c r="D920" s="18" t="s">
        <v>2647</v>
      </c>
      <c r="E920" s="18" t="s">
        <v>2643</v>
      </c>
      <c r="F920" s="18" t="s">
        <v>2374</v>
      </c>
      <c r="G920" s="18" t="s">
        <v>2689</v>
      </c>
      <c r="H920" s="16">
        <v>14</v>
      </c>
      <c r="I920" s="16">
        <v>630.45000000000005</v>
      </c>
      <c r="J920" s="16">
        <v>8826.2999999999993</v>
      </c>
    </row>
    <row r="921" spans="1:10" ht="15" thickBot="1">
      <c r="A921" s="16" t="s">
        <v>2615</v>
      </c>
      <c r="B921" s="18" t="s">
        <v>2682</v>
      </c>
      <c r="C921" s="18" t="s">
        <v>2653</v>
      </c>
      <c r="D921" s="18" t="s">
        <v>2644</v>
      </c>
      <c r="E921" s="18" t="s">
        <v>2641</v>
      </c>
      <c r="F921" s="18" t="s">
        <v>2372</v>
      </c>
      <c r="G921" s="18" t="s">
        <v>2690</v>
      </c>
      <c r="H921" s="16">
        <v>14</v>
      </c>
      <c r="I921" s="16">
        <v>2713.47</v>
      </c>
      <c r="J921" s="16">
        <v>37988.58</v>
      </c>
    </row>
    <row r="922" spans="1:10" ht="15" thickBot="1">
      <c r="A922" s="63">
        <v>45173</v>
      </c>
      <c r="B922" s="18" t="s">
        <v>2678</v>
      </c>
      <c r="C922" s="18" t="s">
        <v>2660</v>
      </c>
      <c r="D922" s="18" t="s">
        <v>2647</v>
      </c>
      <c r="E922" s="18" t="s">
        <v>2643</v>
      </c>
      <c r="F922" s="18" t="s">
        <v>2373</v>
      </c>
      <c r="G922" s="18" t="s">
        <v>2705</v>
      </c>
      <c r="H922" s="16">
        <v>7</v>
      </c>
      <c r="I922" s="16">
        <v>3273.61</v>
      </c>
      <c r="J922" s="16">
        <v>22915.27</v>
      </c>
    </row>
    <row r="923" spans="1:10" ht="15" thickBot="1">
      <c r="A923" s="16" t="s">
        <v>2458</v>
      </c>
      <c r="B923" s="18" t="s">
        <v>2682</v>
      </c>
      <c r="C923" s="18" t="s">
        <v>2393</v>
      </c>
      <c r="D923" s="18" t="s">
        <v>2644</v>
      </c>
      <c r="E923" s="18" t="s">
        <v>2641</v>
      </c>
      <c r="F923" s="18" t="s">
        <v>2372</v>
      </c>
      <c r="G923" s="18" t="s">
        <v>2694</v>
      </c>
      <c r="H923" s="16">
        <v>9</v>
      </c>
      <c r="I923" s="16">
        <v>566.91999999999996</v>
      </c>
      <c r="J923" s="16">
        <v>5102.28</v>
      </c>
    </row>
    <row r="924" spans="1:10" ht="15" thickBot="1">
      <c r="A924" s="16" t="s">
        <v>2511</v>
      </c>
      <c r="B924" s="18" t="s">
        <v>2685</v>
      </c>
      <c r="C924" s="18" t="s">
        <v>2649</v>
      </c>
      <c r="D924" s="18" t="s">
        <v>2645</v>
      </c>
      <c r="E924" s="18" t="s">
        <v>2642</v>
      </c>
      <c r="F924" s="18" t="s">
        <v>2370</v>
      </c>
      <c r="G924" s="18" t="s">
        <v>1336</v>
      </c>
      <c r="H924" s="16">
        <v>2</v>
      </c>
      <c r="I924" s="16">
        <v>3830.39</v>
      </c>
      <c r="J924" s="16">
        <v>7660.78</v>
      </c>
    </row>
    <row r="925" spans="1:10" ht="15" thickBot="1">
      <c r="A925" s="16" t="s">
        <v>2437</v>
      </c>
      <c r="B925" s="18" t="s">
        <v>2681</v>
      </c>
      <c r="C925" s="18" t="s">
        <v>2393</v>
      </c>
      <c r="D925" s="18" t="s">
        <v>2644</v>
      </c>
      <c r="E925" s="18" t="s">
        <v>2641</v>
      </c>
      <c r="F925" s="18" t="s">
        <v>2370</v>
      </c>
      <c r="G925" s="18" t="s">
        <v>2701</v>
      </c>
      <c r="H925" s="16">
        <v>7</v>
      </c>
      <c r="I925" s="16">
        <v>4456.5</v>
      </c>
      <c r="J925" s="16">
        <v>31195.5</v>
      </c>
    </row>
    <row r="926" spans="1:10" ht="15" thickBot="1">
      <c r="A926" s="16" t="s">
        <v>2464</v>
      </c>
      <c r="B926" s="18" t="s">
        <v>2678</v>
      </c>
      <c r="C926" s="18" t="s">
        <v>2650</v>
      </c>
      <c r="D926" s="18" t="s">
        <v>2646</v>
      </c>
      <c r="E926" s="18" t="s">
        <v>2642</v>
      </c>
      <c r="F926" s="18" t="s">
        <v>2374</v>
      </c>
      <c r="G926" s="18" t="s">
        <v>2700</v>
      </c>
      <c r="H926" s="16">
        <v>15</v>
      </c>
      <c r="I926" s="16">
        <v>202.66</v>
      </c>
      <c r="J926" s="16">
        <v>3039.9</v>
      </c>
    </row>
    <row r="927" spans="1:10" ht="15" thickBot="1">
      <c r="A927" s="16" t="s">
        <v>2552</v>
      </c>
      <c r="B927" s="18" t="s">
        <v>2685</v>
      </c>
      <c r="C927" s="18" t="s">
        <v>2653</v>
      </c>
      <c r="D927" s="18" t="s">
        <v>2644</v>
      </c>
      <c r="E927" s="18" t="s">
        <v>2641</v>
      </c>
      <c r="F927" s="18" t="s">
        <v>2372</v>
      </c>
      <c r="G927" s="18" t="s">
        <v>2693</v>
      </c>
      <c r="H927" s="16">
        <v>10</v>
      </c>
      <c r="I927" s="16">
        <v>1018.19</v>
      </c>
      <c r="J927" s="16">
        <v>10181.9</v>
      </c>
    </row>
    <row r="928" spans="1:10" ht="15" thickBot="1">
      <c r="A928" s="63">
        <v>45050</v>
      </c>
      <c r="B928" s="18" t="s">
        <v>2678</v>
      </c>
      <c r="C928" s="18" t="s">
        <v>2656</v>
      </c>
      <c r="D928" s="18" t="s">
        <v>2648</v>
      </c>
      <c r="E928" s="18" t="s">
        <v>2641</v>
      </c>
      <c r="F928" s="18" t="s">
        <v>2372</v>
      </c>
      <c r="G928" s="18" t="s">
        <v>2693</v>
      </c>
      <c r="H928" s="16">
        <v>4</v>
      </c>
      <c r="I928" s="16">
        <v>3300.36</v>
      </c>
      <c r="J928" s="16">
        <v>13201.44</v>
      </c>
    </row>
    <row r="929" spans="1:10" ht="15" thickBot="1">
      <c r="A929" s="16" t="s">
        <v>2516</v>
      </c>
      <c r="B929" s="18" t="s">
        <v>2679</v>
      </c>
      <c r="C929" s="18" t="s">
        <v>2652</v>
      </c>
      <c r="D929" s="18" t="s">
        <v>2647</v>
      </c>
      <c r="E929" s="18" t="s">
        <v>2643</v>
      </c>
      <c r="F929" s="18" t="s">
        <v>2372</v>
      </c>
      <c r="G929" s="18" t="s">
        <v>2693</v>
      </c>
      <c r="H929" s="16">
        <v>12</v>
      </c>
      <c r="I929" s="16">
        <v>957.01</v>
      </c>
      <c r="J929" s="16">
        <v>11484.12</v>
      </c>
    </row>
    <row r="930" spans="1:10" ht="15" thickBot="1">
      <c r="A930" s="16" t="s">
        <v>2487</v>
      </c>
      <c r="B930" s="18" t="s">
        <v>2679</v>
      </c>
      <c r="C930" s="18" t="s">
        <v>2650</v>
      </c>
      <c r="D930" s="18" t="s">
        <v>2646</v>
      </c>
      <c r="E930" s="18" t="s">
        <v>2642</v>
      </c>
      <c r="F930" s="18" t="s">
        <v>2661</v>
      </c>
      <c r="G930" s="18" t="s">
        <v>2695</v>
      </c>
      <c r="H930" s="16">
        <v>19</v>
      </c>
      <c r="I930" s="16">
        <v>1933.19</v>
      </c>
      <c r="J930" s="16">
        <v>36730.61</v>
      </c>
    </row>
    <row r="931" spans="1:10" ht="15" thickBot="1">
      <c r="A931" s="16" t="s">
        <v>2447</v>
      </c>
      <c r="B931" s="18" t="s">
        <v>2680</v>
      </c>
      <c r="C931" s="18" t="s">
        <v>2660</v>
      </c>
      <c r="D931" s="18" t="s">
        <v>2647</v>
      </c>
      <c r="E931" s="18" t="s">
        <v>2643</v>
      </c>
      <c r="F931" s="18" t="s">
        <v>2373</v>
      </c>
      <c r="G931" s="18" t="s">
        <v>2705</v>
      </c>
      <c r="H931" s="16">
        <v>15</v>
      </c>
      <c r="I931" s="16">
        <v>834.13</v>
      </c>
      <c r="J931" s="16">
        <v>12511.95</v>
      </c>
    </row>
    <row r="932" spans="1:10" ht="15" thickBot="1">
      <c r="A932" s="16" t="s">
        <v>2446</v>
      </c>
      <c r="B932" s="18" t="s">
        <v>2683</v>
      </c>
      <c r="C932" s="18" t="s">
        <v>2649</v>
      </c>
      <c r="D932" s="18" t="s">
        <v>2645</v>
      </c>
      <c r="E932" s="18" t="s">
        <v>2642</v>
      </c>
      <c r="F932" s="18" t="s">
        <v>2374</v>
      </c>
      <c r="G932" s="18" t="s">
        <v>2700</v>
      </c>
      <c r="H932" s="16">
        <v>18</v>
      </c>
      <c r="I932" s="16">
        <v>2535.8200000000002</v>
      </c>
      <c r="J932" s="16">
        <v>45644.76</v>
      </c>
    </row>
    <row r="933" spans="1:10" ht="15" thickBot="1">
      <c r="A933" s="63">
        <v>45202</v>
      </c>
      <c r="B933" s="18" t="s">
        <v>2679</v>
      </c>
      <c r="C933" s="18" t="s">
        <v>2650</v>
      </c>
      <c r="D933" s="18" t="s">
        <v>2646</v>
      </c>
      <c r="E933" s="18" t="s">
        <v>2642</v>
      </c>
      <c r="F933" s="18" t="s">
        <v>2661</v>
      </c>
      <c r="G933" s="18" t="s">
        <v>2698</v>
      </c>
      <c r="H933" s="16">
        <v>18</v>
      </c>
      <c r="I933" s="16">
        <v>2299.9299999999998</v>
      </c>
      <c r="J933" s="16">
        <v>41398.74</v>
      </c>
    </row>
    <row r="934" spans="1:10" ht="15" thickBot="1">
      <c r="A934" s="16" t="s">
        <v>2499</v>
      </c>
      <c r="B934" s="18" t="s">
        <v>2683</v>
      </c>
      <c r="C934" s="18" t="s">
        <v>2656</v>
      </c>
      <c r="D934" s="18" t="s">
        <v>2648</v>
      </c>
      <c r="E934" s="18" t="s">
        <v>2641</v>
      </c>
      <c r="F934" s="18" t="s">
        <v>2373</v>
      </c>
      <c r="G934" s="18" t="s">
        <v>2697</v>
      </c>
      <c r="H934" s="16">
        <v>5</v>
      </c>
      <c r="I934" s="16">
        <v>606.49</v>
      </c>
      <c r="J934" s="16">
        <v>3032.45</v>
      </c>
    </row>
    <row r="935" spans="1:10" ht="15" thickBot="1">
      <c r="A935" s="16" t="s">
        <v>2469</v>
      </c>
      <c r="B935" s="18" t="s">
        <v>2682</v>
      </c>
      <c r="C935" s="18" t="s">
        <v>2655</v>
      </c>
      <c r="D935" s="18" t="s">
        <v>2645</v>
      </c>
      <c r="E935" s="18" t="s">
        <v>2642</v>
      </c>
      <c r="F935" s="18" t="s">
        <v>2374</v>
      </c>
      <c r="G935" s="18" t="s">
        <v>2692</v>
      </c>
      <c r="H935" s="16">
        <v>6</v>
      </c>
      <c r="I935" s="16">
        <v>1919.03</v>
      </c>
      <c r="J935" s="16">
        <v>11514.18</v>
      </c>
    </row>
    <row r="936" spans="1:10" ht="15" thickBot="1">
      <c r="A936" s="63">
        <v>44963</v>
      </c>
      <c r="B936" s="18" t="s">
        <v>2678</v>
      </c>
      <c r="C936" s="18" t="s">
        <v>2655</v>
      </c>
      <c r="D936" s="18" t="s">
        <v>2645</v>
      </c>
      <c r="E936" s="18" t="s">
        <v>2642</v>
      </c>
      <c r="F936" s="18" t="s">
        <v>2374</v>
      </c>
      <c r="G936" s="18" t="s">
        <v>2700</v>
      </c>
      <c r="H936" s="16">
        <v>9</v>
      </c>
      <c r="I936" s="16">
        <v>662.41</v>
      </c>
      <c r="J936" s="16">
        <v>5961.69</v>
      </c>
    </row>
    <row r="937" spans="1:10" ht="15" thickBot="1">
      <c r="A937" s="63">
        <v>45170</v>
      </c>
      <c r="B937" s="18" t="s">
        <v>2687</v>
      </c>
      <c r="C937" s="18" t="s">
        <v>2651</v>
      </c>
      <c r="D937" s="18" t="s">
        <v>2646</v>
      </c>
      <c r="E937" s="18" t="s">
        <v>2642</v>
      </c>
      <c r="F937" s="18" t="s">
        <v>2374</v>
      </c>
      <c r="G937" s="18" t="s">
        <v>2704</v>
      </c>
      <c r="H937" s="16">
        <v>18</v>
      </c>
      <c r="I937" s="16">
        <v>970.52</v>
      </c>
      <c r="J937" s="16">
        <v>17469.36</v>
      </c>
    </row>
    <row r="938" spans="1:10" ht="15" thickBot="1">
      <c r="A938" s="63">
        <v>45056</v>
      </c>
      <c r="B938" s="18" t="s">
        <v>2686</v>
      </c>
      <c r="C938" s="18" t="s">
        <v>2652</v>
      </c>
      <c r="D938" s="18" t="s">
        <v>2647</v>
      </c>
      <c r="E938" s="18" t="s">
        <v>2643</v>
      </c>
      <c r="F938" s="18" t="s">
        <v>2370</v>
      </c>
      <c r="G938" s="18" t="s">
        <v>2701</v>
      </c>
      <c r="H938" s="16">
        <v>2</v>
      </c>
      <c r="I938" s="16">
        <v>4112.53</v>
      </c>
      <c r="J938" s="16">
        <v>8225.06</v>
      </c>
    </row>
    <row r="939" spans="1:10" ht="15" thickBot="1">
      <c r="A939" s="63">
        <v>45021</v>
      </c>
      <c r="B939" s="18" t="s">
        <v>2683</v>
      </c>
      <c r="C939" s="18" t="s">
        <v>2649</v>
      </c>
      <c r="D939" s="18" t="s">
        <v>2645</v>
      </c>
      <c r="E939" s="18" t="s">
        <v>2642</v>
      </c>
      <c r="F939" s="18" t="s">
        <v>2370</v>
      </c>
      <c r="G939" s="18" t="s">
        <v>2701</v>
      </c>
      <c r="H939" s="16">
        <v>4</v>
      </c>
      <c r="I939" s="16">
        <v>4968.93</v>
      </c>
      <c r="J939" s="16">
        <v>19875.72</v>
      </c>
    </row>
    <row r="940" spans="1:10" ht="15" thickBot="1">
      <c r="A940" s="16" t="s">
        <v>2639</v>
      </c>
      <c r="B940" s="18" t="s">
        <v>2684</v>
      </c>
      <c r="C940" s="18" t="s">
        <v>2658</v>
      </c>
      <c r="D940" s="18" t="s">
        <v>2645</v>
      </c>
      <c r="E940" s="18" t="s">
        <v>2642</v>
      </c>
      <c r="F940" s="18" t="s">
        <v>2372</v>
      </c>
      <c r="G940" s="18" t="s">
        <v>2694</v>
      </c>
      <c r="H940" s="16">
        <v>2</v>
      </c>
      <c r="I940" s="16">
        <v>339.56</v>
      </c>
      <c r="J940" s="16">
        <v>679.12</v>
      </c>
    </row>
    <row r="941" spans="1:10" ht="15" thickBot="1">
      <c r="A941" s="16" t="s">
        <v>2463</v>
      </c>
      <c r="B941" s="18" t="s">
        <v>2679</v>
      </c>
      <c r="C941" s="18" t="s">
        <v>2649</v>
      </c>
      <c r="D941" s="18" t="s">
        <v>2645</v>
      </c>
      <c r="E941" s="18" t="s">
        <v>2642</v>
      </c>
      <c r="F941" s="18" t="s">
        <v>2374</v>
      </c>
      <c r="G941" s="18" t="s">
        <v>2689</v>
      </c>
      <c r="H941" s="16">
        <v>3</v>
      </c>
      <c r="I941" s="16">
        <v>3853.05</v>
      </c>
      <c r="J941" s="16">
        <v>11559.15</v>
      </c>
    </row>
    <row r="942" spans="1:10" ht="15" thickBot="1">
      <c r="A942" s="16" t="s">
        <v>2470</v>
      </c>
      <c r="B942" s="18" t="s">
        <v>2680</v>
      </c>
      <c r="C942" s="18" t="s">
        <v>2660</v>
      </c>
      <c r="D942" s="18" t="s">
        <v>2647</v>
      </c>
      <c r="E942" s="18" t="s">
        <v>2643</v>
      </c>
      <c r="F942" s="18" t="s">
        <v>2372</v>
      </c>
      <c r="G942" s="18" t="s">
        <v>2690</v>
      </c>
      <c r="H942" s="16">
        <v>11</v>
      </c>
      <c r="I942" s="16">
        <v>2212.9</v>
      </c>
      <c r="J942" s="16">
        <v>24341.9</v>
      </c>
    </row>
    <row r="943" spans="1:10" ht="15" thickBot="1">
      <c r="A943" s="63">
        <v>45113</v>
      </c>
      <c r="B943" s="18" t="s">
        <v>2685</v>
      </c>
      <c r="C943" s="18" t="s">
        <v>2650</v>
      </c>
      <c r="D943" s="18" t="s">
        <v>2646</v>
      </c>
      <c r="E943" s="18" t="s">
        <v>2642</v>
      </c>
      <c r="F943" s="18" t="s">
        <v>2374</v>
      </c>
      <c r="G943" s="18" t="s">
        <v>2704</v>
      </c>
      <c r="H943" s="16">
        <v>18</v>
      </c>
      <c r="I943" s="16">
        <v>509.79</v>
      </c>
      <c r="J943" s="16">
        <v>9176.2199999999993</v>
      </c>
    </row>
    <row r="944" spans="1:10" ht="15" thickBot="1">
      <c r="A944" s="63">
        <v>45052</v>
      </c>
      <c r="B944" s="18" t="s">
        <v>2687</v>
      </c>
      <c r="C944" s="18" t="s">
        <v>2658</v>
      </c>
      <c r="D944" s="18" t="s">
        <v>2645</v>
      </c>
      <c r="E944" s="18" t="s">
        <v>2642</v>
      </c>
      <c r="F944" s="18" t="s">
        <v>2373</v>
      </c>
      <c r="G944" s="18" t="s">
        <v>2697</v>
      </c>
      <c r="H944" s="16">
        <v>16</v>
      </c>
      <c r="I944" s="16">
        <v>2724.77</v>
      </c>
      <c r="J944" s="16">
        <v>43596.32</v>
      </c>
    </row>
    <row r="945" spans="1:10" ht="15" thickBot="1">
      <c r="A945" s="16" t="s">
        <v>2594</v>
      </c>
      <c r="B945" s="18" t="s">
        <v>2686</v>
      </c>
      <c r="C945" s="18" t="s">
        <v>2653</v>
      </c>
      <c r="D945" s="18" t="s">
        <v>2644</v>
      </c>
      <c r="E945" s="18" t="s">
        <v>2641</v>
      </c>
      <c r="F945" s="18" t="s">
        <v>2372</v>
      </c>
      <c r="G945" s="18" t="s">
        <v>2693</v>
      </c>
      <c r="H945" s="16">
        <v>18</v>
      </c>
      <c r="I945" s="16">
        <v>4718.22</v>
      </c>
      <c r="J945" s="16">
        <v>84927.96</v>
      </c>
    </row>
    <row r="946" spans="1:10" ht="15" thickBot="1">
      <c r="A946" s="16" t="s">
        <v>2549</v>
      </c>
      <c r="B946" s="18" t="s">
        <v>2686</v>
      </c>
      <c r="C946" s="18" t="s">
        <v>2651</v>
      </c>
      <c r="D946" s="18" t="s">
        <v>2646</v>
      </c>
      <c r="E946" s="18" t="s">
        <v>2642</v>
      </c>
      <c r="F946" s="18" t="s">
        <v>2370</v>
      </c>
      <c r="G946" s="18" t="s">
        <v>2702</v>
      </c>
      <c r="H946" s="16">
        <v>9</v>
      </c>
      <c r="I946" s="16">
        <v>4811.76</v>
      </c>
      <c r="J946" s="16">
        <v>43305.84</v>
      </c>
    </row>
    <row r="947" spans="1:10" ht="15" thickBot="1">
      <c r="A947" s="63">
        <v>45108</v>
      </c>
      <c r="B947" s="18" t="s">
        <v>2678</v>
      </c>
      <c r="C947" s="18" t="s">
        <v>2650</v>
      </c>
      <c r="D947" s="18" t="s">
        <v>2646</v>
      </c>
      <c r="E947" s="18" t="s">
        <v>2642</v>
      </c>
      <c r="F947" s="18" t="s">
        <v>2373</v>
      </c>
      <c r="G947" s="18" t="s">
        <v>2705</v>
      </c>
      <c r="H947" s="16">
        <v>8</v>
      </c>
      <c r="I947" s="16">
        <v>4021.86</v>
      </c>
      <c r="J947" s="16">
        <v>32174.880000000001</v>
      </c>
    </row>
    <row r="948" spans="1:10" ht="15" thickBot="1">
      <c r="A948" s="16" t="s">
        <v>2489</v>
      </c>
      <c r="B948" s="18" t="s">
        <v>2687</v>
      </c>
      <c r="C948" s="18" t="s">
        <v>2649</v>
      </c>
      <c r="D948" s="18" t="s">
        <v>2645</v>
      </c>
      <c r="E948" s="18" t="s">
        <v>2642</v>
      </c>
      <c r="F948" s="18" t="s">
        <v>2373</v>
      </c>
      <c r="G948" s="18" t="s">
        <v>2697</v>
      </c>
      <c r="H948" s="16">
        <v>16</v>
      </c>
      <c r="I948" s="16">
        <v>4008.72</v>
      </c>
      <c r="J948" s="16">
        <v>64139.519999999997</v>
      </c>
    </row>
    <row r="949" spans="1:10" ht="15" thickBot="1">
      <c r="A949" s="16" t="s">
        <v>2673</v>
      </c>
      <c r="B949" s="18" t="s">
        <v>2678</v>
      </c>
      <c r="C949" s="18" t="s">
        <v>2396</v>
      </c>
      <c r="D949" s="18" t="s">
        <v>2648</v>
      </c>
      <c r="E949" s="18" t="s">
        <v>2641</v>
      </c>
      <c r="F949" s="18" t="s">
        <v>2373</v>
      </c>
      <c r="G949" s="18" t="s">
        <v>2705</v>
      </c>
      <c r="H949" s="16">
        <v>14</v>
      </c>
      <c r="I949" s="16">
        <v>4793.38</v>
      </c>
      <c r="J949" s="16">
        <v>67107.320000000007</v>
      </c>
    </row>
    <row r="950" spans="1:10" ht="15" thickBot="1">
      <c r="A950" s="16" t="s">
        <v>2638</v>
      </c>
      <c r="B950" s="18" t="s">
        <v>2683</v>
      </c>
      <c r="C950" s="18" t="s">
        <v>2659</v>
      </c>
      <c r="D950" s="18" t="s">
        <v>2647</v>
      </c>
      <c r="E950" s="18" t="s">
        <v>2643</v>
      </c>
      <c r="F950" s="18" t="s">
        <v>2373</v>
      </c>
      <c r="G950" s="18" t="s">
        <v>2703</v>
      </c>
      <c r="H950" s="16">
        <v>14</v>
      </c>
      <c r="I950" s="16">
        <v>4816.3900000000003</v>
      </c>
      <c r="J950" s="16">
        <v>67429.460000000006</v>
      </c>
    </row>
    <row r="951" spans="1:10" ht="15" thickBot="1">
      <c r="A951" s="16" t="s">
        <v>2608</v>
      </c>
      <c r="B951" s="18" t="s">
        <v>2682</v>
      </c>
      <c r="C951" s="18" t="s">
        <v>2657</v>
      </c>
      <c r="D951" s="18" t="s">
        <v>2648</v>
      </c>
      <c r="E951" s="18" t="s">
        <v>2641</v>
      </c>
      <c r="F951" s="18" t="s">
        <v>2373</v>
      </c>
      <c r="G951" s="18" t="s">
        <v>2688</v>
      </c>
      <c r="H951" s="16">
        <v>6</v>
      </c>
      <c r="I951" s="16">
        <v>4072.51</v>
      </c>
      <c r="J951" s="16">
        <v>24435.06</v>
      </c>
    </row>
    <row r="952" spans="1:10" ht="15" thickBot="1">
      <c r="A952" s="63">
        <v>45263</v>
      </c>
      <c r="B952" s="18" t="s">
        <v>2684</v>
      </c>
      <c r="C952" s="18" t="s">
        <v>2392</v>
      </c>
      <c r="D952" s="18" t="s">
        <v>2644</v>
      </c>
      <c r="E952" s="18" t="s">
        <v>2641</v>
      </c>
      <c r="F952" s="18" t="s">
        <v>2661</v>
      </c>
      <c r="G952" s="18" t="s">
        <v>2698</v>
      </c>
      <c r="H952" s="16">
        <v>2</v>
      </c>
      <c r="I952" s="16">
        <v>1269.81</v>
      </c>
      <c r="J952" s="16">
        <v>2539.62</v>
      </c>
    </row>
    <row r="953" spans="1:10" ht="15" thickBot="1">
      <c r="A953" s="16" t="s">
        <v>2615</v>
      </c>
      <c r="B953" s="18" t="s">
        <v>2685</v>
      </c>
      <c r="C953" s="18" t="s">
        <v>2657</v>
      </c>
      <c r="D953" s="18" t="s">
        <v>2648</v>
      </c>
      <c r="E953" s="18" t="s">
        <v>2641</v>
      </c>
      <c r="F953" s="18" t="s">
        <v>2661</v>
      </c>
      <c r="G953" s="18" t="s">
        <v>2696</v>
      </c>
      <c r="H953" s="16">
        <v>13</v>
      </c>
      <c r="I953" s="16">
        <v>3071.93</v>
      </c>
      <c r="J953" s="16">
        <v>39935.089999999997</v>
      </c>
    </row>
    <row r="954" spans="1:10" ht="15" thickBot="1">
      <c r="A954" s="16" t="s">
        <v>2507</v>
      </c>
      <c r="B954" s="18" t="s">
        <v>2681</v>
      </c>
      <c r="C954" s="18" t="s">
        <v>2656</v>
      </c>
      <c r="D954" s="18" t="s">
        <v>2648</v>
      </c>
      <c r="E954" s="18" t="s">
        <v>2641</v>
      </c>
      <c r="F954" s="18" t="s">
        <v>2372</v>
      </c>
      <c r="G954" s="18" t="s">
        <v>2690</v>
      </c>
      <c r="H954" s="16">
        <v>5</v>
      </c>
      <c r="I954" s="16">
        <v>4686.67</v>
      </c>
      <c r="J954" s="16">
        <v>23433.35</v>
      </c>
    </row>
    <row r="955" spans="1:10" ht="15" thickBot="1">
      <c r="A955" s="16" t="s">
        <v>2550</v>
      </c>
      <c r="B955" s="18" t="s">
        <v>2687</v>
      </c>
      <c r="C955" s="18" t="s">
        <v>2653</v>
      </c>
      <c r="D955" s="18" t="s">
        <v>2644</v>
      </c>
      <c r="E955" s="18" t="s">
        <v>2641</v>
      </c>
      <c r="F955" s="18" t="s">
        <v>2373</v>
      </c>
      <c r="G955" s="18" t="s">
        <v>2703</v>
      </c>
      <c r="H955" s="16">
        <v>5</v>
      </c>
      <c r="I955" s="16">
        <v>4504.17</v>
      </c>
      <c r="J955" s="16">
        <v>22520.85</v>
      </c>
    </row>
    <row r="956" spans="1:10" ht="15" thickBot="1">
      <c r="A956" s="16" t="s">
        <v>2631</v>
      </c>
      <c r="B956" s="18" t="s">
        <v>2678</v>
      </c>
      <c r="C956" s="18" t="s">
        <v>2658</v>
      </c>
      <c r="D956" s="18" t="s">
        <v>2645</v>
      </c>
      <c r="E956" s="18" t="s">
        <v>2642</v>
      </c>
      <c r="F956" s="18" t="s">
        <v>2373</v>
      </c>
      <c r="G956" s="18" t="s">
        <v>2688</v>
      </c>
      <c r="H956" s="16">
        <v>3</v>
      </c>
      <c r="I956" s="16">
        <v>559.70000000000005</v>
      </c>
      <c r="J956" s="16">
        <v>1679.1</v>
      </c>
    </row>
    <row r="957" spans="1:10" ht="15" thickBot="1">
      <c r="A957" s="16" t="s">
        <v>2450</v>
      </c>
      <c r="B957" s="18" t="s">
        <v>2680</v>
      </c>
      <c r="C957" s="18" t="s">
        <v>2649</v>
      </c>
      <c r="D957" s="18" t="s">
        <v>2645</v>
      </c>
      <c r="E957" s="18" t="s">
        <v>2642</v>
      </c>
      <c r="F957" s="18" t="s">
        <v>2661</v>
      </c>
      <c r="G957" s="18" t="s">
        <v>2695</v>
      </c>
      <c r="H957" s="16">
        <v>17</v>
      </c>
      <c r="I957" s="16">
        <v>1975.71</v>
      </c>
      <c r="J957" s="16">
        <v>33587.07</v>
      </c>
    </row>
    <row r="958" spans="1:10" ht="15" thickBot="1">
      <c r="A958" s="63">
        <v>45180</v>
      </c>
      <c r="B958" s="18" t="s">
        <v>2681</v>
      </c>
      <c r="C958" s="18" t="s">
        <v>2659</v>
      </c>
      <c r="D958" s="18" t="s">
        <v>2647</v>
      </c>
      <c r="E958" s="18" t="s">
        <v>2643</v>
      </c>
      <c r="F958" s="18" t="s">
        <v>2373</v>
      </c>
      <c r="G958" s="18" t="s">
        <v>2688</v>
      </c>
      <c r="H958" s="16">
        <v>8</v>
      </c>
      <c r="I958" s="16">
        <v>4175.5600000000004</v>
      </c>
      <c r="J958" s="16">
        <v>33404.480000000003</v>
      </c>
    </row>
    <row r="959" spans="1:10" ht="15" thickBot="1">
      <c r="A959" s="16" t="s">
        <v>2584</v>
      </c>
      <c r="B959" s="18" t="s">
        <v>2678</v>
      </c>
      <c r="C959" s="18" t="s">
        <v>2649</v>
      </c>
      <c r="D959" s="18" t="s">
        <v>2645</v>
      </c>
      <c r="E959" s="18" t="s">
        <v>2642</v>
      </c>
      <c r="F959" s="18" t="s">
        <v>2370</v>
      </c>
      <c r="G959" s="18" t="s">
        <v>2701</v>
      </c>
      <c r="H959" s="16">
        <v>14</v>
      </c>
      <c r="I959" s="16">
        <v>2535.08</v>
      </c>
      <c r="J959" s="16">
        <v>35491.120000000003</v>
      </c>
    </row>
    <row r="960" spans="1:10" ht="15" thickBot="1">
      <c r="A960" s="63">
        <v>45023</v>
      </c>
      <c r="B960" s="18" t="s">
        <v>2682</v>
      </c>
      <c r="C960" s="18" t="s">
        <v>2650</v>
      </c>
      <c r="D960" s="18" t="s">
        <v>2646</v>
      </c>
      <c r="E960" s="18" t="s">
        <v>2642</v>
      </c>
      <c r="F960" s="18" t="s">
        <v>2370</v>
      </c>
      <c r="G960" s="18" t="s">
        <v>1335</v>
      </c>
      <c r="H960" s="16">
        <v>14</v>
      </c>
      <c r="I960" s="16">
        <v>2161.65</v>
      </c>
      <c r="J960" s="16">
        <v>30263.1</v>
      </c>
    </row>
    <row r="961" spans="1:10" ht="15" thickBot="1">
      <c r="A961" s="63">
        <v>45087</v>
      </c>
      <c r="B961" s="18" t="s">
        <v>2682</v>
      </c>
      <c r="C961" s="18" t="s">
        <v>2659</v>
      </c>
      <c r="D961" s="18" t="s">
        <v>2647</v>
      </c>
      <c r="E961" s="18" t="s">
        <v>2643</v>
      </c>
      <c r="F961" s="18" t="s">
        <v>2370</v>
      </c>
      <c r="G961" s="18" t="s">
        <v>2702</v>
      </c>
      <c r="H961" s="16">
        <v>11</v>
      </c>
      <c r="I961" s="16">
        <v>3424.45</v>
      </c>
      <c r="J961" s="16">
        <v>37668.949999999997</v>
      </c>
    </row>
    <row r="962" spans="1:10" ht="15" thickBot="1">
      <c r="A962" s="16" t="s">
        <v>2524</v>
      </c>
      <c r="B962" s="18" t="s">
        <v>2684</v>
      </c>
      <c r="C962" s="18" t="s">
        <v>2657</v>
      </c>
      <c r="D962" s="18" t="s">
        <v>2648</v>
      </c>
      <c r="E962" s="18" t="s">
        <v>2641</v>
      </c>
      <c r="F962" s="18" t="s">
        <v>2661</v>
      </c>
      <c r="G962" s="18" t="s">
        <v>2691</v>
      </c>
      <c r="H962" s="16">
        <v>10</v>
      </c>
      <c r="I962" s="16">
        <v>1167.21</v>
      </c>
      <c r="J962" s="16">
        <v>11672.1</v>
      </c>
    </row>
    <row r="963" spans="1:10" ht="15" thickBot="1">
      <c r="A963" s="16" t="s">
        <v>2671</v>
      </c>
      <c r="B963" s="18" t="s">
        <v>2685</v>
      </c>
      <c r="C963" s="18" t="s">
        <v>2657</v>
      </c>
      <c r="D963" s="18" t="s">
        <v>2648</v>
      </c>
      <c r="E963" s="18" t="s">
        <v>2641</v>
      </c>
      <c r="F963" s="18" t="s">
        <v>2374</v>
      </c>
      <c r="G963" s="18" t="s">
        <v>2689</v>
      </c>
      <c r="H963" s="16">
        <v>7</v>
      </c>
      <c r="I963" s="16">
        <v>500.63</v>
      </c>
      <c r="J963" s="16">
        <v>3504.41</v>
      </c>
    </row>
    <row r="964" spans="1:10" ht="15" thickBot="1">
      <c r="A964" s="63">
        <v>45027</v>
      </c>
      <c r="B964" s="18" t="s">
        <v>2683</v>
      </c>
      <c r="C964" s="18" t="s">
        <v>2660</v>
      </c>
      <c r="D964" s="18" t="s">
        <v>2647</v>
      </c>
      <c r="E964" s="18" t="s">
        <v>2643</v>
      </c>
      <c r="F964" s="18" t="s">
        <v>2373</v>
      </c>
      <c r="G964" s="18" t="s">
        <v>2705</v>
      </c>
      <c r="H964" s="16">
        <v>10</v>
      </c>
      <c r="I964" s="16">
        <v>1050.8399999999999</v>
      </c>
      <c r="J964" s="16">
        <v>10508.4</v>
      </c>
    </row>
    <row r="965" spans="1:10" ht="15" thickBot="1">
      <c r="A965" s="16" t="s">
        <v>2596</v>
      </c>
      <c r="B965" s="18" t="s">
        <v>2687</v>
      </c>
      <c r="C965" s="18" t="s">
        <v>2655</v>
      </c>
      <c r="D965" s="18" t="s">
        <v>2645</v>
      </c>
      <c r="E965" s="18" t="s">
        <v>2642</v>
      </c>
      <c r="F965" s="18" t="s">
        <v>2373</v>
      </c>
      <c r="G965" s="18" t="s">
        <v>2703</v>
      </c>
      <c r="H965" s="16">
        <v>14</v>
      </c>
      <c r="I965" s="16">
        <v>3726.3</v>
      </c>
      <c r="J965" s="16">
        <v>52168.2</v>
      </c>
    </row>
    <row r="966" spans="1:10" ht="15" thickBot="1">
      <c r="A966" s="16" t="s">
        <v>2499</v>
      </c>
      <c r="B966" s="18" t="s">
        <v>2681</v>
      </c>
      <c r="C966" s="18" t="s">
        <v>2650</v>
      </c>
      <c r="D966" s="18" t="s">
        <v>2646</v>
      </c>
      <c r="E966" s="18" t="s">
        <v>2642</v>
      </c>
      <c r="F966" s="18" t="s">
        <v>2372</v>
      </c>
      <c r="G966" s="18" t="s">
        <v>2693</v>
      </c>
      <c r="H966" s="16">
        <v>10</v>
      </c>
      <c r="I966" s="16">
        <v>651.83000000000004</v>
      </c>
      <c r="J966" s="16">
        <v>6518.3</v>
      </c>
    </row>
    <row r="967" spans="1:10" ht="15" thickBot="1">
      <c r="A967" s="16" t="s">
        <v>2566</v>
      </c>
      <c r="B967" s="18" t="s">
        <v>2684</v>
      </c>
      <c r="C967" s="18" t="s">
        <v>2393</v>
      </c>
      <c r="D967" s="18" t="s">
        <v>2644</v>
      </c>
      <c r="E967" s="18" t="s">
        <v>2641</v>
      </c>
      <c r="F967" s="18" t="s">
        <v>2373</v>
      </c>
      <c r="G967" s="18" t="s">
        <v>2705</v>
      </c>
      <c r="H967" s="16">
        <v>4</v>
      </c>
      <c r="I967" s="16">
        <v>1077.23</v>
      </c>
      <c r="J967" s="16">
        <v>4308.92</v>
      </c>
    </row>
    <row r="968" spans="1:10" ht="15" thickBot="1">
      <c r="A968" s="16" t="s">
        <v>2570</v>
      </c>
      <c r="B968" s="18" t="s">
        <v>2687</v>
      </c>
      <c r="C968" s="18" t="s">
        <v>2660</v>
      </c>
      <c r="D968" s="18" t="s">
        <v>2647</v>
      </c>
      <c r="E968" s="18" t="s">
        <v>2643</v>
      </c>
      <c r="F968" s="18" t="s">
        <v>2370</v>
      </c>
      <c r="G968" s="18" t="s">
        <v>1336</v>
      </c>
      <c r="H968" s="16">
        <v>15</v>
      </c>
      <c r="I968" s="16">
        <v>4554.78</v>
      </c>
      <c r="J968" s="16">
        <v>68321.7</v>
      </c>
    </row>
    <row r="969" spans="1:10" ht="15" thickBot="1">
      <c r="A969" s="16" t="s">
        <v>2621</v>
      </c>
      <c r="B969" s="18" t="s">
        <v>2682</v>
      </c>
      <c r="C969" s="18" t="s">
        <v>2396</v>
      </c>
      <c r="D969" s="18" t="s">
        <v>2648</v>
      </c>
      <c r="E969" s="18" t="s">
        <v>2641</v>
      </c>
      <c r="F969" s="18" t="s">
        <v>2374</v>
      </c>
      <c r="G969" s="18" t="s">
        <v>2700</v>
      </c>
      <c r="H969" s="16">
        <v>19</v>
      </c>
      <c r="I969" s="16">
        <v>1003.13</v>
      </c>
      <c r="J969" s="16">
        <v>19059.47</v>
      </c>
    </row>
    <row r="970" spans="1:10" ht="15" thickBot="1">
      <c r="A970" s="16" t="s">
        <v>2572</v>
      </c>
      <c r="B970" s="18" t="s">
        <v>2678</v>
      </c>
      <c r="C970" s="18" t="s">
        <v>2655</v>
      </c>
      <c r="D970" s="18" t="s">
        <v>2645</v>
      </c>
      <c r="E970" s="18" t="s">
        <v>2642</v>
      </c>
      <c r="F970" s="18" t="s">
        <v>2661</v>
      </c>
      <c r="G970" s="18" t="s">
        <v>2695</v>
      </c>
      <c r="H970" s="16">
        <v>7</v>
      </c>
      <c r="I970" s="16">
        <v>3168.77</v>
      </c>
      <c r="J970" s="16">
        <v>22181.39</v>
      </c>
    </row>
    <row r="971" spans="1:10" ht="15" thickBot="1">
      <c r="A971" s="16" t="s">
        <v>2449</v>
      </c>
      <c r="B971" s="18" t="s">
        <v>2682</v>
      </c>
      <c r="C971" s="18" t="s">
        <v>2660</v>
      </c>
      <c r="D971" s="18" t="s">
        <v>2647</v>
      </c>
      <c r="E971" s="18" t="s">
        <v>2643</v>
      </c>
      <c r="F971" s="18" t="s">
        <v>2374</v>
      </c>
      <c r="G971" s="18" t="s">
        <v>2692</v>
      </c>
      <c r="H971" s="16">
        <v>19</v>
      </c>
      <c r="I971" s="16">
        <v>4528.95</v>
      </c>
      <c r="J971" s="16">
        <v>86050.05</v>
      </c>
    </row>
    <row r="972" spans="1:10" ht="15" thickBot="1">
      <c r="A972" s="16" t="s">
        <v>2567</v>
      </c>
      <c r="B972" s="18" t="s">
        <v>2680</v>
      </c>
      <c r="C972" s="18" t="s">
        <v>2655</v>
      </c>
      <c r="D972" s="18" t="s">
        <v>2645</v>
      </c>
      <c r="E972" s="18" t="s">
        <v>2642</v>
      </c>
      <c r="F972" s="18" t="s">
        <v>2370</v>
      </c>
      <c r="G972" s="18" t="s">
        <v>1336</v>
      </c>
      <c r="H972" s="16">
        <v>5</v>
      </c>
      <c r="I972" s="16">
        <v>2480.84</v>
      </c>
      <c r="J972" s="16">
        <v>12404.2</v>
      </c>
    </row>
    <row r="973" spans="1:10" ht="15" thickBot="1">
      <c r="A973" s="63">
        <v>45051</v>
      </c>
      <c r="B973" s="18" t="s">
        <v>2685</v>
      </c>
      <c r="C973" s="18" t="s">
        <v>2652</v>
      </c>
      <c r="D973" s="18" t="s">
        <v>2647</v>
      </c>
      <c r="E973" s="18" t="s">
        <v>2643</v>
      </c>
      <c r="F973" s="18" t="s">
        <v>2372</v>
      </c>
      <c r="G973" s="18" t="s">
        <v>2699</v>
      </c>
      <c r="H973" s="16">
        <v>11</v>
      </c>
      <c r="I973" s="16">
        <v>4740.79</v>
      </c>
      <c r="J973" s="16">
        <v>52148.69</v>
      </c>
    </row>
    <row r="974" spans="1:10" ht="15" thickBot="1">
      <c r="A974" s="16" t="s">
        <v>2485</v>
      </c>
      <c r="B974" s="18" t="s">
        <v>2683</v>
      </c>
      <c r="C974" s="18" t="s">
        <v>2652</v>
      </c>
      <c r="D974" s="18" t="s">
        <v>2647</v>
      </c>
      <c r="E974" s="18" t="s">
        <v>2643</v>
      </c>
      <c r="F974" s="18" t="s">
        <v>2661</v>
      </c>
      <c r="G974" s="18" t="s">
        <v>2691</v>
      </c>
      <c r="H974" s="16">
        <v>16</v>
      </c>
      <c r="I974" s="16">
        <v>2687.77</v>
      </c>
      <c r="J974" s="16">
        <v>43004.32</v>
      </c>
    </row>
    <row r="975" spans="1:10" ht="15" thickBot="1">
      <c r="A975" s="63">
        <v>45024</v>
      </c>
      <c r="B975" s="18" t="s">
        <v>2682</v>
      </c>
      <c r="C975" s="18" t="s">
        <v>2651</v>
      </c>
      <c r="D975" s="18" t="s">
        <v>2646</v>
      </c>
      <c r="E975" s="18" t="s">
        <v>2642</v>
      </c>
      <c r="F975" s="18" t="s">
        <v>2661</v>
      </c>
      <c r="G975" s="18" t="s">
        <v>2695</v>
      </c>
      <c r="H975" s="16">
        <v>15</v>
      </c>
      <c r="I975" s="16">
        <v>2472.8000000000002</v>
      </c>
      <c r="J975" s="16">
        <v>37092</v>
      </c>
    </row>
    <row r="976" spans="1:10" ht="15" thickBot="1">
      <c r="A976" s="16" t="s">
        <v>2444</v>
      </c>
      <c r="B976" s="18" t="s">
        <v>2687</v>
      </c>
      <c r="C976" s="18" t="s">
        <v>2652</v>
      </c>
      <c r="D976" s="18" t="s">
        <v>2647</v>
      </c>
      <c r="E976" s="18" t="s">
        <v>2643</v>
      </c>
      <c r="F976" s="18" t="s">
        <v>2373</v>
      </c>
      <c r="G976" s="18" t="s">
        <v>2688</v>
      </c>
      <c r="H976" s="16">
        <v>3</v>
      </c>
      <c r="I976" s="16">
        <v>3814.12</v>
      </c>
      <c r="J976" s="16">
        <v>11442.36</v>
      </c>
    </row>
    <row r="977" spans="1:10" ht="15" thickBot="1">
      <c r="A977" s="16" t="s">
        <v>2467</v>
      </c>
      <c r="B977" s="18" t="s">
        <v>2687</v>
      </c>
      <c r="C977" s="18" t="s">
        <v>2656</v>
      </c>
      <c r="D977" s="18" t="s">
        <v>2648</v>
      </c>
      <c r="E977" s="18" t="s">
        <v>2641</v>
      </c>
      <c r="F977" s="18" t="s">
        <v>2373</v>
      </c>
      <c r="G977" s="18" t="s">
        <v>2697</v>
      </c>
      <c r="H977" s="16">
        <v>1</v>
      </c>
      <c r="I977" s="16">
        <v>2333.7800000000002</v>
      </c>
      <c r="J977" s="16">
        <v>2333.7800000000002</v>
      </c>
    </row>
    <row r="978" spans="1:10" ht="15" thickBot="1">
      <c r="A978" s="16" t="s">
        <v>2489</v>
      </c>
      <c r="B978" s="18" t="s">
        <v>2681</v>
      </c>
      <c r="C978" s="18" t="s">
        <v>2653</v>
      </c>
      <c r="D978" s="18" t="s">
        <v>2644</v>
      </c>
      <c r="E978" s="18" t="s">
        <v>2641</v>
      </c>
      <c r="F978" s="18" t="s">
        <v>2661</v>
      </c>
      <c r="G978" s="18" t="s">
        <v>2691</v>
      </c>
      <c r="H978" s="16">
        <v>10</v>
      </c>
      <c r="I978" s="16">
        <v>2628.56</v>
      </c>
      <c r="J978" s="16">
        <v>26285.599999999999</v>
      </c>
    </row>
    <row r="979" spans="1:10" ht="15" thickBot="1">
      <c r="A979" s="16" t="s">
        <v>2474</v>
      </c>
      <c r="B979" s="18" t="s">
        <v>2680</v>
      </c>
      <c r="C979" s="18" t="s">
        <v>2651</v>
      </c>
      <c r="D979" s="18" t="s">
        <v>2646</v>
      </c>
      <c r="E979" s="18" t="s">
        <v>2642</v>
      </c>
      <c r="F979" s="18" t="s">
        <v>2370</v>
      </c>
      <c r="G979" s="18" t="s">
        <v>1335</v>
      </c>
      <c r="H979" s="16">
        <v>16</v>
      </c>
      <c r="I979" s="16">
        <v>284.02</v>
      </c>
      <c r="J979" s="16">
        <v>4544.32</v>
      </c>
    </row>
    <row r="980" spans="1:10" ht="15" thickBot="1">
      <c r="A980" s="16" t="s">
        <v>2503</v>
      </c>
      <c r="B980" s="18" t="s">
        <v>2684</v>
      </c>
      <c r="C980" s="18" t="s">
        <v>2658</v>
      </c>
      <c r="D980" s="18" t="s">
        <v>2645</v>
      </c>
      <c r="E980" s="18" t="s">
        <v>2642</v>
      </c>
      <c r="F980" s="18" t="s">
        <v>2661</v>
      </c>
      <c r="G980" s="18" t="s">
        <v>2695</v>
      </c>
      <c r="H980" s="16">
        <v>8</v>
      </c>
      <c r="I980" s="16">
        <v>1011.67</v>
      </c>
      <c r="J980" s="16">
        <v>8093.36</v>
      </c>
    </row>
    <row r="981" spans="1:10" ht="15" thickBot="1">
      <c r="A981" s="63">
        <v>45141</v>
      </c>
      <c r="B981" s="18" t="s">
        <v>2685</v>
      </c>
      <c r="C981" s="18" t="s">
        <v>2659</v>
      </c>
      <c r="D981" s="18" t="s">
        <v>2647</v>
      </c>
      <c r="E981" s="18" t="s">
        <v>2643</v>
      </c>
      <c r="F981" s="18" t="s">
        <v>2661</v>
      </c>
      <c r="G981" s="18" t="s">
        <v>2696</v>
      </c>
      <c r="H981" s="16">
        <v>6</v>
      </c>
      <c r="I981" s="16">
        <v>3918.07</v>
      </c>
      <c r="J981" s="16">
        <v>23508.42</v>
      </c>
    </row>
    <row r="982" spans="1:10" ht="15" thickBot="1">
      <c r="A982" s="16" t="s">
        <v>2557</v>
      </c>
      <c r="B982" s="18" t="s">
        <v>2684</v>
      </c>
      <c r="C982" s="18" t="s">
        <v>2649</v>
      </c>
      <c r="D982" s="18" t="s">
        <v>2645</v>
      </c>
      <c r="E982" s="18" t="s">
        <v>2642</v>
      </c>
      <c r="F982" s="18" t="s">
        <v>2372</v>
      </c>
      <c r="G982" s="18" t="s">
        <v>2694</v>
      </c>
      <c r="H982" s="16">
        <v>2</v>
      </c>
      <c r="I982" s="16">
        <v>3313.63</v>
      </c>
      <c r="J982" s="16">
        <v>6627.26</v>
      </c>
    </row>
    <row r="983" spans="1:10" ht="15" thickBot="1">
      <c r="A983" s="16" t="s">
        <v>2610</v>
      </c>
      <c r="B983" s="18" t="s">
        <v>2686</v>
      </c>
      <c r="C983" s="18" t="s">
        <v>2654</v>
      </c>
      <c r="D983" s="18" t="s">
        <v>2646</v>
      </c>
      <c r="E983" s="18" t="s">
        <v>2642</v>
      </c>
      <c r="F983" s="18" t="s">
        <v>2372</v>
      </c>
      <c r="G983" s="18" t="s">
        <v>2693</v>
      </c>
      <c r="H983" s="16">
        <v>18</v>
      </c>
      <c r="I983" s="16">
        <v>809.24</v>
      </c>
      <c r="J983" s="16">
        <v>14566.32</v>
      </c>
    </row>
    <row r="984" spans="1:10" ht="15" thickBot="1">
      <c r="A984" s="16" t="s">
        <v>2589</v>
      </c>
      <c r="B984" s="18" t="s">
        <v>2680</v>
      </c>
      <c r="C984" s="18" t="s">
        <v>2660</v>
      </c>
      <c r="D984" s="18" t="s">
        <v>2647</v>
      </c>
      <c r="E984" s="18" t="s">
        <v>2643</v>
      </c>
      <c r="F984" s="18" t="s">
        <v>2661</v>
      </c>
      <c r="G984" s="18" t="s">
        <v>2698</v>
      </c>
      <c r="H984" s="16">
        <v>2</v>
      </c>
      <c r="I984" s="16">
        <v>2338.61</v>
      </c>
      <c r="J984" s="16">
        <v>4677.22</v>
      </c>
    </row>
    <row r="985" spans="1:10" ht="15" thickBot="1">
      <c r="A985" s="16" t="s">
        <v>2500</v>
      </c>
      <c r="B985" s="18" t="s">
        <v>2687</v>
      </c>
      <c r="C985" s="18" t="s">
        <v>2655</v>
      </c>
      <c r="D985" s="18" t="s">
        <v>2645</v>
      </c>
      <c r="E985" s="18" t="s">
        <v>2642</v>
      </c>
      <c r="F985" s="18" t="s">
        <v>2661</v>
      </c>
      <c r="G985" s="18" t="s">
        <v>2698</v>
      </c>
      <c r="H985" s="16">
        <v>18</v>
      </c>
      <c r="I985" s="16">
        <v>2773.93</v>
      </c>
      <c r="J985" s="16">
        <v>49930.74</v>
      </c>
    </row>
    <row r="986" spans="1:10" ht="15" thickBot="1">
      <c r="A986" s="63">
        <v>45172</v>
      </c>
      <c r="B986" s="18" t="s">
        <v>2681</v>
      </c>
      <c r="C986" s="18" t="s">
        <v>2393</v>
      </c>
      <c r="D986" s="18" t="s">
        <v>2644</v>
      </c>
      <c r="E986" s="18" t="s">
        <v>2641</v>
      </c>
      <c r="F986" s="18" t="s">
        <v>2661</v>
      </c>
      <c r="G986" s="18" t="s">
        <v>2696</v>
      </c>
      <c r="H986" s="16">
        <v>15</v>
      </c>
      <c r="I986" s="16">
        <v>2540.06</v>
      </c>
      <c r="J986" s="16">
        <v>38100.9</v>
      </c>
    </row>
    <row r="987" spans="1:10" ht="15" thickBot="1">
      <c r="A987" s="16" t="s">
        <v>2621</v>
      </c>
      <c r="B987" s="18" t="s">
        <v>2678</v>
      </c>
      <c r="C987" s="18" t="s">
        <v>2659</v>
      </c>
      <c r="D987" s="18" t="s">
        <v>2647</v>
      </c>
      <c r="E987" s="18" t="s">
        <v>2643</v>
      </c>
      <c r="F987" s="18" t="s">
        <v>2372</v>
      </c>
      <c r="G987" s="18" t="s">
        <v>2690</v>
      </c>
      <c r="H987" s="16">
        <v>4</v>
      </c>
      <c r="I987" s="16">
        <v>1178.71</v>
      </c>
      <c r="J987" s="16">
        <v>4714.84</v>
      </c>
    </row>
    <row r="988" spans="1:10" ht="15" thickBot="1">
      <c r="A988" s="16" t="s">
        <v>2602</v>
      </c>
      <c r="B988" s="18" t="s">
        <v>2685</v>
      </c>
      <c r="C988" s="18" t="s">
        <v>2654</v>
      </c>
      <c r="D988" s="18" t="s">
        <v>2646</v>
      </c>
      <c r="E988" s="18" t="s">
        <v>2642</v>
      </c>
      <c r="F988" s="18" t="s">
        <v>2661</v>
      </c>
      <c r="G988" s="18" t="s">
        <v>2691</v>
      </c>
      <c r="H988" s="16">
        <v>4</v>
      </c>
      <c r="I988" s="16">
        <v>4724.33</v>
      </c>
      <c r="J988" s="16">
        <v>18897.32</v>
      </c>
    </row>
    <row r="989" spans="1:10" ht="15" thickBot="1">
      <c r="A989" s="16" t="s">
        <v>2576</v>
      </c>
      <c r="B989" s="18" t="s">
        <v>2685</v>
      </c>
      <c r="C989" s="18" t="s">
        <v>2652</v>
      </c>
      <c r="D989" s="18" t="s">
        <v>2647</v>
      </c>
      <c r="E989" s="18" t="s">
        <v>2643</v>
      </c>
      <c r="F989" s="18" t="s">
        <v>2370</v>
      </c>
      <c r="G989" s="18" t="s">
        <v>2701</v>
      </c>
      <c r="H989" s="16">
        <v>7</v>
      </c>
      <c r="I989" s="16">
        <v>3481</v>
      </c>
      <c r="J989" s="16">
        <v>24367</v>
      </c>
    </row>
    <row r="990" spans="1:10" ht="15" thickBot="1">
      <c r="A990" s="16" t="s">
        <v>2553</v>
      </c>
      <c r="B990" s="18" t="s">
        <v>2687</v>
      </c>
      <c r="C990" s="18" t="s">
        <v>2656</v>
      </c>
      <c r="D990" s="18" t="s">
        <v>2648</v>
      </c>
      <c r="E990" s="18" t="s">
        <v>2641</v>
      </c>
      <c r="F990" s="18" t="s">
        <v>2373</v>
      </c>
      <c r="G990" s="18" t="s">
        <v>2688</v>
      </c>
      <c r="H990" s="16">
        <v>16</v>
      </c>
      <c r="I990" s="16">
        <v>4608.55</v>
      </c>
      <c r="J990" s="16">
        <v>73736.800000000003</v>
      </c>
    </row>
    <row r="991" spans="1:10" ht="15" thickBot="1">
      <c r="A991" s="16" t="s">
        <v>2595</v>
      </c>
      <c r="B991" s="18" t="s">
        <v>2686</v>
      </c>
      <c r="C991" s="18" t="s">
        <v>2393</v>
      </c>
      <c r="D991" s="18" t="s">
        <v>2644</v>
      </c>
      <c r="E991" s="18" t="s">
        <v>2641</v>
      </c>
      <c r="F991" s="18" t="s">
        <v>2370</v>
      </c>
      <c r="G991" s="18" t="s">
        <v>2702</v>
      </c>
      <c r="H991" s="16">
        <v>10</v>
      </c>
      <c r="I991" s="16">
        <v>2336.88</v>
      </c>
      <c r="J991" s="16">
        <v>23368.799999999999</v>
      </c>
    </row>
    <row r="992" spans="1:10" ht="15" thickBot="1">
      <c r="A992" s="16" t="s">
        <v>2547</v>
      </c>
      <c r="B992" s="18" t="s">
        <v>2678</v>
      </c>
      <c r="C992" s="18" t="s">
        <v>2650</v>
      </c>
      <c r="D992" s="18" t="s">
        <v>2646</v>
      </c>
      <c r="E992" s="18" t="s">
        <v>2642</v>
      </c>
      <c r="F992" s="18" t="s">
        <v>2374</v>
      </c>
      <c r="G992" s="18" t="s">
        <v>2704</v>
      </c>
      <c r="H992" s="16">
        <v>1</v>
      </c>
      <c r="I992" s="16">
        <v>2993.55</v>
      </c>
      <c r="J992" s="16">
        <v>2993.55</v>
      </c>
    </row>
    <row r="993" spans="1:10" ht="15" thickBot="1">
      <c r="A993" s="16" t="s">
        <v>2674</v>
      </c>
      <c r="B993" s="18" t="s">
        <v>2684</v>
      </c>
      <c r="C993" s="18" t="s">
        <v>2651</v>
      </c>
      <c r="D993" s="18" t="s">
        <v>2646</v>
      </c>
      <c r="E993" s="18" t="s">
        <v>2642</v>
      </c>
      <c r="F993" s="18" t="s">
        <v>2372</v>
      </c>
      <c r="G993" s="18" t="s">
        <v>2694</v>
      </c>
      <c r="H993" s="16">
        <v>19</v>
      </c>
      <c r="I993" s="16">
        <v>4080.77</v>
      </c>
      <c r="J993" s="16">
        <v>77534.63</v>
      </c>
    </row>
    <row r="994" spans="1:10" ht="15" thickBot="1">
      <c r="A994" s="16" t="s">
        <v>2635</v>
      </c>
      <c r="B994" s="18" t="s">
        <v>2679</v>
      </c>
      <c r="C994" s="18" t="s">
        <v>2655</v>
      </c>
      <c r="D994" s="18" t="s">
        <v>2645</v>
      </c>
      <c r="E994" s="18" t="s">
        <v>2642</v>
      </c>
      <c r="F994" s="18" t="s">
        <v>2372</v>
      </c>
      <c r="G994" s="18" t="s">
        <v>2699</v>
      </c>
      <c r="H994" s="16">
        <v>4</v>
      </c>
      <c r="I994" s="16">
        <v>3659.61</v>
      </c>
      <c r="J994" s="16">
        <v>14638.44</v>
      </c>
    </row>
    <row r="995" spans="1:10" ht="15" thickBot="1">
      <c r="A995" s="63">
        <v>45109</v>
      </c>
      <c r="B995" s="18" t="s">
        <v>2682</v>
      </c>
      <c r="C995" s="18" t="s">
        <v>2652</v>
      </c>
      <c r="D995" s="18" t="s">
        <v>2647</v>
      </c>
      <c r="E995" s="18" t="s">
        <v>2643</v>
      </c>
      <c r="F995" s="18" t="s">
        <v>2372</v>
      </c>
      <c r="G995" s="18" t="s">
        <v>2699</v>
      </c>
      <c r="H995" s="16">
        <v>12</v>
      </c>
      <c r="I995" s="16">
        <v>1819.46</v>
      </c>
      <c r="J995" s="16">
        <v>21833.52</v>
      </c>
    </row>
    <row r="996" spans="1:10" ht="15" thickBot="1">
      <c r="A996" s="16" t="s">
        <v>2636</v>
      </c>
      <c r="B996" s="18" t="s">
        <v>2681</v>
      </c>
      <c r="C996" s="18" t="s">
        <v>2650</v>
      </c>
      <c r="D996" s="18" t="s">
        <v>2646</v>
      </c>
      <c r="E996" s="18" t="s">
        <v>2642</v>
      </c>
      <c r="F996" s="18" t="s">
        <v>2370</v>
      </c>
      <c r="G996" s="18" t="s">
        <v>2701</v>
      </c>
      <c r="H996" s="16">
        <v>13</v>
      </c>
      <c r="I996" s="16">
        <v>3520.87</v>
      </c>
      <c r="J996" s="16">
        <v>45771.31</v>
      </c>
    </row>
    <row r="997" spans="1:10" ht="15" thickBot="1">
      <c r="A997" s="16" t="s">
        <v>2510</v>
      </c>
      <c r="B997" s="18" t="s">
        <v>2684</v>
      </c>
      <c r="C997" s="18" t="s">
        <v>2654</v>
      </c>
      <c r="D997" s="18" t="s">
        <v>2646</v>
      </c>
      <c r="E997" s="18" t="s">
        <v>2642</v>
      </c>
      <c r="F997" s="18" t="s">
        <v>2661</v>
      </c>
      <c r="G997" s="18" t="s">
        <v>2698</v>
      </c>
      <c r="H997" s="16">
        <v>14</v>
      </c>
      <c r="I997" s="16">
        <v>4532.88</v>
      </c>
      <c r="J997" s="16">
        <v>63460.32</v>
      </c>
    </row>
    <row r="998" spans="1:10" ht="15" thickBot="1">
      <c r="A998" s="16" t="s">
        <v>2497</v>
      </c>
      <c r="B998" s="18" t="s">
        <v>2682</v>
      </c>
      <c r="C998" s="18" t="s">
        <v>2653</v>
      </c>
      <c r="D998" s="18" t="s">
        <v>2644</v>
      </c>
      <c r="E998" s="18" t="s">
        <v>2641</v>
      </c>
      <c r="F998" s="18" t="s">
        <v>2373</v>
      </c>
      <c r="G998" s="18" t="s">
        <v>2697</v>
      </c>
      <c r="H998" s="16">
        <v>6</v>
      </c>
      <c r="I998" s="16">
        <v>1709.52</v>
      </c>
      <c r="J998" s="16">
        <v>10257.120000000001</v>
      </c>
    </row>
    <row r="999" spans="1:10" ht="15" thickBot="1">
      <c r="A999" s="16" t="s">
        <v>2669</v>
      </c>
      <c r="B999" s="18" t="s">
        <v>2687</v>
      </c>
      <c r="C999" s="18" t="s">
        <v>2658</v>
      </c>
      <c r="D999" s="18" t="s">
        <v>2645</v>
      </c>
      <c r="E999" s="18" t="s">
        <v>2642</v>
      </c>
      <c r="F999" s="18" t="s">
        <v>2372</v>
      </c>
      <c r="G999" s="18" t="s">
        <v>2690</v>
      </c>
      <c r="H999" s="16">
        <v>10</v>
      </c>
      <c r="I999" s="16">
        <v>3803.22</v>
      </c>
      <c r="J999" s="16">
        <v>38032.199999999997</v>
      </c>
    </row>
    <row r="1000" spans="1:10" ht="15" thickBot="1">
      <c r="A1000" s="63">
        <v>44958</v>
      </c>
      <c r="B1000" s="18" t="s">
        <v>2686</v>
      </c>
      <c r="C1000" s="18" t="s">
        <v>2658</v>
      </c>
      <c r="D1000" s="18" t="s">
        <v>2645</v>
      </c>
      <c r="E1000" s="18" t="s">
        <v>2642</v>
      </c>
      <c r="F1000" s="18" t="s">
        <v>2374</v>
      </c>
      <c r="G1000" s="18" t="s">
        <v>2704</v>
      </c>
      <c r="H1000" s="16">
        <v>15</v>
      </c>
      <c r="I1000" s="16">
        <v>1853</v>
      </c>
      <c r="J1000" s="16">
        <v>27795</v>
      </c>
    </row>
    <row r="1001" spans="1:10" ht="15" thickBot="1">
      <c r="A1001" s="63">
        <v>45018</v>
      </c>
      <c r="B1001" s="18" t="s">
        <v>2687</v>
      </c>
      <c r="C1001" s="18" t="s">
        <v>2392</v>
      </c>
      <c r="D1001" s="18" t="s">
        <v>2644</v>
      </c>
      <c r="E1001" s="18" t="s">
        <v>2641</v>
      </c>
      <c r="F1001" s="18" t="s">
        <v>2372</v>
      </c>
      <c r="G1001" s="18" t="s">
        <v>2693</v>
      </c>
      <c r="H1001" s="16">
        <v>2</v>
      </c>
      <c r="I1001" s="16">
        <v>2623.43</v>
      </c>
      <c r="J1001" s="16">
        <v>5246.86</v>
      </c>
    </row>
  </sheetData>
  <dataValidations count="1">
    <dataValidation type="list" allowBlank="1" showInputMessage="1" showErrorMessage="1" sqref="L2" xr:uid="{9C94E8BD-3C0F-4A58-BB6B-70B2830EA3DE}">
      <formula1>$D:$D</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DC129-E21B-4482-A10C-5C1D49BB672C}">
  <sheetPr codeName="Sheet10"/>
  <dimension ref="A1:K13"/>
  <sheetViews>
    <sheetView zoomScaleNormal="100" workbookViewId="0">
      <selection activeCell="L12" sqref="L12"/>
    </sheetView>
  </sheetViews>
  <sheetFormatPr defaultRowHeight="14.5"/>
  <cols>
    <col min="1" max="1" width="13.1796875" customWidth="1"/>
    <col min="2" max="2" width="14.81640625" customWidth="1"/>
    <col min="3" max="3" width="15" customWidth="1"/>
    <col min="4" max="4" width="14.7265625" customWidth="1"/>
    <col min="5" max="5" width="16.36328125" customWidth="1"/>
    <col min="8" max="8" width="14.08984375" customWidth="1"/>
    <col min="9" max="9" width="12.90625" customWidth="1"/>
  </cols>
  <sheetData>
    <row r="1" spans="1:11" ht="15" thickBot="1">
      <c r="A1" s="70" t="s">
        <v>0</v>
      </c>
      <c r="B1" s="71" t="s">
        <v>2414</v>
      </c>
      <c r="C1" s="71" t="s">
        <v>1003</v>
      </c>
      <c r="D1" s="71" t="s">
        <v>2</v>
      </c>
      <c r="E1" s="71" t="s">
        <v>2706</v>
      </c>
    </row>
    <row r="2" spans="1:11" ht="15" thickBot="1">
      <c r="A2" s="72" t="s">
        <v>4</v>
      </c>
      <c r="B2" s="72" t="s">
        <v>504</v>
      </c>
      <c r="C2" s="72" t="s">
        <v>1004</v>
      </c>
      <c r="D2" s="74">
        <v>41954</v>
      </c>
      <c r="E2" s="76">
        <v>43831</v>
      </c>
      <c r="H2" s="78" t="s">
        <v>0</v>
      </c>
      <c r="I2" t="s">
        <v>7</v>
      </c>
    </row>
    <row r="3" spans="1:11" ht="15" thickBot="1">
      <c r="A3" s="73" t="s">
        <v>5</v>
      </c>
      <c r="B3" s="73" t="s">
        <v>505</v>
      </c>
      <c r="C3" s="73" t="s">
        <v>1005</v>
      </c>
      <c r="D3" s="75">
        <v>49855</v>
      </c>
      <c r="E3" s="77">
        <v>43862</v>
      </c>
      <c r="H3" s="71" t="s">
        <v>2414</v>
      </c>
      <c r="I3" t="str">
        <f>VLOOKUP($I$2,$A$1:$E$13,ROW()-1,0)</f>
        <v>Employee_4</v>
      </c>
      <c r="K3">
        <f>ROW()</f>
        <v>3</v>
      </c>
    </row>
    <row r="4" spans="1:11" ht="15" thickBot="1">
      <c r="A4" s="73" t="s">
        <v>6</v>
      </c>
      <c r="B4" s="73" t="s">
        <v>506</v>
      </c>
      <c r="C4" s="73" t="s">
        <v>1006</v>
      </c>
      <c r="D4" s="75">
        <v>94210</v>
      </c>
      <c r="E4" s="77">
        <v>43891</v>
      </c>
      <c r="H4" s="71" t="s">
        <v>1003</v>
      </c>
      <c r="I4" t="str">
        <f t="shared" ref="I4:I6" si="0">VLOOKUP($I$2,$A$1:$E$13,ROW()-1,0)</f>
        <v>Finance</v>
      </c>
    </row>
    <row r="5" spans="1:11" ht="15" thickBot="1">
      <c r="A5" s="73" t="s">
        <v>7</v>
      </c>
      <c r="B5" s="73" t="s">
        <v>507</v>
      </c>
      <c r="C5" s="73" t="s">
        <v>1004</v>
      </c>
      <c r="D5" s="75">
        <v>74689</v>
      </c>
      <c r="E5" s="77">
        <v>43922</v>
      </c>
      <c r="H5" s="71" t="s">
        <v>2</v>
      </c>
      <c r="I5" s="15">
        <f t="shared" si="0"/>
        <v>74689</v>
      </c>
    </row>
    <row r="6" spans="1:11" ht="15" thickBot="1">
      <c r="A6" s="73" t="s">
        <v>8</v>
      </c>
      <c r="B6" s="73" t="s">
        <v>508</v>
      </c>
      <c r="C6" s="73" t="s">
        <v>1005</v>
      </c>
      <c r="D6" s="75">
        <v>90652</v>
      </c>
      <c r="E6" s="77">
        <v>43952</v>
      </c>
      <c r="H6" s="71" t="s">
        <v>2706</v>
      </c>
      <c r="I6" s="62">
        <f t="shared" si="0"/>
        <v>43922</v>
      </c>
    </row>
    <row r="7" spans="1:11" ht="15" thickBot="1">
      <c r="A7" s="73" t="s">
        <v>9</v>
      </c>
      <c r="B7" s="73" t="s">
        <v>506</v>
      </c>
      <c r="C7" s="73" t="s">
        <v>1005</v>
      </c>
      <c r="D7" s="75">
        <v>74820</v>
      </c>
      <c r="E7" s="77">
        <v>43983</v>
      </c>
    </row>
    <row r="8" spans="1:11" ht="15" thickBot="1">
      <c r="A8" s="73" t="s">
        <v>10</v>
      </c>
      <c r="B8" s="73" t="s">
        <v>509</v>
      </c>
      <c r="C8" s="73" t="s">
        <v>1006</v>
      </c>
      <c r="D8" s="75">
        <v>85206</v>
      </c>
      <c r="E8" s="77">
        <v>44013</v>
      </c>
    </row>
    <row r="9" spans="1:11" ht="15" thickBot="1">
      <c r="A9" s="73" t="s">
        <v>11</v>
      </c>
      <c r="B9" s="73" t="s">
        <v>510</v>
      </c>
      <c r="C9" s="73" t="s">
        <v>1004</v>
      </c>
      <c r="D9" s="75">
        <v>30924</v>
      </c>
      <c r="E9" s="77">
        <v>44044</v>
      </c>
    </row>
    <row r="10" spans="1:11" ht="15" thickBot="1">
      <c r="A10" s="73" t="s">
        <v>12</v>
      </c>
      <c r="B10" s="73" t="s">
        <v>511</v>
      </c>
      <c r="C10" s="73" t="s">
        <v>1005</v>
      </c>
      <c r="D10" s="75">
        <v>57737</v>
      </c>
      <c r="E10" s="77">
        <v>44075</v>
      </c>
    </row>
    <row r="11" spans="1:11" ht="15" thickBot="1">
      <c r="A11" s="73" t="s">
        <v>13</v>
      </c>
      <c r="B11" s="73" t="s">
        <v>512</v>
      </c>
      <c r="C11" s="73" t="s">
        <v>1006</v>
      </c>
      <c r="D11" s="75">
        <v>36000</v>
      </c>
      <c r="E11" s="77">
        <v>44105</v>
      </c>
    </row>
    <row r="12" spans="1:11" ht="15" thickBot="1">
      <c r="A12" s="73" t="s">
        <v>14</v>
      </c>
      <c r="B12" s="73" t="s">
        <v>513</v>
      </c>
      <c r="C12" s="73" t="s">
        <v>1006</v>
      </c>
      <c r="D12" s="75">
        <v>96371</v>
      </c>
      <c r="E12" s="77">
        <v>44136</v>
      </c>
    </row>
    <row r="13" spans="1:11" ht="15" thickBot="1">
      <c r="A13" s="73" t="s">
        <v>15</v>
      </c>
      <c r="B13" s="73" t="s">
        <v>514</v>
      </c>
      <c r="C13" s="73" t="s">
        <v>1005</v>
      </c>
      <c r="D13" s="75">
        <v>85028</v>
      </c>
      <c r="E13" s="77">
        <v>44166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8F909-0F7D-4A02-9199-0AD284BEFC11}">
  <sheetPr codeName="Sheet11"/>
  <dimension ref="A1:J13"/>
  <sheetViews>
    <sheetView workbookViewId="0">
      <selection activeCell="G11" sqref="G11"/>
    </sheetView>
  </sheetViews>
  <sheetFormatPr defaultRowHeight="14.5"/>
  <cols>
    <col min="1" max="1" width="11.6328125" customWidth="1"/>
    <col min="2" max="2" width="13.1796875" customWidth="1"/>
    <col min="3" max="3" width="16.08984375" customWidth="1"/>
    <col min="4" max="4" width="15.08984375" customWidth="1"/>
    <col min="5" max="5" width="14.6328125" customWidth="1"/>
    <col min="6" max="6" width="14.453125" customWidth="1"/>
    <col min="7" max="7" width="18.453125" customWidth="1"/>
    <col min="8" max="8" width="9.54296875" customWidth="1"/>
    <col min="9" max="9" width="12.08984375" customWidth="1"/>
    <col min="10" max="10" width="11.26953125" customWidth="1"/>
  </cols>
  <sheetData>
    <row r="1" spans="1:10" ht="15" thickBot="1">
      <c r="A1" s="81" t="s">
        <v>0</v>
      </c>
      <c r="B1" s="82" t="s">
        <v>2414</v>
      </c>
      <c r="C1" s="82" t="s">
        <v>1003</v>
      </c>
      <c r="D1" s="82" t="s">
        <v>2</v>
      </c>
      <c r="E1" s="82" t="s">
        <v>2706</v>
      </c>
      <c r="F1" s="83" t="s">
        <v>2708</v>
      </c>
      <c r="I1" t="s">
        <v>2707</v>
      </c>
    </row>
    <row r="2" spans="1:10" ht="15" thickBot="1">
      <c r="A2" s="72" t="s">
        <v>4</v>
      </c>
      <c r="B2" s="72" t="s">
        <v>504</v>
      </c>
      <c r="C2" s="72" t="s">
        <v>1004</v>
      </c>
      <c r="D2" s="74">
        <v>41954</v>
      </c>
      <c r="E2" s="76">
        <v>43831</v>
      </c>
      <c r="F2" t="str">
        <f>VLOOKUP(D2,emp_type,2,1)</f>
        <v>Grade5</v>
      </c>
      <c r="I2" t="s">
        <v>2</v>
      </c>
      <c r="J2" t="s">
        <v>2708</v>
      </c>
    </row>
    <row r="3" spans="1:10" ht="15" thickBot="1">
      <c r="A3" s="73" t="s">
        <v>5</v>
      </c>
      <c r="B3" s="73" t="s">
        <v>505</v>
      </c>
      <c r="C3" s="73" t="s">
        <v>1005</v>
      </c>
      <c r="D3" s="75">
        <v>49855</v>
      </c>
      <c r="E3" s="77">
        <v>43862</v>
      </c>
      <c r="F3" t="str">
        <f>VLOOKUP(D3,emp_type,2,1)</f>
        <v>Grade4</v>
      </c>
      <c r="I3" s="79">
        <v>15000</v>
      </c>
      <c r="J3" s="80" t="s">
        <v>2709</v>
      </c>
    </row>
    <row r="4" spans="1:10" ht="15" thickBot="1">
      <c r="A4" s="73" t="s">
        <v>6</v>
      </c>
      <c r="B4" s="73" t="s">
        <v>506</v>
      </c>
      <c r="C4" s="73" t="s">
        <v>1006</v>
      </c>
      <c r="D4" s="75">
        <v>94210</v>
      </c>
      <c r="E4" s="77">
        <v>43891</v>
      </c>
      <c r="F4" t="str">
        <f>VLOOKUP(D4,emp_type,2,1)</f>
        <v>Grade1</v>
      </c>
      <c r="I4" s="79">
        <v>30000</v>
      </c>
      <c r="J4" s="80" t="s">
        <v>2710</v>
      </c>
    </row>
    <row r="5" spans="1:10" ht="15" thickBot="1">
      <c r="A5" s="73" t="s">
        <v>7</v>
      </c>
      <c r="B5" s="73" t="s">
        <v>507</v>
      </c>
      <c r="C5" s="73" t="s">
        <v>1004</v>
      </c>
      <c r="D5" s="75">
        <v>74689</v>
      </c>
      <c r="E5" s="77">
        <v>43922</v>
      </c>
      <c r="F5" t="str">
        <f>VLOOKUP(D5,emp_type,2,1)</f>
        <v>Grade3</v>
      </c>
      <c r="I5" s="79">
        <v>45000</v>
      </c>
      <c r="J5" s="80" t="s">
        <v>2711</v>
      </c>
    </row>
    <row r="6" spans="1:10" ht="15" thickBot="1">
      <c r="A6" s="73" t="s">
        <v>8</v>
      </c>
      <c r="B6" s="73" t="s">
        <v>508</v>
      </c>
      <c r="C6" s="73" t="s">
        <v>1005</v>
      </c>
      <c r="D6" s="75">
        <v>90652</v>
      </c>
      <c r="E6" s="77">
        <v>43952</v>
      </c>
      <c r="F6" t="str">
        <f>VLOOKUP(D6,emp_type,2,1)</f>
        <v>Grade1</v>
      </c>
      <c r="I6" s="79">
        <v>60000</v>
      </c>
      <c r="J6" s="80" t="s">
        <v>2712</v>
      </c>
    </row>
    <row r="7" spans="1:10" ht="15" thickBot="1">
      <c r="A7" s="73" t="s">
        <v>9</v>
      </c>
      <c r="B7" s="73" t="s">
        <v>506</v>
      </c>
      <c r="C7" s="73" t="s">
        <v>1005</v>
      </c>
      <c r="D7" s="75">
        <v>74820</v>
      </c>
      <c r="E7" s="77">
        <v>43983</v>
      </c>
      <c r="F7" t="str">
        <f>VLOOKUP(D7,emp_type,2,1)</f>
        <v>Grade3</v>
      </c>
      <c r="I7" s="79">
        <v>75000</v>
      </c>
      <c r="J7" s="80" t="s">
        <v>2713</v>
      </c>
    </row>
    <row r="8" spans="1:10" ht="15" thickBot="1">
      <c r="A8" s="73" t="s">
        <v>10</v>
      </c>
      <c r="B8" s="73" t="s">
        <v>509</v>
      </c>
      <c r="C8" s="73" t="s">
        <v>1006</v>
      </c>
      <c r="D8" s="75">
        <v>85206</v>
      </c>
      <c r="E8" s="77">
        <v>44013</v>
      </c>
      <c r="F8" t="str">
        <f>VLOOKUP(D8,emp_type,2,1)</f>
        <v>Grade2</v>
      </c>
      <c r="I8" s="79">
        <v>90000</v>
      </c>
      <c r="J8" s="80" t="s">
        <v>2714</v>
      </c>
    </row>
    <row r="9" spans="1:10" ht="15" thickBot="1">
      <c r="A9" s="73" t="s">
        <v>11</v>
      </c>
      <c r="B9" s="73" t="s">
        <v>510</v>
      </c>
      <c r="C9" s="73" t="s">
        <v>1004</v>
      </c>
      <c r="D9" s="75">
        <v>30924</v>
      </c>
      <c r="E9" s="77">
        <v>44044</v>
      </c>
      <c r="F9" t="str">
        <f>VLOOKUP(D9,emp_type,2,1)</f>
        <v>Grade5</v>
      </c>
    </row>
    <row r="10" spans="1:10" ht="15" thickBot="1">
      <c r="A10" s="73" t="s">
        <v>12</v>
      </c>
      <c r="B10" s="73" t="s">
        <v>511</v>
      </c>
      <c r="C10" s="73" t="s">
        <v>1005</v>
      </c>
      <c r="D10" s="75">
        <v>57737</v>
      </c>
      <c r="E10" s="77">
        <v>44075</v>
      </c>
      <c r="F10" t="str">
        <f>VLOOKUP(D10,emp_type,2,1)</f>
        <v>Grade4</v>
      </c>
    </row>
    <row r="11" spans="1:10" ht="15" thickBot="1">
      <c r="A11" s="73" t="s">
        <v>13</v>
      </c>
      <c r="B11" s="73" t="s">
        <v>512</v>
      </c>
      <c r="C11" s="73" t="s">
        <v>1006</v>
      </c>
      <c r="D11" s="75">
        <v>36000</v>
      </c>
      <c r="E11" s="77">
        <v>44105</v>
      </c>
      <c r="F11" t="str">
        <f>VLOOKUP(D11,emp_type,2,1)</f>
        <v>Grade5</v>
      </c>
    </row>
    <row r="12" spans="1:10" ht="15" thickBot="1">
      <c r="A12" s="73" t="s">
        <v>14</v>
      </c>
      <c r="B12" s="73" t="s">
        <v>513</v>
      </c>
      <c r="C12" s="73" t="s">
        <v>1006</v>
      </c>
      <c r="D12" s="75">
        <v>96371</v>
      </c>
      <c r="E12" s="77">
        <v>44136</v>
      </c>
      <c r="F12" t="str">
        <f>VLOOKUP(D12,emp_type,2,1)</f>
        <v>Grade1</v>
      </c>
    </row>
    <row r="13" spans="1:10" ht="15" thickBot="1">
      <c r="A13" s="73" t="s">
        <v>15</v>
      </c>
      <c r="B13" s="73" t="s">
        <v>514</v>
      </c>
      <c r="C13" s="73" t="s">
        <v>1005</v>
      </c>
      <c r="D13" s="75">
        <v>85028</v>
      </c>
      <c r="E13" s="77">
        <v>44166</v>
      </c>
      <c r="F13" t="str">
        <f>VLOOKUP(D13,emp_type,2,1)</f>
        <v>Grade2</v>
      </c>
    </row>
  </sheetData>
  <sortState xmlns:xlrd2="http://schemas.microsoft.com/office/spreadsheetml/2017/richdata2" ref="I3:J8">
    <sortCondition ref="I3:I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D5742-E124-4FA1-B732-383FBECC9ECF}">
  <sheetPr codeName="Sheet12"/>
  <dimension ref="A1:J13"/>
  <sheetViews>
    <sheetView workbookViewId="0">
      <selection activeCell="J3" sqref="J3"/>
    </sheetView>
  </sheetViews>
  <sheetFormatPr defaultRowHeight="14.5"/>
  <cols>
    <col min="1" max="1" width="12.90625" customWidth="1"/>
    <col min="2" max="2" width="14.08984375" customWidth="1"/>
    <col min="3" max="3" width="14.7265625" customWidth="1"/>
    <col min="4" max="4" width="14.453125" customWidth="1"/>
    <col min="5" max="5" width="13.08984375" customWidth="1"/>
    <col min="9" max="9" width="14.81640625" customWidth="1"/>
    <col min="10" max="10" width="18.54296875" customWidth="1"/>
  </cols>
  <sheetData>
    <row r="1" spans="1:10" ht="15" thickBot="1">
      <c r="A1" s="84" t="s">
        <v>0</v>
      </c>
      <c r="B1" s="85" t="s">
        <v>2414</v>
      </c>
      <c r="C1" s="85" t="s">
        <v>1003</v>
      </c>
      <c r="D1" s="85" t="s">
        <v>2</v>
      </c>
      <c r="E1" s="85" t="s">
        <v>2706</v>
      </c>
    </row>
    <row r="2" spans="1:10" ht="15" thickBot="1">
      <c r="A2" s="72" t="s">
        <v>4</v>
      </c>
      <c r="B2" s="72" t="s">
        <v>504</v>
      </c>
      <c r="C2" s="72" t="s">
        <v>1004</v>
      </c>
      <c r="D2" s="86">
        <v>41954</v>
      </c>
      <c r="E2" s="76">
        <v>43831</v>
      </c>
      <c r="I2" s="88" t="s">
        <v>0</v>
      </c>
      <c r="J2" t="s">
        <v>10</v>
      </c>
    </row>
    <row r="3" spans="1:10" ht="15" thickBot="1">
      <c r="A3" s="73" t="s">
        <v>5</v>
      </c>
      <c r="B3" s="73" t="s">
        <v>505</v>
      </c>
      <c r="C3" s="73" t="s">
        <v>1005</v>
      </c>
      <c r="D3" s="87">
        <v>49855</v>
      </c>
      <c r="E3" s="77">
        <v>43862</v>
      </c>
      <c r="I3" s="89" t="s">
        <v>2</v>
      </c>
      <c r="J3" s="15">
        <f>VLOOKUP($J$2,$A$2:$E$13,MATCH(I3,$A$1:$E$1,0),0)</f>
        <v>85206</v>
      </c>
    </row>
    <row r="4" spans="1:10" ht="15" thickBot="1">
      <c r="A4" s="73" t="s">
        <v>6</v>
      </c>
      <c r="B4" s="73" t="s">
        <v>506</v>
      </c>
      <c r="C4" s="73" t="s">
        <v>1006</v>
      </c>
      <c r="D4" s="87">
        <v>94210</v>
      </c>
      <c r="E4" s="77">
        <v>43891</v>
      </c>
      <c r="I4" s="90" t="s">
        <v>1003</v>
      </c>
      <c r="J4" t="str">
        <f>VLOOKUP($J$2,$A$2:$E$13,MATCH(I4,$A$1:$E$1,0),0)</f>
        <v>Sales</v>
      </c>
    </row>
    <row r="5" spans="1:10" ht="15" thickBot="1">
      <c r="A5" s="73" t="s">
        <v>7</v>
      </c>
      <c r="B5" s="73" t="s">
        <v>507</v>
      </c>
      <c r="C5" s="73" t="s">
        <v>1004</v>
      </c>
      <c r="D5" s="87">
        <v>74689</v>
      </c>
      <c r="E5" s="77">
        <v>43922</v>
      </c>
    </row>
    <row r="6" spans="1:10" ht="15" thickBot="1">
      <c r="A6" s="73" t="s">
        <v>8</v>
      </c>
      <c r="B6" s="73" t="s">
        <v>508</v>
      </c>
      <c r="C6" s="73" t="s">
        <v>1005</v>
      </c>
      <c r="D6" s="87">
        <v>90652</v>
      </c>
      <c r="E6" s="77">
        <v>43952</v>
      </c>
    </row>
    <row r="7" spans="1:10" ht="15" thickBot="1">
      <c r="A7" s="73" t="s">
        <v>9</v>
      </c>
      <c r="B7" s="73" t="s">
        <v>506</v>
      </c>
      <c r="C7" s="73" t="s">
        <v>1005</v>
      </c>
      <c r="D7" s="87">
        <v>74820</v>
      </c>
      <c r="E7" s="77">
        <v>43983</v>
      </c>
    </row>
    <row r="8" spans="1:10" ht="15" thickBot="1">
      <c r="A8" s="73" t="s">
        <v>10</v>
      </c>
      <c r="B8" s="73" t="s">
        <v>509</v>
      </c>
      <c r="C8" s="73" t="s">
        <v>1006</v>
      </c>
      <c r="D8" s="87">
        <v>85206</v>
      </c>
      <c r="E8" s="77">
        <v>44013</v>
      </c>
    </row>
    <row r="9" spans="1:10" ht="15" thickBot="1">
      <c r="A9" s="73" t="s">
        <v>11</v>
      </c>
      <c r="B9" s="73" t="s">
        <v>510</v>
      </c>
      <c r="C9" s="73" t="s">
        <v>1004</v>
      </c>
      <c r="D9" s="87">
        <v>30924</v>
      </c>
      <c r="E9" s="77">
        <v>44044</v>
      </c>
    </row>
    <row r="10" spans="1:10" ht="15" thickBot="1">
      <c r="A10" s="73" t="s">
        <v>12</v>
      </c>
      <c r="B10" s="73" t="s">
        <v>511</v>
      </c>
      <c r="C10" s="73" t="s">
        <v>1005</v>
      </c>
      <c r="D10" s="87">
        <v>57737</v>
      </c>
      <c r="E10" s="77">
        <v>44075</v>
      </c>
    </row>
    <row r="11" spans="1:10" ht="15" thickBot="1">
      <c r="A11" s="73" t="s">
        <v>13</v>
      </c>
      <c r="B11" s="73" t="s">
        <v>512</v>
      </c>
      <c r="C11" s="73" t="s">
        <v>1006</v>
      </c>
      <c r="D11" s="87">
        <v>36000</v>
      </c>
      <c r="E11" s="77">
        <v>44105</v>
      </c>
    </row>
    <row r="12" spans="1:10" ht="15" thickBot="1">
      <c r="A12" s="73" t="s">
        <v>14</v>
      </c>
      <c r="B12" s="73" t="s">
        <v>513</v>
      </c>
      <c r="C12" s="73" t="s">
        <v>1006</v>
      </c>
      <c r="D12" s="87">
        <v>96371</v>
      </c>
      <c r="E12" s="77">
        <v>44136</v>
      </c>
    </row>
    <row r="13" spans="1:10" ht="15" thickBot="1">
      <c r="A13" s="73" t="s">
        <v>15</v>
      </c>
      <c r="B13" s="73" t="s">
        <v>514</v>
      </c>
      <c r="C13" s="73" t="s">
        <v>1005</v>
      </c>
      <c r="D13" s="87">
        <v>85028</v>
      </c>
      <c r="E13" s="77">
        <v>44166</v>
      </c>
    </row>
  </sheetData>
  <dataValidations count="2">
    <dataValidation type="list" allowBlank="1" showInputMessage="1" showErrorMessage="1" sqref="J2" xr:uid="{EDC918E4-AF1E-4884-9DD9-5F233559837B}">
      <formula1>$A$2:$A$13</formula1>
    </dataValidation>
    <dataValidation type="list" allowBlank="1" showInputMessage="1" showErrorMessage="1" sqref="I3:I4" xr:uid="{2A6F5B3E-A8F5-4A73-9450-6692EF763E6D}">
      <formula1>$B$1:$E$1</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65DD8-79F5-4FF8-B23F-234BA7F56932}">
  <sheetPr codeName="Sheet13"/>
  <dimension ref="A1:J18"/>
  <sheetViews>
    <sheetView zoomScale="90" zoomScaleNormal="90" workbookViewId="0">
      <selection activeCell="C14" sqref="C14"/>
    </sheetView>
  </sheetViews>
  <sheetFormatPr defaultRowHeight="14.5"/>
  <cols>
    <col min="1" max="1" width="18.7265625" customWidth="1"/>
    <col min="2" max="2" width="27.26953125" customWidth="1"/>
    <col min="3" max="3" width="29.08984375" customWidth="1"/>
    <col min="4" max="4" width="28.81640625" customWidth="1"/>
    <col min="5" max="5" width="28.08984375" customWidth="1"/>
    <col min="6" max="6" width="18.81640625" customWidth="1"/>
    <col min="7" max="7" width="28.08984375" customWidth="1"/>
    <col min="8" max="8" width="29.7265625" style="36" customWidth="1"/>
    <col min="9" max="9" width="28" customWidth="1"/>
    <col min="10" max="10" width="28.54296875" customWidth="1"/>
  </cols>
  <sheetData>
    <row r="1" spans="1:10" ht="29.5" thickBot="1">
      <c r="A1" s="94" t="s">
        <v>2715</v>
      </c>
      <c r="B1" s="95" t="s">
        <v>2716</v>
      </c>
      <c r="C1" s="95" t="s">
        <v>2717</v>
      </c>
      <c r="D1" s="95" t="s">
        <v>2718</v>
      </c>
      <c r="E1" s="95" t="s">
        <v>2719</v>
      </c>
      <c r="F1" s="95" t="s">
        <v>2720</v>
      </c>
      <c r="G1" s="95" t="s">
        <v>2721</v>
      </c>
      <c r="H1" s="95" t="s">
        <v>2722</v>
      </c>
      <c r="I1" s="95" t="s">
        <v>2723</v>
      </c>
      <c r="J1" s="95" t="s">
        <v>2724</v>
      </c>
    </row>
    <row r="2" spans="1:10" ht="15" thickBot="1">
      <c r="A2" s="91" t="s">
        <v>2725</v>
      </c>
      <c r="B2" s="91" t="s">
        <v>2733</v>
      </c>
      <c r="C2" s="93" t="s">
        <v>2741</v>
      </c>
      <c r="D2" s="91" t="s">
        <v>2749</v>
      </c>
      <c r="E2" s="91" t="s">
        <v>2757</v>
      </c>
      <c r="F2" s="91" t="s">
        <v>2765</v>
      </c>
      <c r="G2" s="93" t="s">
        <v>2766</v>
      </c>
      <c r="H2" s="91" t="s">
        <v>2774</v>
      </c>
      <c r="I2" s="93" t="s">
        <v>2782</v>
      </c>
      <c r="J2" s="91" t="s">
        <v>2733</v>
      </c>
    </row>
    <row r="3" spans="1:10" ht="15" thickBot="1">
      <c r="A3" s="80" t="s">
        <v>2726</v>
      </c>
      <c r="B3" s="80" t="s">
        <v>2734</v>
      </c>
      <c r="C3" s="92" t="s">
        <v>2742</v>
      </c>
      <c r="D3" s="80" t="s">
        <v>2750</v>
      </c>
      <c r="E3" s="80" t="s">
        <v>2758</v>
      </c>
      <c r="F3" s="80" t="s">
        <v>2765</v>
      </c>
      <c r="G3" s="92" t="s">
        <v>2767</v>
      </c>
      <c r="H3" s="80" t="s">
        <v>2775</v>
      </c>
      <c r="I3" s="92" t="s">
        <v>2783</v>
      </c>
      <c r="J3" s="80" t="s">
        <v>2734</v>
      </c>
    </row>
    <row r="4" spans="1:10" ht="15" thickBot="1">
      <c r="A4" s="80" t="s">
        <v>2727</v>
      </c>
      <c r="B4" s="80" t="s">
        <v>2735</v>
      </c>
      <c r="C4" s="92" t="s">
        <v>2743</v>
      </c>
      <c r="D4" s="80" t="s">
        <v>2751</v>
      </c>
      <c r="E4" s="80" t="s">
        <v>2759</v>
      </c>
      <c r="F4" s="80" t="s">
        <v>2765</v>
      </c>
      <c r="G4" s="92" t="s">
        <v>2768</v>
      </c>
      <c r="H4" s="80" t="s">
        <v>2776</v>
      </c>
      <c r="I4" s="92" t="s">
        <v>2784</v>
      </c>
      <c r="J4" s="80" t="s">
        <v>2735</v>
      </c>
    </row>
    <row r="5" spans="1:10" ht="15" thickBot="1">
      <c r="A5" s="80" t="s">
        <v>2728</v>
      </c>
      <c r="B5" s="80" t="s">
        <v>2736</v>
      </c>
      <c r="C5" s="92" t="s">
        <v>2744</v>
      </c>
      <c r="D5" s="80" t="s">
        <v>2752</v>
      </c>
      <c r="E5" s="80" t="s">
        <v>2760</v>
      </c>
      <c r="F5" s="80" t="s">
        <v>2765</v>
      </c>
      <c r="G5" s="92" t="s">
        <v>2769</v>
      </c>
      <c r="H5" s="80" t="s">
        <v>2777</v>
      </c>
      <c r="I5" s="92" t="s">
        <v>2785</v>
      </c>
      <c r="J5" s="80" t="s">
        <v>2736</v>
      </c>
    </row>
    <row r="6" spans="1:10" ht="15" thickBot="1">
      <c r="A6" s="80" t="s">
        <v>2729</v>
      </c>
      <c r="B6" s="80" t="s">
        <v>2737</v>
      </c>
      <c r="C6" s="92" t="s">
        <v>2745</v>
      </c>
      <c r="D6" s="80" t="s">
        <v>2753</v>
      </c>
      <c r="E6" s="80" t="s">
        <v>2761</v>
      </c>
      <c r="F6" s="80" t="s">
        <v>2765</v>
      </c>
      <c r="G6" s="92" t="s">
        <v>2770</v>
      </c>
      <c r="H6" s="80" t="s">
        <v>2778</v>
      </c>
      <c r="I6" s="92" t="s">
        <v>2786</v>
      </c>
      <c r="J6" s="80" t="s">
        <v>2737</v>
      </c>
    </row>
    <row r="7" spans="1:10" ht="15" thickBot="1">
      <c r="A7" s="80" t="s">
        <v>2730</v>
      </c>
      <c r="B7" s="92" t="s">
        <v>2738</v>
      </c>
      <c r="C7" s="92" t="s">
        <v>2746</v>
      </c>
      <c r="D7" s="80" t="s">
        <v>2754</v>
      </c>
      <c r="E7" s="80" t="s">
        <v>2762</v>
      </c>
      <c r="F7" s="80" t="s">
        <v>2765</v>
      </c>
      <c r="G7" s="92" t="s">
        <v>2771</v>
      </c>
      <c r="H7" s="80" t="s">
        <v>2779</v>
      </c>
      <c r="I7" s="92" t="s">
        <v>2787</v>
      </c>
      <c r="J7" s="80" t="s">
        <v>2738</v>
      </c>
    </row>
    <row r="8" spans="1:10" ht="15" thickBot="1">
      <c r="A8" s="80" t="s">
        <v>2731</v>
      </c>
      <c r="B8" s="80" t="s">
        <v>2739</v>
      </c>
      <c r="C8" s="92" t="s">
        <v>2747</v>
      </c>
      <c r="D8" s="80" t="s">
        <v>2755</v>
      </c>
      <c r="E8" s="80" t="s">
        <v>2763</v>
      </c>
      <c r="F8" s="80" t="s">
        <v>2765</v>
      </c>
      <c r="G8" s="92" t="s">
        <v>2772</v>
      </c>
      <c r="H8" s="80" t="s">
        <v>2780</v>
      </c>
      <c r="I8" s="92" t="s">
        <v>2788</v>
      </c>
      <c r="J8" s="80" t="s">
        <v>2739</v>
      </c>
    </row>
    <row r="9" spans="1:10" ht="15" thickBot="1">
      <c r="A9" s="80" t="s">
        <v>2732</v>
      </c>
      <c r="B9" s="92" t="s">
        <v>2740</v>
      </c>
      <c r="C9" s="92" t="s">
        <v>2748</v>
      </c>
      <c r="D9" s="80" t="s">
        <v>2756</v>
      </c>
      <c r="E9" s="80" t="s">
        <v>2764</v>
      </c>
      <c r="F9" s="80" t="s">
        <v>2765</v>
      </c>
      <c r="G9" s="92" t="s">
        <v>2773</v>
      </c>
      <c r="H9" s="80" t="s">
        <v>2781</v>
      </c>
      <c r="I9" s="92" t="s">
        <v>2789</v>
      </c>
      <c r="J9" s="80" t="s">
        <v>2740</v>
      </c>
    </row>
    <row r="13" spans="1:10" ht="15" thickBot="1"/>
    <row r="14" spans="1:10" ht="15" thickBot="1">
      <c r="B14" s="94" t="s">
        <v>2715</v>
      </c>
      <c r="C14" s="96" t="s">
        <v>2719</v>
      </c>
    </row>
    <row r="15" spans="1:10">
      <c r="B15" t="s">
        <v>2729</v>
      </c>
      <c r="C15" t="str" cm="1">
        <f t="array" ref="C15">INDEX(A1:J9,C17,C18)</f>
        <v>Geography (Mr. White)</v>
      </c>
    </row>
    <row r="16" spans="1:10" ht="15" thickBot="1"/>
    <row r="17" spans="2:3" ht="15" thickBot="1">
      <c r="B17" s="97" t="s">
        <v>2790</v>
      </c>
      <c r="C17">
        <f>MATCH(B15,A1:A9,0)</f>
        <v>6</v>
      </c>
    </row>
    <row r="18" spans="2:3" ht="15" thickBot="1">
      <c r="B18" s="97" t="s">
        <v>2791</v>
      </c>
      <c r="C18">
        <f>MATCH(C14,A1:J1,0)</f>
        <v>5</v>
      </c>
    </row>
  </sheetData>
  <dataValidations count="2">
    <dataValidation type="list" allowBlank="1" showInputMessage="1" showErrorMessage="1" sqref="B15" xr:uid="{E25E0FCF-FEAB-4DF9-8B6D-35489460B478}">
      <formula1>$A$2:$A$9</formula1>
    </dataValidation>
    <dataValidation type="list" allowBlank="1" showInputMessage="1" showErrorMessage="1" sqref="C14" xr:uid="{9A45BC46-C974-4C7B-B4B4-C600A83CBB7E}">
      <formula1>$A$1:$J$1</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978A-6E27-4740-ABE1-9186D3C31DC0}">
  <sheetPr codeName="Sheet14"/>
  <dimension ref="A1:U1001"/>
  <sheetViews>
    <sheetView zoomScaleNormal="100" workbookViewId="0">
      <selection activeCell="J1" sqref="J1:J1048576"/>
    </sheetView>
  </sheetViews>
  <sheetFormatPr defaultRowHeight="14.5"/>
  <cols>
    <col min="1" max="1" width="12.08984375" customWidth="1"/>
    <col min="2" max="2" width="15.54296875" customWidth="1"/>
    <col min="3" max="3" width="11.36328125" customWidth="1"/>
    <col min="4" max="4" width="12.08984375" customWidth="1"/>
    <col min="5" max="5" width="9" customWidth="1"/>
    <col min="6" max="6" width="16.08984375" customWidth="1"/>
    <col min="7" max="7" width="14.26953125" customWidth="1"/>
    <col min="8" max="8" width="9.1796875" customWidth="1"/>
    <col min="9" max="9" width="14.26953125" customWidth="1"/>
    <col min="10" max="10" width="13.6328125" customWidth="1"/>
    <col min="11" max="11" width="10.81640625" customWidth="1"/>
    <col min="12" max="12" width="10.08984375" customWidth="1"/>
    <col min="13" max="13" width="15.81640625" customWidth="1"/>
    <col min="14" max="14" width="34.453125" style="36" customWidth="1"/>
    <col min="15" max="15" width="11.1796875" customWidth="1"/>
    <col min="16" max="16" width="16.08984375" customWidth="1"/>
    <col min="17" max="17" width="12.81640625" customWidth="1"/>
    <col min="18" max="18" width="13" customWidth="1"/>
    <col min="20" max="20" width="14.26953125" customWidth="1"/>
    <col min="21" max="21" width="9.90625" customWidth="1"/>
  </cols>
  <sheetData>
    <row r="1" spans="1:21" ht="15" thickBot="1">
      <c r="A1" s="99" t="s">
        <v>2425</v>
      </c>
      <c r="B1" s="99" t="s">
        <v>2662</v>
      </c>
      <c r="C1" s="99" t="s">
        <v>2428</v>
      </c>
      <c r="D1" s="99" t="s">
        <v>2427</v>
      </c>
      <c r="E1" s="99" t="s">
        <v>2426</v>
      </c>
      <c r="F1" s="99" t="s">
        <v>2663</v>
      </c>
      <c r="G1" s="99" t="s">
        <v>2664</v>
      </c>
      <c r="H1" s="99" t="s">
        <v>2430</v>
      </c>
      <c r="I1" s="99" t="s">
        <v>2431</v>
      </c>
      <c r="J1" s="99" t="s">
        <v>2432</v>
      </c>
      <c r="M1" s="99" t="s">
        <v>2427</v>
      </c>
      <c r="N1" s="100" t="s">
        <v>2792</v>
      </c>
      <c r="P1" s="101"/>
      <c r="T1" s="99" t="s">
        <v>2664</v>
      </c>
      <c r="U1" s="99" t="s">
        <v>2426</v>
      </c>
    </row>
    <row r="2" spans="1:21" ht="15" thickBot="1">
      <c r="A2" s="98" t="s">
        <v>2665</v>
      </c>
      <c r="B2" s="80" t="s">
        <v>2678</v>
      </c>
      <c r="C2" s="80" t="s">
        <v>2653</v>
      </c>
      <c r="D2" s="80" t="s">
        <v>2644</v>
      </c>
      <c r="E2" s="80" t="s">
        <v>2641</v>
      </c>
      <c r="F2" s="80" t="s">
        <v>2373</v>
      </c>
      <c r="G2" s="80" t="s">
        <v>2688</v>
      </c>
      <c r="H2" s="79">
        <v>6</v>
      </c>
      <c r="I2" s="79">
        <v>4016.25</v>
      </c>
      <c r="J2" s="79">
        <v>24097.5</v>
      </c>
      <c r="M2" s="102" t="s">
        <v>2644</v>
      </c>
      <c r="N2" s="36">
        <f>COUNTIF(D:D,M2)</f>
        <v>207</v>
      </c>
      <c r="P2" s="80"/>
      <c r="T2" s="80" t="s">
        <v>2688</v>
      </c>
      <c r="U2" s="80" t="s">
        <v>2641</v>
      </c>
    </row>
    <row r="3" spans="1:21" ht="15" thickBot="1">
      <c r="A3" s="98">
        <v>44937</v>
      </c>
      <c r="B3" s="80" t="s">
        <v>2679</v>
      </c>
      <c r="C3" s="80" t="s">
        <v>2654</v>
      </c>
      <c r="D3" s="80" t="s">
        <v>2646</v>
      </c>
      <c r="E3" s="80" t="s">
        <v>2642</v>
      </c>
      <c r="F3" s="80" t="s">
        <v>2374</v>
      </c>
      <c r="G3" s="80" t="s">
        <v>2689</v>
      </c>
      <c r="H3" s="79">
        <v>9</v>
      </c>
      <c r="I3" s="79">
        <v>3801.85</v>
      </c>
      <c r="J3" s="79">
        <v>34216.65</v>
      </c>
      <c r="M3" s="102" t="s">
        <v>2646</v>
      </c>
      <c r="N3" s="36">
        <f t="shared" ref="N3:N6" si="0">COUNTIF(D:D,M3)</f>
        <v>208</v>
      </c>
      <c r="P3" s="80"/>
      <c r="T3" s="80" t="s">
        <v>2689</v>
      </c>
      <c r="U3" s="80" t="s">
        <v>2642</v>
      </c>
    </row>
    <row r="4" spans="1:21" ht="15" thickBot="1">
      <c r="A4" s="98">
        <v>45081</v>
      </c>
      <c r="B4" s="80" t="s">
        <v>2680</v>
      </c>
      <c r="C4" s="80" t="s">
        <v>2658</v>
      </c>
      <c r="D4" s="80" t="s">
        <v>2645</v>
      </c>
      <c r="E4" s="80" t="s">
        <v>2642</v>
      </c>
      <c r="F4" s="80" t="s">
        <v>2374</v>
      </c>
      <c r="G4" s="80" t="s">
        <v>2689</v>
      </c>
      <c r="H4" s="79">
        <v>11</v>
      </c>
      <c r="I4" s="79">
        <v>3594.07</v>
      </c>
      <c r="J4" s="79">
        <v>39534.769999999997</v>
      </c>
      <c r="M4" s="102" t="s">
        <v>2645</v>
      </c>
      <c r="N4" s="36">
        <f t="shared" si="0"/>
        <v>212</v>
      </c>
      <c r="P4" s="80"/>
      <c r="T4" s="80" t="s">
        <v>2690</v>
      </c>
      <c r="U4" s="80" t="s">
        <v>2643</v>
      </c>
    </row>
    <row r="5" spans="1:21" ht="15" thickBot="1">
      <c r="A5" s="98" t="s">
        <v>2499</v>
      </c>
      <c r="B5" s="80" t="s">
        <v>2679</v>
      </c>
      <c r="C5" s="80" t="s">
        <v>2651</v>
      </c>
      <c r="D5" s="80" t="s">
        <v>2646</v>
      </c>
      <c r="E5" s="80" t="s">
        <v>2642</v>
      </c>
      <c r="F5" s="80" t="s">
        <v>2372</v>
      </c>
      <c r="G5" s="80" t="s">
        <v>2690</v>
      </c>
      <c r="H5" s="79">
        <v>9</v>
      </c>
      <c r="I5" s="79">
        <v>4487</v>
      </c>
      <c r="J5" s="79">
        <v>40383</v>
      </c>
      <c r="M5" s="102" t="s">
        <v>2648</v>
      </c>
      <c r="N5" s="36">
        <f t="shared" si="0"/>
        <v>180</v>
      </c>
      <c r="P5" s="80"/>
      <c r="T5" s="80" t="s">
        <v>2691</v>
      </c>
    </row>
    <row r="6" spans="1:21" ht="15" thickBot="1">
      <c r="A6" s="98">
        <v>45115</v>
      </c>
      <c r="B6" s="80" t="s">
        <v>2681</v>
      </c>
      <c r="C6" s="80" t="s">
        <v>2392</v>
      </c>
      <c r="D6" s="80" t="s">
        <v>2644</v>
      </c>
      <c r="E6" s="80" t="s">
        <v>2641</v>
      </c>
      <c r="F6" s="80" t="s">
        <v>2661</v>
      </c>
      <c r="G6" s="80" t="s">
        <v>2691</v>
      </c>
      <c r="H6" s="79">
        <v>17</v>
      </c>
      <c r="I6" s="79">
        <v>1240.77</v>
      </c>
      <c r="J6" s="79">
        <v>21093.09</v>
      </c>
      <c r="M6" s="102" t="s">
        <v>2647</v>
      </c>
      <c r="N6" s="36">
        <f t="shared" si="0"/>
        <v>193</v>
      </c>
      <c r="P6" s="80"/>
      <c r="T6" s="80" t="s">
        <v>2692</v>
      </c>
    </row>
    <row r="7" spans="1:21" ht="15" thickBot="1">
      <c r="A7" s="98" t="s">
        <v>2519</v>
      </c>
      <c r="B7" s="80" t="s">
        <v>2682</v>
      </c>
      <c r="C7" s="80" t="s">
        <v>2650</v>
      </c>
      <c r="D7" s="80" t="s">
        <v>2646</v>
      </c>
      <c r="E7" s="80" t="s">
        <v>2642</v>
      </c>
      <c r="F7" s="80" t="s">
        <v>2374</v>
      </c>
      <c r="G7" s="80" t="s">
        <v>2692</v>
      </c>
      <c r="H7" s="79">
        <v>7</v>
      </c>
      <c r="I7" s="79">
        <v>4772.29</v>
      </c>
      <c r="J7" s="79">
        <v>33406.03</v>
      </c>
      <c r="T7" s="80" t="s">
        <v>1335</v>
      </c>
    </row>
    <row r="8" spans="1:21" ht="15" thickBot="1">
      <c r="A8" s="98">
        <v>44931</v>
      </c>
      <c r="B8" s="80" t="s">
        <v>2683</v>
      </c>
      <c r="C8" s="80" t="s">
        <v>2649</v>
      </c>
      <c r="D8" s="80" t="s">
        <v>2645</v>
      </c>
      <c r="E8" s="80" t="s">
        <v>2642</v>
      </c>
      <c r="F8" s="80" t="s">
        <v>2370</v>
      </c>
      <c r="G8" s="80" t="s">
        <v>1335</v>
      </c>
      <c r="H8" s="79">
        <v>5</v>
      </c>
      <c r="I8" s="79">
        <v>2196.9899999999998</v>
      </c>
      <c r="J8" s="79">
        <v>10984.95</v>
      </c>
      <c r="T8" s="80" t="s">
        <v>1336</v>
      </c>
    </row>
    <row r="9" spans="1:21" ht="15" thickBot="1">
      <c r="A9" s="98" t="s">
        <v>2519</v>
      </c>
      <c r="B9" s="80" t="s">
        <v>2684</v>
      </c>
      <c r="C9" s="80" t="s">
        <v>2656</v>
      </c>
      <c r="D9" s="80" t="s">
        <v>2648</v>
      </c>
      <c r="E9" s="80" t="s">
        <v>2641</v>
      </c>
      <c r="F9" s="80" t="s">
        <v>2372</v>
      </c>
      <c r="G9" s="80" t="s">
        <v>2690</v>
      </c>
      <c r="H9" s="79">
        <v>5</v>
      </c>
      <c r="I9" s="79">
        <v>967.6</v>
      </c>
      <c r="J9" s="79">
        <v>4838</v>
      </c>
      <c r="N9" s="104" t="s">
        <v>2794</v>
      </c>
      <c r="T9" s="80" t="s">
        <v>2693</v>
      </c>
    </row>
    <row r="10" spans="1:21" ht="15" thickBot="1">
      <c r="A10" s="98" t="s">
        <v>2624</v>
      </c>
      <c r="B10" s="80" t="s">
        <v>2679</v>
      </c>
      <c r="C10" s="80" t="s">
        <v>2651</v>
      </c>
      <c r="D10" s="80" t="s">
        <v>2646</v>
      </c>
      <c r="E10" s="80" t="s">
        <v>2642</v>
      </c>
      <c r="F10" s="80" t="s">
        <v>2374</v>
      </c>
      <c r="G10" s="80" t="s">
        <v>2689</v>
      </c>
      <c r="H10" s="79">
        <v>18</v>
      </c>
      <c r="I10" s="79">
        <v>3128.59</v>
      </c>
      <c r="J10" s="79">
        <v>56314.62</v>
      </c>
      <c r="M10" s="99" t="s">
        <v>2793</v>
      </c>
      <c r="N10" s="103" t="s">
        <v>2373</v>
      </c>
      <c r="O10" s="103" t="s">
        <v>2374</v>
      </c>
      <c r="P10" s="103" t="s">
        <v>2372</v>
      </c>
      <c r="Q10" s="103" t="s">
        <v>2661</v>
      </c>
      <c r="R10" s="103" t="s">
        <v>2370</v>
      </c>
      <c r="T10" s="80" t="s">
        <v>2694</v>
      </c>
    </row>
    <row r="11" spans="1:21" ht="15" thickBot="1">
      <c r="A11" s="98" t="s">
        <v>2468</v>
      </c>
      <c r="B11" s="80" t="s">
        <v>2680</v>
      </c>
      <c r="C11" s="80" t="s">
        <v>2650</v>
      </c>
      <c r="D11" s="80" t="s">
        <v>2646</v>
      </c>
      <c r="E11" s="80" t="s">
        <v>2642</v>
      </c>
      <c r="F11" s="80" t="s">
        <v>2373</v>
      </c>
      <c r="G11" s="80" t="s">
        <v>2688</v>
      </c>
      <c r="H11" s="79">
        <v>10</v>
      </c>
      <c r="I11" s="79">
        <v>2754.3</v>
      </c>
      <c r="J11" s="79">
        <v>27543</v>
      </c>
      <c r="M11" s="102" t="s">
        <v>2644</v>
      </c>
      <c r="N11" s="36">
        <f>COUNTIFS($D:$D,$M11,$F:$F,N$10)</f>
        <v>44</v>
      </c>
      <c r="O11" s="36">
        <f t="shared" ref="O11:R15" si="1">COUNTIFS($D:$D,$M11,$F:$F,O$10)</f>
        <v>41</v>
      </c>
      <c r="P11" s="36">
        <f t="shared" si="1"/>
        <v>49</v>
      </c>
      <c r="Q11" s="36">
        <f t="shared" si="1"/>
        <v>34</v>
      </c>
      <c r="R11" s="36">
        <f t="shared" si="1"/>
        <v>39</v>
      </c>
      <c r="T11" s="80" t="s">
        <v>2695</v>
      </c>
    </row>
    <row r="12" spans="1:21" ht="15" thickBot="1">
      <c r="A12" s="98" t="s">
        <v>2444</v>
      </c>
      <c r="B12" s="80" t="s">
        <v>2679</v>
      </c>
      <c r="C12" s="80" t="s">
        <v>2656</v>
      </c>
      <c r="D12" s="80" t="s">
        <v>2648</v>
      </c>
      <c r="E12" s="80" t="s">
        <v>2641</v>
      </c>
      <c r="F12" s="80" t="s">
        <v>2370</v>
      </c>
      <c r="G12" s="80" t="s">
        <v>1336</v>
      </c>
      <c r="H12" s="79">
        <v>19</v>
      </c>
      <c r="I12" s="79">
        <v>4896.3100000000004</v>
      </c>
      <c r="J12" s="79">
        <v>93029.89</v>
      </c>
      <c r="M12" s="102" t="s">
        <v>2646</v>
      </c>
      <c r="N12" s="36">
        <f t="shared" ref="N12:N15" si="2">COUNTIFS($D:$D,$M12,$F:$F,N$10)</f>
        <v>41</v>
      </c>
      <c r="O12" s="36">
        <f t="shared" si="1"/>
        <v>33</v>
      </c>
      <c r="P12" s="36">
        <f t="shared" si="1"/>
        <v>45</v>
      </c>
      <c r="Q12" s="36">
        <f t="shared" si="1"/>
        <v>43</v>
      </c>
      <c r="R12" s="36">
        <f t="shared" si="1"/>
        <v>46</v>
      </c>
      <c r="T12" s="80" t="s">
        <v>2696</v>
      </c>
    </row>
    <row r="13" spans="1:21" ht="15" thickBot="1">
      <c r="A13" s="98" t="s">
        <v>2537</v>
      </c>
      <c r="B13" s="80" t="s">
        <v>2683</v>
      </c>
      <c r="C13" s="80" t="s">
        <v>2649</v>
      </c>
      <c r="D13" s="80" t="s">
        <v>2645</v>
      </c>
      <c r="E13" s="80" t="s">
        <v>2642</v>
      </c>
      <c r="F13" s="80" t="s">
        <v>2372</v>
      </c>
      <c r="G13" s="80" t="s">
        <v>2693</v>
      </c>
      <c r="H13" s="79">
        <v>19</v>
      </c>
      <c r="I13" s="79">
        <v>4562.0200000000004</v>
      </c>
      <c r="J13" s="79">
        <v>86678.38</v>
      </c>
      <c r="M13" s="102" t="s">
        <v>2645</v>
      </c>
      <c r="N13" s="36">
        <f t="shared" si="2"/>
        <v>42</v>
      </c>
      <c r="O13" s="36">
        <f t="shared" si="1"/>
        <v>46</v>
      </c>
      <c r="P13" s="36">
        <f t="shared" si="1"/>
        <v>42</v>
      </c>
      <c r="Q13" s="36">
        <f t="shared" si="1"/>
        <v>42</v>
      </c>
      <c r="R13" s="36">
        <f t="shared" si="1"/>
        <v>40</v>
      </c>
      <c r="T13" s="80" t="s">
        <v>2697</v>
      </c>
    </row>
    <row r="14" spans="1:21" ht="15" thickBot="1">
      <c r="A14" s="98">
        <v>45261</v>
      </c>
      <c r="B14" s="80" t="s">
        <v>2682</v>
      </c>
      <c r="C14" s="80" t="s">
        <v>2392</v>
      </c>
      <c r="D14" s="80" t="s">
        <v>2644</v>
      </c>
      <c r="E14" s="80" t="s">
        <v>2641</v>
      </c>
      <c r="F14" s="80" t="s">
        <v>2374</v>
      </c>
      <c r="G14" s="80" t="s">
        <v>2692</v>
      </c>
      <c r="H14" s="79">
        <v>6</v>
      </c>
      <c r="I14" s="79">
        <v>4231.7700000000004</v>
      </c>
      <c r="J14" s="79">
        <v>25390.62</v>
      </c>
      <c r="M14" s="102" t="s">
        <v>2648</v>
      </c>
      <c r="N14" s="36">
        <f t="shared" si="2"/>
        <v>32</v>
      </c>
      <c r="O14" s="36">
        <f t="shared" si="1"/>
        <v>35</v>
      </c>
      <c r="P14" s="36">
        <f t="shared" si="1"/>
        <v>41</v>
      </c>
      <c r="Q14" s="36">
        <f t="shared" si="1"/>
        <v>36</v>
      </c>
      <c r="R14" s="36">
        <f t="shared" si="1"/>
        <v>36</v>
      </c>
      <c r="T14" s="80" t="s">
        <v>2698</v>
      </c>
    </row>
    <row r="15" spans="1:21" ht="15" thickBot="1">
      <c r="A15" s="98" t="s">
        <v>2497</v>
      </c>
      <c r="B15" s="80" t="s">
        <v>2685</v>
      </c>
      <c r="C15" s="80" t="s">
        <v>2656</v>
      </c>
      <c r="D15" s="80" t="s">
        <v>2648</v>
      </c>
      <c r="E15" s="80" t="s">
        <v>2641</v>
      </c>
      <c r="F15" s="80" t="s">
        <v>2372</v>
      </c>
      <c r="G15" s="80" t="s">
        <v>2694</v>
      </c>
      <c r="H15" s="79">
        <v>20</v>
      </c>
      <c r="I15" s="79">
        <v>1027.53</v>
      </c>
      <c r="J15" s="79">
        <v>20550.599999999999</v>
      </c>
      <c r="M15" s="102" t="s">
        <v>2647</v>
      </c>
      <c r="N15" s="36">
        <f t="shared" si="2"/>
        <v>46</v>
      </c>
      <c r="O15" s="36">
        <f t="shared" si="1"/>
        <v>39</v>
      </c>
      <c r="P15" s="36">
        <f t="shared" si="1"/>
        <v>33</v>
      </c>
      <c r="Q15" s="36">
        <f t="shared" si="1"/>
        <v>34</v>
      </c>
      <c r="R15" s="36">
        <f t="shared" si="1"/>
        <v>41</v>
      </c>
      <c r="T15" s="80" t="s">
        <v>2699</v>
      </c>
    </row>
    <row r="16" spans="1:21" ht="15" thickBot="1">
      <c r="A16" s="98" t="s">
        <v>2599</v>
      </c>
      <c r="B16" s="80" t="s">
        <v>2686</v>
      </c>
      <c r="C16" s="80" t="s">
        <v>2653</v>
      </c>
      <c r="D16" s="80" t="s">
        <v>2644</v>
      </c>
      <c r="E16" s="80" t="s">
        <v>2641</v>
      </c>
      <c r="F16" s="80" t="s">
        <v>2372</v>
      </c>
      <c r="G16" s="80" t="s">
        <v>2693</v>
      </c>
      <c r="H16" s="79">
        <v>7</v>
      </c>
      <c r="I16" s="79">
        <v>1257.3399999999999</v>
      </c>
      <c r="J16" s="79">
        <v>8801.3799999999992</v>
      </c>
      <c r="T16" s="80" t="s">
        <v>2700</v>
      </c>
    </row>
    <row r="17" spans="1:20" ht="15" thickBot="1">
      <c r="A17" s="98" t="s">
        <v>2506</v>
      </c>
      <c r="B17" s="80" t="s">
        <v>2683</v>
      </c>
      <c r="C17" s="80" t="s">
        <v>2660</v>
      </c>
      <c r="D17" s="80" t="s">
        <v>2647</v>
      </c>
      <c r="E17" s="80" t="s">
        <v>2643</v>
      </c>
      <c r="F17" s="80" t="s">
        <v>2372</v>
      </c>
      <c r="G17" s="80" t="s">
        <v>2694</v>
      </c>
      <c r="H17" s="79">
        <v>9</v>
      </c>
      <c r="I17" s="79">
        <v>2634.14</v>
      </c>
      <c r="J17" s="79">
        <v>23707.26</v>
      </c>
      <c r="T17" s="80" t="s">
        <v>2701</v>
      </c>
    </row>
    <row r="18" spans="1:20" ht="15" thickBot="1">
      <c r="A18" s="98">
        <v>44963</v>
      </c>
      <c r="B18" s="80" t="s">
        <v>2681</v>
      </c>
      <c r="C18" s="80" t="s">
        <v>2393</v>
      </c>
      <c r="D18" s="80" t="s">
        <v>2644</v>
      </c>
      <c r="E18" s="80" t="s">
        <v>2641</v>
      </c>
      <c r="F18" s="80" t="s">
        <v>2373</v>
      </c>
      <c r="G18" s="80" t="s">
        <v>2688</v>
      </c>
      <c r="H18" s="79">
        <v>11</v>
      </c>
      <c r="I18" s="79">
        <v>4509.49</v>
      </c>
      <c r="J18" s="79">
        <v>49604.39</v>
      </c>
      <c r="N18" s="106"/>
      <c r="T18" s="80" t="s">
        <v>2702</v>
      </c>
    </row>
    <row r="19" spans="1:20" ht="15" thickBot="1">
      <c r="A19" s="98" t="s">
        <v>2514</v>
      </c>
      <c r="B19" s="80" t="s">
        <v>2682</v>
      </c>
      <c r="C19" s="80" t="s">
        <v>2396</v>
      </c>
      <c r="D19" s="80" t="s">
        <v>2648</v>
      </c>
      <c r="E19" s="80" t="s">
        <v>2641</v>
      </c>
      <c r="F19" s="80" t="s">
        <v>2661</v>
      </c>
      <c r="G19" s="80" t="s">
        <v>2695</v>
      </c>
      <c r="H19" s="79">
        <v>3</v>
      </c>
      <c r="I19" s="79">
        <v>2738.83</v>
      </c>
      <c r="J19" s="79">
        <v>8216.49</v>
      </c>
      <c r="M19" s="105"/>
      <c r="N19" s="108"/>
      <c r="T19" s="80" t="s">
        <v>2703</v>
      </c>
    </row>
    <row r="20" spans="1:20" ht="15" thickBot="1">
      <c r="A20" s="98" t="s">
        <v>2481</v>
      </c>
      <c r="B20" s="80" t="s">
        <v>2682</v>
      </c>
      <c r="C20" s="80" t="s">
        <v>2653</v>
      </c>
      <c r="D20" s="80" t="s">
        <v>2644</v>
      </c>
      <c r="E20" s="80" t="s">
        <v>2641</v>
      </c>
      <c r="F20" s="80" t="s">
        <v>2372</v>
      </c>
      <c r="G20" s="80" t="s">
        <v>2690</v>
      </c>
      <c r="H20" s="79">
        <v>10</v>
      </c>
      <c r="I20" s="79">
        <v>4247.74</v>
      </c>
      <c r="J20" s="79">
        <v>42477.4</v>
      </c>
      <c r="M20" s="111" t="s">
        <v>2426</v>
      </c>
      <c r="N20" s="109" t="s">
        <v>2795</v>
      </c>
      <c r="T20" s="80" t="s">
        <v>2704</v>
      </c>
    </row>
    <row r="21" spans="1:20" ht="15" thickBot="1">
      <c r="A21" s="98" t="s">
        <v>2444</v>
      </c>
      <c r="B21" s="80" t="s">
        <v>2680</v>
      </c>
      <c r="C21" s="80" t="s">
        <v>2649</v>
      </c>
      <c r="D21" s="80" t="s">
        <v>2645</v>
      </c>
      <c r="E21" s="80" t="s">
        <v>2642</v>
      </c>
      <c r="F21" s="80" t="s">
        <v>2374</v>
      </c>
      <c r="G21" s="80" t="s">
        <v>2692</v>
      </c>
      <c r="H21" s="79">
        <v>3</v>
      </c>
      <c r="I21" s="79">
        <v>1133.19</v>
      </c>
      <c r="J21" s="79">
        <v>3399.57</v>
      </c>
      <c r="M21" s="110" t="s">
        <v>2641</v>
      </c>
      <c r="N21" s="107">
        <f>SUMIF(E:E,M21,H:H)</f>
        <v>4073</v>
      </c>
      <c r="T21" s="80" t="s">
        <v>2705</v>
      </c>
    </row>
    <row r="22" spans="1:20" ht="15" thickBot="1">
      <c r="A22" s="98" t="s">
        <v>2526</v>
      </c>
      <c r="B22" s="80" t="s">
        <v>2687</v>
      </c>
      <c r="C22" s="80" t="s">
        <v>2659</v>
      </c>
      <c r="D22" s="80" t="s">
        <v>2647</v>
      </c>
      <c r="E22" s="80" t="s">
        <v>2643</v>
      </c>
      <c r="F22" s="80" t="s">
        <v>2370</v>
      </c>
      <c r="G22" s="80" t="s">
        <v>1336</v>
      </c>
      <c r="H22" s="79">
        <v>6</v>
      </c>
      <c r="I22" s="79">
        <v>623.22</v>
      </c>
      <c r="J22" s="79">
        <v>3739.32</v>
      </c>
      <c r="M22" s="80" t="s">
        <v>2642</v>
      </c>
      <c r="N22" s="107">
        <f t="shared" ref="N22:N23" si="3">SUMIF(E:E,M22,H:H)</f>
        <v>4434</v>
      </c>
      <c r="O22" s="105"/>
    </row>
    <row r="23" spans="1:20" ht="15" thickBot="1">
      <c r="A23" s="98" t="s">
        <v>2580</v>
      </c>
      <c r="B23" s="80" t="s">
        <v>2681</v>
      </c>
      <c r="C23" s="80" t="s">
        <v>2654</v>
      </c>
      <c r="D23" s="80" t="s">
        <v>2646</v>
      </c>
      <c r="E23" s="80" t="s">
        <v>2642</v>
      </c>
      <c r="F23" s="80" t="s">
        <v>2374</v>
      </c>
      <c r="G23" s="80" t="s">
        <v>2689</v>
      </c>
      <c r="H23" s="79">
        <v>18</v>
      </c>
      <c r="I23" s="79">
        <v>698.42</v>
      </c>
      <c r="J23" s="79">
        <v>12571.56</v>
      </c>
      <c r="M23" s="80" t="s">
        <v>2643</v>
      </c>
      <c r="N23" s="107">
        <f t="shared" si="3"/>
        <v>2067</v>
      </c>
    </row>
    <row r="24" spans="1:20" ht="15" thickBot="1">
      <c r="A24" s="98">
        <v>45089</v>
      </c>
      <c r="B24" s="80" t="s">
        <v>2684</v>
      </c>
      <c r="C24" s="80" t="s">
        <v>2655</v>
      </c>
      <c r="D24" s="80" t="s">
        <v>2645</v>
      </c>
      <c r="E24" s="80" t="s">
        <v>2642</v>
      </c>
      <c r="F24" s="80" t="s">
        <v>2661</v>
      </c>
      <c r="G24" s="80" t="s">
        <v>2696</v>
      </c>
      <c r="H24" s="79">
        <v>19</v>
      </c>
      <c r="I24" s="79">
        <v>2494.11</v>
      </c>
      <c r="J24" s="79">
        <v>47388.09</v>
      </c>
    </row>
    <row r="25" spans="1:20" ht="15" thickBot="1">
      <c r="A25" s="98" t="s">
        <v>2433</v>
      </c>
      <c r="B25" s="80" t="s">
        <v>2683</v>
      </c>
      <c r="C25" s="80" t="s">
        <v>2650</v>
      </c>
      <c r="D25" s="80" t="s">
        <v>2646</v>
      </c>
      <c r="E25" s="80" t="s">
        <v>2642</v>
      </c>
      <c r="F25" s="80" t="s">
        <v>2661</v>
      </c>
      <c r="G25" s="80" t="s">
        <v>2696</v>
      </c>
      <c r="H25" s="79">
        <v>15</v>
      </c>
      <c r="I25" s="79">
        <v>3368.77</v>
      </c>
      <c r="J25" s="79">
        <v>50531.55</v>
      </c>
    </row>
    <row r="26" spans="1:20" ht="15" thickBot="1">
      <c r="A26" s="98" t="s">
        <v>2521</v>
      </c>
      <c r="B26" s="80" t="s">
        <v>2680</v>
      </c>
      <c r="C26" s="80" t="s">
        <v>2649</v>
      </c>
      <c r="D26" s="80" t="s">
        <v>2645</v>
      </c>
      <c r="E26" s="80" t="s">
        <v>2642</v>
      </c>
      <c r="F26" s="80" t="s">
        <v>2373</v>
      </c>
      <c r="G26" s="80" t="s">
        <v>2697</v>
      </c>
      <c r="H26" s="79">
        <v>2</v>
      </c>
      <c r="I26" s="79">
        <v>962.28</v>
      </c>
      <c r="J26" s="79">
        <v>1924.56</v>
      </c>
      <c r="M26" s="99" t="s">
        <v>2796</v>
      </c>
      <c r="N26" s="110" t="s">
        <v>2641</v>
      </c>
      <c r="O26" s="80" t="s">
        <v>2642</v>
      </c>
      <c r="P26" s="80" t="s">
        <v>2643</v>
      </c>
    </row>
    <row r="27" spans="1:20" ht="15" thickBot="1">
      <c r="A27" s="98">
        <v>44930</v>
      </c>
      <c r="B27" s="80" t="s">
        <v>2687</v>
      </c>
      <c r="C27" s="80" t="s">
        <v>2393</v>
      </c>
      <c r="D27" s="80" t="s">
        <v>2644</v>
      </c>
      <c r="E27" s="80" t="s">
        <v>2641</v>
      </c>
      <c r="F27" s="80" t="s">
        <v>2372</v>
      </c>
      <c r="G27" s="80" t="s">
        <v>2694</v>
      </c>
      <c r="H27" s="79">
        <v>19</v>
      </c>
      <c r="I27" s="79">
        <v>1065.27</v>
      </c>
      <c r="J27" s="79">
        <v>20240.13</v>
      </c>
      <c r="M27" s="80" t="s">
        <v>2688</v>
      </c>
      <c r="N27" s="36">
        <f>SUMIFS($H:$H,$G:$G,$M27,$E:$E,N$26)</f>
        <v>195</v>
      </c>
      <c r="O27" s="36">
        <f t="shared" ref="O27:P42" si="4">SUMIFS($H:$H,$G:$G,$M27,$E:$E,O$26)</f>
        <v>126</v>
      </c>
      <c r="P27" s="36">
        <f t="shared" si="4"/>
        <v>122</v>
      </c>
    </row>
    <row r="28" spans="1:20" ht="15" thickBot="1">
      <c r="A28" s="98" t="s">
        <v>2666</v>
      </c>
      <c r="B28" s="80" t="s">
        <v>2687</v>
      </c>
      <c r="C28" s="80" t="s">
        <v>2656</v>
      </c>
      <c r="D28" s="80" t="s">
        <v>2648</v>
      </c>
      <c r="E28" s="80" t="s">
        <v>2641</v>
      </c>
      <c r="F28" s="80" t="s">
        <v>2661</v>
      </c>
      <c r="G28" s="80" t="s">
        <v>2695</v>
      </c>
      <c r="H28" s="79">
        <v>10</v>
      </c>
      <c r="I28" s="79">
        <v>4507.62</v>
      </c>
      <c r="J28" s="79">
        <v>45076.2</v>
      </c>
      <c r="M28" s="80" t="s">
        <v>2689</v>
      </c>
      <c r="N28" s="36">
        <f t="shared" ref="N28:P46" si="5">SUMIFS($H:$H,$G:$G,$M28,$E:$E,N$26)</f>
        <v>299</v>
      </c>
      <c r="O28" s="36">
        <f t="shared" si="4"/>
        <v>227</v>
      </c>
      <c r="P28" s="36">
        <f t="shared" si="4"/>
        <v>100</v>
      </c>
    </row>
    <row r="29" spans="1:20" ht="15" thickBot="1">
      <c r="A29" s="98" t="s">
        <v>2532</v>
      </c>
      <c r="B29" s="80" t="s">
        <v>2681</v>
      </c>
      <c r="C29" s="80" t="s">
        <v>2659</v>
      </c>
      <c r="D29" s="80" t="s">
        <v>2647</v>
      </c>
      <c r="E29" s="80" t="s">
        <v>2643</v>
      </c>
      <c r="F29" s="80" t="s">
        <v>2372</v>
      </c>
      <c r="G29" s="80" t="s">
        <v>2693</v>
      </c>
      <c r="H29" s="79">
        <v>4</v>
      </c>
      <c r="I29" s="79">
        <v>4373.75</v>
      </c>
      <c r="J29" s="79">
        <v>17495</v>
      </c>
      <c r="M29" s="80" t="s">
        <v>2690</v>
      </c>
      <c r="N29" s="36">
        <f t="shared" si="5"/>
        <v>333</v>
      </c>
      <c r="O29" s="36">
        <f t="shared" si="4"/>
        <v>218</v>
      </c>
      <c r="P29" s="36">
        <f t="shared" si="4"/>
        <v>94</v>
      </c>
    </row>
    <row r="30" spans="1:20" ht="15" thickBot="1">
      <c r="A30" s="98" t="s">
        <v>2503</v>
      </c>
      <c r="B30" s="80" t="s">
        <v>2685</v>
      </c>
      <c r="C30" s="80" t="s">
        <v>2654</v>
      </c>
      <c r="D30" s="80" t="s">
        <v>2646</v>
      </c>
      <c r="E30" s="80" t="s">
        <v>2642</v>
      </c>
      <c r="F30" s="80" t="s">
        <v>2372</v>
      </c>
      <c r="G30" s="80" t="s">
        <v>2693</v>
      </c>
      <c r="H30" s="79">
        <v>4</v>
      </c>
      <c r="I30" s="79">
        <v>791.28</v>
      </c>
      <c r="J30" s="79">
        <v>3165.12</v>
      </c>
      <c r="M30" s="80" t="s">
        <v>2691</v>
      </c>
      <c r="N30" s="36">
        <f t="shared" si="5"/>
        <v>212</v>
      </c>
      <c r="O30" s="36">
        <f t="shared" si="4"/>
        <v>170</v>
      </c>
      <c r="P30" s="36">
        <f t="shared" si="4"/>
        <v>82</v>
      </c>
    </row>
    <row r="31" spans="1:20" ht="15" thickBot="1">
      <c r="A31" s="98">
        <v>45082</v>
      </c>
      <c r="B31" s="80" t="s">
        <v>2684</v>
      </c>
      <c r="C31" s="80" t="s">
        <v>2649</v>
      </c>
      <c r="D31" s="80" t="s">
        <v>2645</v>
      </c>
      <c r="E31" s="80" t="s">
        <v>2642</v>
      </c>
      <c r="F31" s="80" t="s">
        <v>2661</v>
      </c>
      <c r="G31" s="80" t="s">
        <v>2691</v>
      </c>
      <c r="H31" s="79">
        <v>14</v>
      </c>
      <c r="I31" s="79">
        <v>4868.33</v>
      </c>
      <c r="J31" s="79">
        <v>68156.62</v>
      </c>
      <c r="M31" s="80" t="s">
        <v>2692</v>
      </c>
      <c r="N31" s="36">
        <f t="shared" si="5"/>
        <v>221</v>
      </c>
      <c r="O31" s="36">
        <f t="shared" si="4"/>
        <v>196</v>
      </c>
      <c r="P31" s="36">
        <f t="shared" si="4"/>
        <v>102</v>
      </c>
    </row>
    <row r="32" spans="1:20" ht="15" thickBot="1">
      <c r="A32" s="98" t="s">
        <v>2506</v>
      </c>
      <c r="B32" s="80" t="s">
        <v>2683</v>
      </c>
      <c r="C32" s="80" t="s">
        <v>2660</v>
      </c>
      <c r="D32" s="80" t="s">
        <v>2647</v>
      </c>
      <c r="E32" s="80" t="s">
        <v>2643</v>
      </c>
      <c r="F32" s="80" t="s">
        <v>2372</v>
      </c>
      <c r="G32" s="80" t="s">
        <v>2694</v>
      </c>
      <c r="H32" s="79">
        <v>12</v>
      </c>
      <c r="I32" s="79">
        <v>1958.77</v>
      </c>
      <c r="J32" s="79">
        <v>23505.24</v>
      </c>
      <c r="M32" s="80" t="s">
        <v>1335</v>
      </c>
      <c r="N32" s="36">
        <f t="shared" si="5"/>
        <v>136</v>
      </c>
      <c r="O32" s="36">
        <f t="shared" si="4"/>
        <v>289</v>
      </c>
      <c r="P32" s="36">
        <f t="shared" si="4"/>
        <v>113</v>
      </c>
    </row>
    <row r="33" spans="1:16" ht="15" thickBot="1">
      <c r="A33" s="98" t="s">
        <v>2484</v>
      </c>
      <c r="B33" s="80" t="s">
        <v>2680</v>
      </c>
      <c r="C33" s="80" t="s">
        <v>2393</v>
      </c>
      <c r="D33" s="80" t="s">
        <v>2644</v>
      </c>
      <c r="E33" s="80" t="s">
        <v>2641</v>
      </c>
      <c r="F33" s="80" t="s">
        <v>2374</v>
      </c>
      <c r="G33" s="80" t="s">
        <v>2692</v>
      </c>
      <c r="H33" s="79">
        <v>10</v>
      </c>
      <c r="I33" s="79">
        <v>3690.75</v>
      </c>
      <c r="J33" s="79">
        <v>36907.5</v>
      </c>
      <c r="M33" s="80" t="s">
        <v>1336</v>
      </c>
      <c r="N33" s="36">
        <f t="shared" si="5"/>
        <v>224</v>
      </c>
      <c r="O33" s="36">
        <f t="shared" si="4"/>
        <v>161</v>
      </c>
      <c r="P33" s="36">
        <f t="shared" si="4"/>
        <v>76</v>
      </c>
    </row>
    <row r="34" spans="1:16" ht="15" thickBot="1">
      <c r="A34" s="98" t="s">
        <v>2565</v>
      </c>
      <c r="B34" s="80" t="s">
        <v>2680</v>
      </c>
      <c r="C34" s="80" t="s">
        <v>2656</v>
      </c>
      <c r="D34" s="80" t="s">
        <v>2648</v>
      </c>
      <c r="E34" s="80" t="s">
        <v>2641</v>
      </c>
      <c r="F34" s="80" t="s">
        <v>2374</v>
      </c>
      <c r="G34" s="80" t="s">
        <v>2692</v>
      </c>
      <c r="H34" s="79">
        <v>17</v>
      </c>
      <c r="I34" s="79">
        <v>1037.05</v>
      </c>
      <c r="J34" s="79">
        <v>17629.849999999999</v>
      </c>
      <c r="M34" s="80" t="s">
        <v>2693</v>
      </c>
      <c r="N34" s="36">
        <f>SUMIFS($H:$H,$G:$G,$M34,$E:$E,N$26)</f>
        <v>240</v>
      </c>
      <c r="O34" s="36">
        <f t="shared" si="4"/>
        <v>187</v>
      </c>
      <c r="P34" s="36">
        <f t="shared" si="4"/>
        <v>117</v>
      </c>
    </row>
    <row r="35" spans="1:16" ht="15" thickBot="1">
      <c r="A35" s="98">
        <v>45231</v>
      </c>
      <c r="B35" s="80" t="s">
        <v>2686</v>
      </c>
      <c r="C35" s="80" t="s">
        <v>2655</v>
      </c>
      <c r="D35" s="80" t="s">
        <v>2645</v>
      </c>
      <c r="E35" s="80" t="s">
        <v>2642</v>
      </c>
      <c r="F35" s="80" t="s">
        <v>2661</v>
      </c>
      <c r="G35" s="80" t="s">
        <v>2698</v>
      </c>
      <c r="H35" s="79">
        <v>17</v>
      </c>
      <c r="I35" s="79">
        <v>2215.5500000000002</v>
      </c>
      <c r="J35" s="79">
        <v>37664.35</v>
      </c>
      <c r="M35" s="80" t="s">
        <v>2694</v>
      </c>
      <c r="N35" s="36">
        <f t="shared" si="5"/>
        <v>205</v>
      </c>
      <c r="O35" s="36">
        <f t="shared" si="4"/>
        <v>246</v>
      </c>
      <c r="P35" s="36">
        <f t="shared" si="4"/>
        <v>100</v>
      </c>
    </row>
    <row r="36" spans="1:16" ht="15" thickBot="1">
      <c r="A36" s="98" t="s">
        <v>2435</v>
      </c>
      <c r="B36" s="80" t="s">
        <v>2686</v>
      </c>
      <c r="C36" s="80" t="s">
        <v>2651</v>
      </c>
      <c r="D36" s="80" t="s">
        <v>2646</v>
      </c>
      <c r="E36" s="80" t="s">
        <v>2642</v>
      </c>
      <c r="F36" s="80" t="s">
        <v>2372</v>
      </c>
      <c r="G36" s="80" t="s">
        <v>2699</v>
      </c>
      <c r="H36" s="79">
        <v>19</v>
      </c>
      <c r="I36" s="79">
        <v>1343.6</v>
      </c>
      <c r="J36" s="79">
        <v>25528.400000000001</v>
      </c>
      <c r="M36" s="80" t="s">
        <v>2695</v>
      </c>
      <c r="N36" s="36">
        <f t="shared" si="5"/>
        <v>149</v>
      </c>
      <c r="O36" s="36">
        <f t="shared" si="4"/>
        <v>193</v>
      </c>
      <c r="P36" s="36">
        <f t="shared" si="4"/>
        <v>93</v>
      </c>
    </row>
    <row r="37" spans="1:16" ht="15" thickBot="1">
      <c r="A37" s="98">
        <v>45204</v>
      </c>
      <c r="B37" s="80" t="s">
        <v>2686</v>
      </c>
      <c r="C37" s="80" t="s">
        <v>2653</v>
      </c>
      <c r="D37" s="80" t="s">
        <v>2644</v>
      </c>
      <c r="E37" s="80" t="s">
        <v>2641</v>
      </c>
      <c r="F37" s="80" t="s">
        <v>2661</v>
      </c>
      <c r="G37" s="80" t="s">
        <v>2691</v>
      </c>
      <c r="H37" s="79">
        <v>8</v>
      </c>
      <c r="I37" s="79">
        <v>4455.43</v>
      </c>
      <c r="J37" s="79">
        <v>35643.440000000002</v>
      </c>
      <c r="M37" s="80" t="s">
        <v>2696</v>
      </c>
      <c r="N37" s="36">
        <f t="shared" si="5"/>
        <v>166</v>
      </c>
      <c r="O37" s="36">
        <f t="shared" si="4"/>
        <v>286</v>
      </c>
      <c r="P37" s="36">
        <f t="shared" si="4"/>
        <v>141</v>
      </c>
    </row>
    <row r="38" spans="1:16" ht="15" thickBot="1">
      <c r="A38" s="98" t="s">
        <v>2522</v>
      </c>
      <c r="B38" s="80" t="s">
        <v>2684</v>
      </c>
      <c r="C38" s="80" t="s">
        <v>2650</v>
      </c>
      <c r="D38" s="80" t="s">
        <v>2646</v>
      </c>
      <c r="E38" s="80" t="s">
        <v>2642</v>
      </c>
      <c r="F38" s="80" t="s">
        <v>2374</v>
      </c>
      <c r="G38" s="80" t="s">
        <v>2700</v>
      </c>
      <c r="H38" s="79">
        <v>9</v>
      </c>
      <c r="I38" s="79">
        <v>3892.79</v>
      </c>
      <c r="J38" s="79">
        <v>35035.11</v>
      </c>
      <c r="M38" s="80" t="s">
        <v>2697</v>
      </c>
      <c r="N38" s="36">
        <f t="shared" si="5"/>
        <v>269</v>
      </c>
      <c r="O38" s="36">
        <f t="shared" si="4"/>
        <v>201</v>
      </c>
      <c r="P38" s="36">
        <f t="shared" si="4"/>
        <v>98</v>
      </c>
    </row>
    <row r="39" spans="1:16" ht="15" thickBot="1">
      <c r="A39" s="98">
        <v>45089</v>
      </c>
      <c r="B39" s="80" t="s">
        <v>2684</v>
      </c>
      <c r="C39" s="80" t="s">
        <v>2659</v>
      </c>
      <c r="D39" s="80" t="s">
        <v>2647</v>
      </c>
      <c r="E39" s="80" t="s">
        <v>2643</v>
      </c>
      <c r="F39" s="80" t="s">
        <v>2370</v>
      </c>
      <c r="G39" s="80" t="s">
        <v>1336</v>
      </c>
      <c r="H39" s="79">
        <v>9</v>
      </c>
      <c r="I39" s="79">
        <v>4618.59</v>
      </c>
      <c r="J39" s="79">
        <v>41567.31</v>
      </c>
      <c r="M39" s="80" t="s">
        <v>2698</v>
      </c>
      <c r="N39" s="36">
        <f t="shared" si="5"/>
        <v>140</v>
      </c>
      <c r="O39" s="36">
        <f t="shared" si="4"/>
        <v>269</v>
      </c>
      <c r="P39" s="36">
        <f t="shared" si="4"/>
        <v>49</v>
      </c>
    </row>
    <row r="40" spans="1:16" ht="15" thickBot="1">
      <c r="A40" s="98" t="s">
        <v>2538</v>
      </c>
      <c r="B40" s="80" t="s">
        <v>2685</v>
      </c>
      <c r="C40" s="80" t="s">
        <v>2655</v>
      </c>
      <c r="D40" s="80" t="s">
        <v>2645</v>
      </c>
      <c r="E40" s="80" t="s">
        <v>2642</v>
      </c>
      <c r="F40" s="80" t="s">
        <v>2372</v>
      </c>
      <c r="G40" s="80" t="s">
        <v>2699</v>
      </c>
      <c r="H40" s="79">
        <v>11</v>
      </c>
      <c r="I40" s="79">
        <v>3385.93</v>
      </c>
      <c r="J40" s="79">
        <v>37245.230000000003</v>
      </c>
      <c r="M40" s="80" t="s">
        <v>2699</v>
      </c>
      <c r="N40" s="36">
        <f t="shared" si="5"/>
        <v>124</v>
      </c>
      <c r="O40" s="36">
        <f t="shared" si="4"/>
        <v>309</v>
      </c>
      <c r="P40" s="36">
        <f t="shared" si="4"/>
        <v>79</v>
      </c>
    </row>
    <row r="41" spans="1:16" ht="15" thickBot="1">
      <c r="A41" s="98" t="s">
        <v>2536</v>
      </c>
      <c r="B41" s="80" t="s">
        <v>2684</v>
      </c>
      <c r="C41" s="80" t="s">
        <v>2656</v>
      </c>
      <c r="D41" s="80" t="s">
        <v>2648</v>
      </c>
      <c r="E41" s="80" t="s">
        <v>2641</v>
      </c>
      <c r="F41" s="80" t="s">
        <v>2374</v>
      </c>
      <c r="G41" s="80" t="s">
        <v>2692</v>
      </c>
      <c r="H41" s="79">
        <v>14</v>
      </c>
      <c r="I41" s="79">
        <v>2452.98</v>
      </c>
      <c r="J41" s="79">
        <v>34341.72</v>
      </c>
      <c r="M41" s="80" t="s">
        <v>2700</v>
      </c>
      <c r="N41" s="36">
        <f t="shared" si="5"/>
        <v>179</v>
      </c>
      <c r="O41" s="36">
        <f t="shared" si="4"/>
        <v>258</v>
      </c>
      <c r="P41" s="36">
        <f t="shared" si="4"/>
        <v>162</v>
      </c>
    </row>
    <row r="42" spans="1:16" ht="15" thickBot="1">
      <c r="A42" s="98">
        <v>45024</v>
      </c>
      <c r="B42" s="80" t="s">
        <v>2678</v>
      </c>
      <c r="C42" s="80" t="s">
        <v>2658</v>
      </c>
      <c r="D42" s="80" t="s">
        <v>2645</v>
      </c>
      <c r="E42" s="80" t="s">
        <v>2642</v>
      </c>
      <c r="F42" s="80" t="s">
        <v>2370</v>
      </c>
      <c r="G42" s="80" t="s">
        <v>1335</v>
      </c>
      <c r="H42" s="79">
        <v>16</v>
      </c>
      <c r="I42" s="79">
        <v>695.96</v>
      </c>
      <c r="J42" s="79">
        <v>11135.36</v>
      </c>
      <c r="M42" s="80" t="s">
        <v>2701</v>
      </c>
      <c r="N42" s="36">
        <f t="shared" si="5"/>
        <v>241</v>
      </c>
      <c r="O42" s="36">
        <f t="shared" si="4"/>
        <v>205</v>
      </c>
      <c r="P42" s="36">
        <f t="shared" si="4"/>
        <v>178</v>
      </c>
    </row>
    <row r="43" spans="1:16" ht="15" thickBot="1">
      <c r="A43" s="98">
        <v>44929</v>
      </c>
      <c r="B43" s="80" t="s">
        <v>2681</v>
      </c>
      <c r="C43" s="80" t="s">
        <v>2656</v>
      </c>
      <c r="D43" s="80" t="s">
        <v>2648</v>
      </c>
      <c r="E43" s="80" t="s">
        <v>2641</v>
      </c>
      <c r="F43" s="80" t="s">
        <v>2370</v>
      </c>
      <c r="G43" s="80" t="s">
        <v>2701</v>
      </c>
      <c r="H43" s="79">
        <v>1</v>
      </c>
      <c r="I43" s="79">
        <v>1979.54</v>
      </c>
      <c r="J43" s="79">
        <v>1979.54</v>
      </c>
      <c r="M43" s="80" t="s">
        <v>2702</v>
      </c>
      <c r="N43" s="36">
        <f t="shared" si="5"/>
        <v>150</v>
      </c>
      <c r="O43" s="36">
        <f t="shared" si="5"/>
        <v>146</v>
      </c>
      <c r="P43" s="36">
        <f t="shared" si="5"/>
        <v>105</v>
      </c>
    </row>
    <row r="44" spans="1:16" ht="15" thickBot="1">
      <c r="A44" s="98" t="s">
        <v>2561</v>
      </c>
      <c r="B44" s="80" t="s">
        <v>2683</v>
      </c>
      <c r="C44" s="80" t="s">
        <v>2659</v>
      </c>
      <c r="D44" s="80" t="s">
        <v>2647</v>
      </c>
      <c r="E44" s="80" t="s">
        <v>2643</v>
      </c>
      <c r="F44" s="80" t="s">
        <v>2374</v>
      </c>
      <c r="G44" s="80" t="s">
        <v>2689</v>
      </c>
      <c r="H44" s="79">
        <v>9</v>
      </c>
      <c r="I44" s="79">
        <v>3727.82</v>
      </c>
      <c r="J44" s="79">
        <v>33550.379999999997</v>
      </c>
      <c r="M44" s="80" t="s">
        <v>2703</v>
      </c>
      <c r="N44" s="36">
        <f t="shared" si="5"/>
        <v>216</v>
      </c>
      <c r="O44" s="36">
        <f t="shared" si="5"/>
        <v>272</v>
      </c>
      <c r="P44" s="36">
        <f t="shared" si="5"/>
        <v>141</v>
      </c>
    </row>
    <row r="45" spans="1:16" ht="15" thickBot="1">
      <c r="A45" s="98" t="s">
        <v>2540</v>
      </c>
      <c r="B45" s="80" t="s">
        <v>2678</v>
      </c>
      <c r="C45" s="80" t="s">
        <v>2396</v>
      </c>
      <c r="D45" s="80" t="s">
        <v>2648</v>
      </c>
      <c r="E45" s="80" t="s">
        <v>2641</v>
      </c>
      <c r="F45" s="80" t="s">
        <v>2661</v>
      </c>
      <c r="G45" s="80" t="s">
        <v>2698</v>
      </c>
      <c r="H45" s="79">
        <v>1</v>
      </c>
      <c r="I45" s="79">
        <v>1495.61</v>
      </c>
      <c r="J45" s="79">
        <v>1495.61</v>
      </c>
      <c r="M45" s="80" t="s">
        <v>2704</v>
      </c>
      <c r="N45" s="36">
        <f t="shared" si="5"/>
        <v>188</v>
      </c>
      <c r="O45" s="36">
        <f t="shared" si="5"/>
        <v>212</v>
      </c>
      <c r="P45" s="36">
        <f t="shared" si="5"/>
        <v>42</v>
      </c>
    </row>
    <row r="46" spans="1:16" ht="15" thickBot="1">
      <c r="A46" s="98" t="s">
        <v>2628</v>
      </c>
      <c r="B46" s="80" t="s">
        <v>2685</v>
      </c>
      <c r="C46" s="80" t="s">
        <v>2392</v>
      </c>
      <c r="D46" s="80" t="s">
        <v>2644</v>
      </c>
      <c r="E46" s="80" t="s">
        <v>2641</v>
      </c>
      <c r="F46" s="80" t="s">
        <v>2372</v>
      </c>
      <c r="G46" s="80" t="s">
        <v>2693</v>
      </c>
      <c r="H46" s="79">
        <v>18</v>
      </c>
      <c r="I46" s="79">
        <v>1928.15</v>
      </c>
      <c r="J46" s="79">
        <v>34706.699999999997</v>
      </c>
      <c r="M46" s="80" t="s">
        <v>2705</v>
      </c>
      <c r="N46" s="36">
        <f t="shared" si="5"/>
        <v>186</v>
      </c>
      <c r="O46" s="36">
        <f t="shared" si="5"/>
        <v>263</v>
      </c>
      <c r="P46" s="36">
        <f t="shared" si="5"/>
        <v>73</v>
      </c>
    </row>
    <row r="47" spans="1:16" ht="15" thickBot="1">
      <c r="A47" s="98">
        <v>45019</v>
      </c>
      <c r="B47" s="80" t="s">
        <v>2682</v>
      </c>
      <c r="C47" s="80" t="s">
        <v>2392</v>
      </c>
      <c r="D47" s="80" t="s">
        <v>2644</v>
      </c>
      <c r="E47" s="80" t="s">
        <v>2641</v>
      </c>
      <c r="F47" s="80" t="s">
        <v>2374</v>
      </c>
      <c r="G47" s="80" t="s">
        <v>2692</v>
      </c>
      <c r="H47" s="79">
        <v>1</v>
      </c>
      <c r="I47" s="79">
        <v>4192.3900000000003</v>
      </c>
      <c r="J47" s="79">
        <v>4192.3900000000003</v>
      </c>
    </row>
    <row r="48" spans="1:16" ht="15" thickBot="1">
      <c r="A48" s="98">
        <v>45018</v>
      </c>
      <c r="B48" s="80" t="s">
        <v>2685</v>
      </c>
      <c r="C48" s="80" t="s">
        <v>2650</v>
      </c>
      <c r="D48" s="80" t="s">
        <v>2646</v>
      </c>
      <c r="E48" s="80" t="s">
        <v>2642</v>
      </c>
      <c r="F48" s="80" t="s">
        <v>2370</v>
      </c>
      <c r="G48" s="80" t="s">
        <v>2702</v>
      </c>
      <c r="H48" s="79">
        <v>7</v>
      </c>
      <c r="I48" s="79">
        <v>4988.71</v>
      </c>
      <c r="J48" s="79">
        <v>34920.97</v>
      </c>
    </row>
    <row r="49" spans="1:18" ht="15" thickBot="1">
      <c r="A49" s="98" t="s">
        <v>2569</v>
      </c>
      <c r="B49" s="80" t="s">
        <v>2684</v>
      </c>
      <c r="C49" s="80" t="s">
        <v>2655</v>
      </c>
      <c r="D49" s="80" t="s">
        <v>2645</v>
      </c>
      <c r="E49" s="80" t="s">
        <v>2642</v>
      </c>
      <c r="F49" s="80" t="s">
        <v>2372</v>
      </c>
      <c r="G49" s="80" t="s">
        <v>2693</v>
      </c>
      <c r="H49" s="79">
        <v>9</v>
      </c>
      <c r="I49" s="79">
        <v>1328.13</v>
      </c>
      <c r="J49" s="79">
        <v>11953.17</v>
      </c>
    </row>
    <row r="50" spans="1:18" ht="15" thickBot="1">
      <c r="A50" s="98" t="s">
        <v>2667</v>
      </c>
      <c r="B50" s="80" t="s">
        <v>2685</v>
      </c>
      <c r="C50" s="80" t="s">
        <v>2393</v>
      </c>
      <c r="D50" s="80" t="s">
        <v>2644</v>
      </c>
      <c r="E50" s="80" t="s">
        <v>2641</v>
      </c>
      <c r="F50" s="80" t="s">
        <v>2373</v>
      </c>
      <c r="G50" s="80" t="s">
        <v>2703</v>
      </c>
      <c r="H50" s="79">
        <v>9</v>
      </c>
      <c r="I50" s="79">
        <v>722.44</v>
      </c>
      <c r="J50" s="79">
        <v>6501.96</v>
      </c>
      <c r="M50" s="99" t="s">
        <v>2427</v>
      </c>
      <c r="N50" s="112" t="s">
        <v>2797</v>
      </c>
    </row>
    <row r="51" spans="1:18" ht="15" thickBot="1">
      <c r="A51" s="98" t="s">
        <v>2560</v>
      </c>
      <c r="B51" s="80" t="s">
        <v>2680</v>
      </c>
      <c r="C51" s="80" t="s">
        <v>2653</v>
      </c>
      <c r="D51" s="80" t="s">
        <v>2644</v>
      </c>
      <c r="E51" s="80" t="s">
        <v>2641</v>
      </c>
      <c r="F51" s="80" t="s">
        <v>2372</v>
      </c>
      <c r="G51" s="80" t="s">
        <v>2693</v>
      </c>
      <c r="H51" s="79">
        <v>2</v>
      </c>
      <c r="I51" s="79">
        <v>4726.0600000000004</v>
      </c>
      <c r="J51" s="79">
        <v>9452.1200000000008</v>
      </c>
      <c r="M51" s="102" t="s">
        <v>2644</v>
      </c>
      <c r="N51" s="36">
        <f>AVERAGEIF(D:D,M51,J:J)</f>
        <v>27830.673719806764</v>
      </c>
    </row>
    <row r="52" spans="1:18" ht="15" thickBot="1">
      <c r="A52" s="98">
        <v>45079</v>
      </c>
      <c r="B52" s="80" t="s">
        <v>2684</v>
      </c>
      <c r="C52" s="80" t="s">
        <v>2658</v>
      </c>
      <c r="D52" s="80" t="s">
        <v>2645</v>
      </c>
      <c r="E52" s="80" t="s">
        <v>2642</v>
      </c>
      <c r="F52" s="80" t="s">
        <v>2372</v>
      </c>
      <c r="G52" s="80" t="s">
        <v>2694</v>
      </c>
      <c r="H52" s="79">
        <v>3</v>
      </c>
      <c r="I52" s="79">
        <v>2263.4699999999998</v>
      </c>
      <c r="J52" s="79">
        <v>6790.41</v>
      </c>
      <c r="M52" s="102" t="s">
        <v>2646</v>
      </c>
      <c r="N52" s="36">
        <f t="shared" ref="N52:N55" si="6">AVERAGEIF(D:D,M52,J:J)</f>
        <v>27134.402211538465</v>
      </c>
    </row>
    <row r="53" spans="1:18" ht="15" thickBot="1">
      <c r="A53" s="98" t="s">
        <v>2478</v>
      </c>
      <c r="B53" s="80" t="s">
        <v>2680</v>
      </c>
      <c r="C53" s="80" t="s">
        <v>2649</v>
      </c>
      <c r="D53" s="80" t="s">
        <v>2645</v>
      </c>
      <c r="E53" s="80" t="s">
        <v>2642</v>
      </c>
      <c r="F53" s="80" t="s">
        <v>2373</v>
      </c>
      <c r="G53" s="80" t="s">
        <v>2697</v>
      </c>
      <c r="H53" s="79">
        <v>20</v>
      </c>
      <c r="I53" s="79">
        <v>4365.58</v>
      </c>
      <c r="J53" s="79">
        <v>87311.6</v>
      </c>
      <c r="M53" s="102" t="s">
        <v>2645</v>
      </c>
      <c r="N53" s="36">
        <f t="shared" si="6"/>
        <v>26483.015047169814</v>
      </c>
    </row>
    <row r="54" spans="1:18" ht="15" thickBot="1">
      <c r="A54" s="98" t="s">
        <v>2530</v>
      </c>
      <c r="B54" s="80" t="s">
        <v>2686</v>
      </c>
      <c r="C54" s="80" t="s">
        <v>2652</v>
      </c>
      <c r="D54" s="80" t="s">
        <v>2647</v>
      </c>
      <c r="E54" s="80" t="s">
        <v>2643</v>
      </c>
      <c r="F54" s="80" t="s">
        <v>2370</v>
      </c>
      <c r="G54" s="80" t="s">
        <v>1335</v>
      </c>
      <c r="H54" s="79">
        <v>20</v>
      </c>
      <c r="I54" s="79">
        <v>3925.65</v>
      </c>
      <c r="J54" s="79">
        <v>78513</v>
      </c>
      <c r="M54" s="102" t="s">
        <v>2648</v>
      </c>
      <c r="N54" s="36">
        <f t="shared" si="6"/>
        <v>28533.112000000012</v>
      </c>
    </row>
    <row r="55" spans="1:18" ht="15" thickBot="1">
      <c r="A55" s="98">
        <v>44995</v>
      </c>
      <c r="B55" s="80" t="s">
        <v>2679</v>
      </c>
      <c r="C55" s="80" t="s">
        <v>2650</v>
      </c>
      <c r="D55" s="80" t="s">
        <v>2646</v>
      </c>
      <c r="E55" s="80" t="s">
        <v>2642</v>
      </c>
      <c r="F55" s="80" t="s">
        <v>2373</v>
      </c>
      <c r="G55" s="80" t="s">
        <v>2703</v>
      </c>
      <c r="H55" s="79">
        <v>3</v>
      </c>
      <c r="I55" s="79">
        <v>3613.98</v>
      </c>
      <c r="J55" s="79">
        <v>10841.94</v>
      </c>
      <c r="M55" s="102" t="s">
        <v>2647</v>
      </c>
      <c r="N55" s="36">
        <f t="shared" si="6"/>
        <v>26873.913056994821</v>
      </c>
    </row>
    <row r="56" spans="1:18" ht="15" thickBot="1">
      <c r="A56" s="98">
        <v>45236</v>
      </c>
      <c r="B56" s="80" t="s">
        <v>2685</v>
      </c>
      <c r="C56" s="80" t="s">
        <v>2392</v>
      </c>
      <c r="D56" s="80" t="s">
        <v>2644</v>
      </c>
      <c r="E56" s="80" t="s">
        <v>2641</v>
      </c>
      <c r="F56" s="80" t="s">
        <v>2374</v>
      </c>
      <c r="G56" s="80" t="s">
        <v>2700</v>
      </c>
      <c r="H56" s="79">
        <v>7</v>
      </c>
      <c r="I56" s="79">
        <v>2483.54</v>
      </c>
      <c r="J56" s="79">
        <v>17384.78</v>
      </c>
    </row>
    <row r="57" spans="1:18" ht="15" thickBot="1">
      <c r="A57" s="98">
        <v>44967</v>
      </c>
      <c r="B57" s="80" t="s">
        <v>2682</v>
      </c>
      <c r="C57" s="80" t="s">
        <v>2660</v>
      </c>
      <c r="D57" s="80" t="s">
        <v>2647</v>
      </c>
      <c r="E57" s="80" t="s">
        <v>2643</v>
      </c>
      <c r="F57" s="80" t="s">
        <v>2373</v>
      </c>
      <c r="G57" s="80" t="s">
        <v>2703</v>
      </c>
      <c r="H57" s="79">
        <v>14</v>
      </c>
      <c r="I57" s="79">
        <v>2145.21</v>
      </c>
      <c r="J57" s="79">
        <v>30032.94</v>
      </c>
    </row>
    <row r="58" spans="1:18" ht="15" thickBot="1">
      <c r="A58" s="98" t="s">
        <v>2547</v>
      </c>
      <c r="B58" s="80" t="s">
        <v>2685</v>
      </c>
      <c r="C58" s="80" t="s">
        <v>2655</v>
      </c>
      <c r="D58" s="80" t="s">
        <v>2645</v>
      </c>
      <c r="E58" s="80" t="s">
        <v>2642</v>
      </c>
      <c r="F58" s="80" t="s">
        <v>2370</v>
      </c>
      <c r="G58" s="80" t="s">
        <v>2701</v>
      </c>
      <c r="H58" s="79">
        <v>8</v>
      </c>
      <c r="I58" s="79">
        <v>4997.45</v>
      </c>
      <c r="J58" s="79">
        <v>39979.599999999999</v>
      </c>
    </row>
    <row r="59" spans="1:18" ht="15" thickBot="1">
      <c r="A59" s="98">
        <v>45176</v>
      </c>
      <c r="B59" s="80" t="s">
        <v>2686</v>
      </c>
      <c r="C59" s="80" t="s">
        <v>2656</v>
      </c>
      <c r="D59" s="80" t="s">
        <v>2648</v>
      </c>
      <c r="E59" s="80" t="s">
        <v>2641</v>
      </c>
      <c r="F59" s="80" t="s">
        <v>2370</v>
      </c>
      <c r="G59" s="80" t="s">
        <v>1336</v>
      </c>
      <c r="H59" s="79">
        <v>3</v>
      </c>
      <c r="I59" s="79">
        <v>1753.98</v>
      </c>
      <c r="J59" s="79">
        <v>5261.94</v>
      </c>
      <c r="M59" s="99" t="s">
        <v>2798</v>
      </c>
      <c r="N59" s="113" t="s">
        <v>2644</v>
      </c>
      <c r="O59" s="113" t="s">
        <v>2646</v>
      </c>
      <c r="P59" s="113" t="s">
        <v>2645</v>
      </c>
      <c r="Q59" s="113" t="s">
        <v>2648</v>
      </c>
      <c r="R59" s="113" t="s">
        <v>2647</v>
      </c>
    </row>
    <row r="60" spans="1:18" ht="15" thickBot="1">
      <c r="A60" s="98" t="s">
        <v>2552</v>
      </c>
      <c r="B60" s="80" t="s">
        <v>2683</v>
      </c>
      <c r="C60" s="80" t="s">
        <v>2649</v>
      </c>
      <c r="D60" s="80" t="s">
        <v>2645</v>
      </c>
      <c r="E60" s="80" t="s">
        <v>2642</v>
      </c>
      <c r="F60" s="80" t="s">
        <v>2370</v>
      </c>
      <c r="G60" s="80" t="s">
        <v>2701</v>
      </c>
      <c r="H60" s="79">
        <v>2</v>
      </c>
      <c r="I60" s="79">
        <v>1207.92</v>
      </c>
      <c r="J60" s="79">
        <v>2415.84</v>
      </c>
      <c r="M60" s="80" t="s">
        <v>2688</v>
      </c>
      <c r="N60" s="36">
        <f>AVERAGEIFS($J:$J,$G:$G,$M60,$D:$D,N$59)</f>
        <v>38662.597000000002</v>
      </c>
      <c r="O60" s="36">
        <f t="shared" ref="O60:R75" si="7">AVERAGEIFS($J:$J,$G:$G,$M60,$D:$D,O$59)</f>
        <v>35085.671428571426</v>
      </c>
      <c r="P60" s="36">
        <f t="shared" si="7"/>
        <v>23067.121111111115</v>
      </c>
      <c r="Q60" s="36">
        <f t="shared" si="7"/>
        <v>32837.26</v>
      </c>
      <c r="R60" s="36">
        <f t="shared" si="7"/>
        <v>15672.716153846159</v>
      </c>
    </row>
    <row r="61" spans="1:18" ht="15" thickBot="1">
      <c r="A61" s="98">
        <v>45202</v>
      </c>
      <c r="B61" s="80" t="s">
        <v>2681</v>
      </c>
      <c r="C61" s="80" t="s">
        <v>2393</v>
      </c>
      <c r="D61" s="80" t="s">
        <v>2644</v>
      </c>
      <c r="E61" s="80" t="s">
        <v>2641</v>
      </c>
      <c r="F61" s="80" t="s">
        <v>2370</v>
      </c>
      <c r="G61" s="80" t="s">
        <v>2702</v>
      </c>
      <c r="H61" s="79">
        <v>13</v>
      </c>
      <c r="I61" s="79">
        <v>4196.33</v>
      </c>
      <c r="J61" s="79">
        <v>54552.29</v>
      </c>
      <c r="M61" s="80" t="s">
        <v>2689</v>
      </c>
      <c r="N61" s="36">
        <f t="shared" ref="N61:R79" si="8">AVERAGEIFS($J:$J,$G:$G,$M61,$D:$D,N$59)</f>
        <v>43785.45785714285</v>
      </c>
      <c r="O61" s="36">
        <f t="shared" si="7"/>
        <v>30057.322727272731</v>
      </c>
      <c r="P61" s="36">
        <f t="shared" si="7"/>
        <v>31485.851111111115</v>
      </c>
      <c r="Q61" s="36">
        <f t="shared" si="7"/>
        <v>26490.767777777783</v>
      </c>
      <c r="R61" s="36">
        <f t="shared" si="7"/>
        <v>18489.218181818178</v>
      </c>
    </row>
    <row r="62" spans="1:18" ht="15" thickBot="1">
      <c r="A62" s="98">
        <v>44990</v>
      </c>
      <c r="B62" s="80" t="s">
        <v>2687</v>
      </c>
      <c r="C62" s="80" t="s">
        <v>2657</v>
      </c>
      <c r="D62" s="80" t="s">
        <v>2648</v>
      </c>
      <c r="E62" s="80" t="s">
        <v>2641</v>
      </c>
      <c r="F62" s="80" t="s">
        <v>2374</v>
      </c>
      <c r="G62" s="80" t="s">
        <v>2689</v>
      </c>
      <c r="H62" s="79">
        <v>18</v>
      </c>
      <c r="I62" s="79">
        <v>1310.78</v>
      </c>
      <c r="J62" s="79">
        <v>23594.04</v>
      </c>
      <c r="M62" s="80" t="s">
        <v>2690</v>
      </c>
      <c r="N62" s="36">
        <f t="shared" si="8"/>
        <v>30640.467857142856</v>
      </c>
      <c r="O62" s="36">
        <f t="shared" si="7"/>
        <v>29541.248333333333</v>
      </c>
      <c r="P62" s="36">
        <f t="shared" si="7"/>
        <v>24915.604615384618</v>
      </c>
      <c r="Q62" s="36">
        <f t="shared" si="7"/>
        <v>36623.430625000001</v>
      </c>
      <c r="R62" s="36">
        <f t="shared" si="7"/>
        <v>17321.052222222221</v>
      </c>
    </row>
    <row r="63" spans="1:18" ht="15" thickBot="1">
      <c r="A63" s="98" t="s">
        <v>2550</v>
      </c>
      <c r="B63" s="80" t="s">
        <v>2686</v>
      </c>
      <c r="C63" s="80" t="s">
        <v>2393</v>
      </c>
      <c r="D63" s="80" t="s">
        <v>2644</v>
      </c>
      <c r="E63" s="80" t="s">
        <v>2641</v>
      </c>
      <c r="F63" s="80" t="s">
        <v>2373</v>
      </c>
      <c r="G63" s="80" t="s">
        <v>2703</v>
      </c>
      <c r="H63" s="79">
        <v>20</v>
      </c>
      <c r="I63" s="79">
        <v>2142.9</v>
      </c>
      <c r="J63" s="79">
        <v>42858</v>
      </c>
      <c r="M63" s="80" t="s">
        <v>2691</v>
      </c>
      <c r="N63" s="36">
        <f t="shared" si="8"/>
        <v>22604.764999999999</v>
      </c>
      <c r="O63" s="36">
        <f t="shared" si="7"/>
        <v>22387.314545454548</v>
      </c>
      <c r="P63" s="36">
        <f t="shared" si="7"/>
        <v>18460.167142857143</v>
      </c>
      <c r="Q63" s="36">
        <f t="shared" si="7"/>
        <v>33434.662499999999</v>
      </c>
      <c r="R63" s="36">
        <f t="shared" si="7"/>
        <v>30643.447777777779</v>
      </c>
    </row>
    <row r="64" spans="1:18" ht="15" thickBot="1">
      <c r="A64" s="98">
        <v>44997</v>
      </c>
      <c r="B64" s="80" t="s">
        <v>2687</v>
      </c>
      <c r="C64" s="80" t="s">
        <v>2652</v>
      </c>
      <c r="D64" s="80" t="s">
        <v>2647</v>
      </c>
      <c r="E64" s="80" t="s">
        <v>2643</v>
      </c>
      <c r="F64" s="80" t="s">
        <v>2370</v>
      </c>
      <c r="G64" s="80" t="s">
        <v>2702</v>
      </c>
      <c r="H64" s="79">
        <v>19</v>
      </c>
      <c r="I64" s="79">
        <v>1359.7</v>
      </c>
      <c r="J64" s="79">
        <v>25834.3</v>
      </c>
      <c r="M64" s="80" t="s">
        <v>2692</v>
      </c>
      <c r="N64" s="36">
        <f t="shared" si="8"/>
        <v>21005.857272727266</v>
      </c>
      <c r="O64" s="36">
        <f t="shared" si="7"/>
        <v>38438.672500000001</v>
      </c>
      <c r="P64" s="36">
        <f t="shared" si="7"/>
        <v>27159.828000000001</v>
      </c>
      <c r="Q64" s="36">
        <f t="shared" si="7"/>
        <v>27662.045000000002</v>
      </c>
      <c r="R64" s="36">
        <f t="shared" si="7"/>
        <v>27295.468000000001</v>
      </c>
    </row>
    <row r="65" spans="1:18" ht="15" thickBot="1">
      <c r="A65" s="98" t="s">
        <v>2621</v>
      </c>
      <c r="B65" s="80" t="s">
        <v>2678</v>
      </c>
      <c r="C65" s="80" t="s">
        <v>2655</v>
      </c>
      <c r="D65" s="80" t="s">
        <v>2645</v>
      </c>
      <c r="E65" s="80" t="s">
        <v>2642</v>
      </c>
      <c r="F65" s="80" t="s">
        <v>2373</v>
      </c>
      <c r="G65" s="80" t="s">
        <v>2703</v>
      </c>
      <c r="H65" s="79">
        <v>16</v>
      </c>
      <c r="I65" s="79">
        <v>4896.07</v>
      </c>
      <c r="J65" s="79">
        <v>78337.119999999995</v>
      </c>
      <c r="M65" s="80" t="s">
        <v>1335</v>
      </c>
      <c r="N65" s="36">
        <f t="shared" si="8"/>
        <v>20493.717000000001</v>
      </c>
      <c r="O65" s="36">
        <f t="shared" si="7"/>
        <v>30791.050769230766</v>
      </c>
      <c r="P65" s="36">
        <f t="shared" si="7"/>
        <v>19381.846000000001</v>
      </c>
      <c r="Q65" s="36">
        <f t="shared" si="7"/>
        <v>24442.227999999996</v>
      </c>
      <c r="R65" s="36">
        <f t="shared" si="7"/>
        <v>29032.670000000002</v>
      </c>
    </row>
    <row r="66" spans="1:18" ht="15" thickBot="1">
      <c r="A66" s="98" t="s">
        <v>2515</v>
      </c>
      <c r="B66" s="80" t="s">
        <v>2682</v>
      </c>
      <c r="C66" s="80" t="s">
        <v>2658</v>
      </c>
      <c r="D66" s="80" t="s">
        <v>2645</v>
      </c>
      <c r="E66" s="80" t="s">
        <v>2642</v>
      </c>
      <c r="F66" s="80" t="s">
        <v>2374</v>
      </c>
      <c r="G66" s="80" t="s">
        <v>2700</v>
      </c>
      <c r="H66" s="79">
        <v>8</v>
      </c>
      <c r="I66" s="79">
        <v>4216.03</v>
      </c>
      <c r="J66" s="79">
        <v>33728.239999999998</v>
      </c>
      <c r="M66" s="80" t="s">
        <v>1336</v>
      </c>
      <c r="N66" s="36">
        <f t="shared" si="8"/>
        <v>30650.07</v>
      </c>
      <c r="O66" s="36">
        <f t="shared" si="7"/>
        <v>17166.381818181821</v>
      </c>
      <c r="P66" s="36">
        <f t="shared" si="7"/>
        <v>16054.804545454546</v>
      </c>
      <c r="Q66" s="36">
        <f t="shared" si="7"/>
        <v>18891.224285714281</v>
      </c>
      <c r="R66" s="36">
        <f t="shared" si="7"/>
        <v>29154.786666666663</v>
      </c>
    </row>
    <row r="67" spans="1:18" ht="15" thickBot="1">
      <c r="A67" s="98">
        <v>45054</v>
      </c>
      <c r="B67" s="80" t="s">
        <v>2681</v>
      </c>
      <c r="C67" s="80" t="s">
        <v>2393</v>
      </c>
      <c r="D67" s="80" t="s">
        <v>2644</v>
      </c>
      <c r="E67" s="80" t="s">
        <v>2641</v>
      </c>
      <c r="F67" s="80" t="s">
        <v>2661</v>
      </c>
      <c r="G67" s="80" t="s">
        <v>2695</v>
      </c>
      <c r="H67" s="79">
        <v>14</v>
      </c>
      <c r="I67" s="79">
        <v>2134.06</v>
      </c>
      <c r="J67" s="79">
        <v>29876.84</v>
      </c>
      <c r="M67" s="80" t="s">
        <v>2693</v>
      </c>
      <c r="N67" s="36">
        <f t="shared" si="8"/>
        <v>23413.66153846154</v>
      </c>
      <c r="O67" s="36">
        <f t="shared" si="7"/>
        <v>19109.514166666664</v>
      </c>
      <c r="P67" s="36">
        <f t="shared" si="7"/>
        <v>30651.684285714284</v>
      </c>
      <c r="Q67" s="36">
        <f t="shared" si="7"/>
        <v>18084.935000000001</v>
      </c>
      <c r="R67" s="36">
        <f t="shared" si="7"/>
        <v>26026.233</v>
      </c>
    </row>
    <row r="68" spans="1:18" ht="15" thickBot="1">
      <c r="A68" s="98" t="s">
        <v>2607</v>
      </c>
      <c r="B68" s="80" t="s">
        <v>2687</v>
      </c>
      <c r="C68" s="80" t="s">
        <v>2660</v>
      </c>
      <c r="D68" s="80" t="s">
        <v>2647</v>
      </c>
      <c r="E68" s="80" t="s">
        <v>2643</v>
      </c>
      <c r="F68" s="80" t="s">
        <v>2373</v>
      </c>
      <c r="G68" s="80" t="s">
        <v>2697</v>
      </c>
      <c r="H68" s="79">
        <v>6</v>
      </c>
      <c r="I68" s="79">
        <v>1523.33</v>
      </c>
      <c r="J68" s="79">
        <v>9139.98</v>
      </c>
      <c r="M68" s="80" t="s">
        <v>2694</v>
      </c>
      <c r="N68" s="36">
        <f t="shared" si="8"/>
        <v>27481.546153846153</v>
      </c>
      <c r="O68" s="36">
        <f t="shared" si="7"/>
        <v>27920.510714285716</v>
      </c>
      <c r="P68" s="36">
        <f t="shared" si="7"/>
        <v>17877.334999999999</v>
      </c>
      <c r="Q68" s="36">
        <f t="shared" si="7"/>
        <v>18763.748333333333</v>
      </c>
      <c r="R68" s="36">
        <f t="shared" si="7"/>
        <v>37175.017500000002</v>
      </c>
    </row>
    <row r="69" spans="1:18" ht="15" thickBot="1">
      <c r="A69" s="98" t="s">
        <v>2600</v>
      </c>
      <c r="B69" s="80" t="s">
        <v>2680</v>
      </c>
      <c r="C69" s="80" t="s">
        <v>2651</v>
      </c>
      <c r="D69" s="80" t="s">
        <v>2646</v>
      </c>
      <c r="E69" s="80" t="s">
        <v>2642</v>
      </c>
      <c r="F69" s="80" t="s">
        <v>2661</v>
      </c>
      <c r="G69" s="80" t="s">
        <v>2691</v>
      </c>
      <c r="H69" s="79">
        <v>13</v>
      </c>
      <c r="I69" s="79">
        <v>646.63</v>
      </c>
      <c r="J69" s="79">
        <v>8406.19</v>
      </c>
      <c r="M69" s="80" t="s">
        <v>2695</v>
      </c>
      <c r="N69" s="36">
        <f t="shared" si="8"/>
        <v>38081.866249999999</v>
      </c>
      <c r="O69" s="36">
        <f t="shared" si="7"/>
        <v>23350.72923076923</v>
      </c>
      <c r="P69" s="36">
        <f t="shared" si="7"/>
        <v>19208.84375</v>
      </c>
      <c r="Q69" s="36">
        <f t="shared" si="7"/>
        <v>31220.098571428571</v>
      </c>
      <c r="R69" s="36">
        <f t="shared" si="7"/>
        <v>30889.668888888886</v>
      </c>
    </row>
    <row r="70" spans="1:18" ht="15" thickBot="1">
      <c r="A70" s="98" t="s">
        <v>2561</v>
      </c>
      <c r="B70" s="80" t="s">
        <v>2683</v>
      </c>
      <c r="C70" s="80" t="s">
        <v>2655</v>
      </c>
      <c r="D70" s="80" t="s">
        <v>2645</v>
      </c>
      <c r="E70" s="80" t="s">
        <v>2642</v>
      </c>
      <c r="F70" s="80" t="s">
        <v>2374</v>
      </c>
      <c r="G70" s="80" t="s">
        <v>2704</v>
      </c>
      <c r="H70" s="79">
        <v>4</v>
      </c>
      <c r="I70" s="79">
        <v>4965.34</v>
      </c>
      <c r="J70" s="79">
        <v>19861.36</v>
      </c>
      <c r="M70" s="80" t="s">
        <v>2696</v>
      </c>
      <c r="N70" s="36">
        <f t="shared" si="8"/>
        <v>13318.489999999998</v>
      </c>
      <c r="O70" s="36">
        <f t="shared" si="7"/>
        <v>40036.877500000002</v>
      </c>
      <c r="P70" s="36">
        <f t="shared" si="7"/>
        <v>31959.315624999999</v>
      </c>
      <c r="Q70" s="36">
        <f t="shared" si="7"/>
        <v>29435.414444444443</v>
      </c>
      <c r="R70" s="36">
        <f t="shared" si="7"/>
        <v>30991.66272727272</v>
      </c>
    </row>
    <row r="71" spans="1:18" ht="15" thickBot="1">
      <c r="A71" s="98" t="s">
        <v>2668</v>
      </c>
      <c r="B71" s="80" t="s">
        <v>2685</v>
      </c>
      <c r="C71" s="80" t="s">
        <v>2393</v>
      </c>
      <c r="D71" s="80" t="s">
        <v>2644</v>
      </c>
      <c r="E71" s="80" t="s">
        <v>2641</v>
      </c>
      <c r="F71" s="80" t="s">
        <v>2374</v>
      </c>
      <c r="G71" s="80" t="s">
        <v>2692</v>
      </c>
      <c r="H71" s="79">
        <v>14</v>
      </c>
      <c r="I71" s="79">
        <v>2883.11</v>
      </c>
      <c r="J71" s="79">
        <v>40363.54</v>
      </c>
      <c r="M71" s="80" t="s">
        <v>2697</v>
      </c>
      <c r="N71" s="36">
        <f t="shared" si="8"/>
        <v>24333.632142857143</v>
      </c>
      <c r="O71" s="36">
        <f t="shared" si="7"/>
        <v>16080.82</v>
      </c>
      <c r="P71" s="36">
        <f t="shared" si="7"/>
        <v>32533.198666666667</v>
      </c>
      <c r="Q71" s="36">
        <f t="shared" si="7"/>
        <v>25486.045000000002</v>
      </c>
      <c r="R71" s="36">
        <f t="shared" si="7"/>
        <v>23029.406666666666</v>
      </c>
    </row>
    <row r="72" spans="1:18" ht="15" thickBot="1">
      <c r="A72" s="98" t="s">
        <v>2446</v>
      </c>
      <c r="B72" s="80" t="s">
        <v>2682</v>
      </c>
      <c r="C72" s="80" t="s">
        <v>2659</v>
      </c>
      <c r="D72" s="80" t="s">
        <v>2647</v>
      </c>
      <c r="E72" s="80" t="s">
        <v>2643</v>
      </c>
      <c r="F72" s="80" t="s">
        <v>2661</v>
      </c>
      <c r="G72" s="80" t="s">
        <v>2695</v>
      </c>
      <c r="H72" s="79">
        <v>9</v>
      </c>
      <c r="I72" s="79">
        <v>2819.87</v>
      </c>
      <c r="J72" s="79">
        <v>25378.83</v>
      </c>
      <c r="M72" s="80" t="s">
        <v>2698</v>
      </c>
      <c r="N72" s="36">
        <f t="shared" si="8"/>
        <v>17657.137999999999</v>
      </c>
      <c r="O72" s="36">
        <f t="shared" si="7"/>
        <v>37448.047272727272</v>
      </c>
      <c r="P72" s="36">
        <f t="shared" si="7"/>
        <v>22077.200909090905</v>
      </c>
      <c r="Q72" s="36">
        <f t="shared" si="7"/>
        <v>21420.663333333334</v>
      </c>
      <c r="R72" s="36">
        <f t="shared" si="7"/>
        <v>25667.204000000002</v>
      </c>
    </row>
    <row r="73" spans="1:18" ht="15" thickBot="1">
      <c r="A73" s="98" t="s">
        <v>2468</v>
      </c>
      <c r="B73" s="80" t="s">
        <v>2681</v>
      </c>
      <c r="C73" s="80" t="s">
        <v>2392</v>
      </c>
      <c r="D73" s="80" t="s">
        <v>2644</v>
      </c>
      <c r="E73" s="80" t="s">
        <v>2641</v>
      </c>
      <c r="F73" s="80" t="s">
        <v>2372</v>
      </c>
      <c r="G73" s="80" t="s">
        <v>2690</v>
      </c>
      <c r="H73" s="79">
        <v>12</v>
      </c>
      <c r="I73" s="79">
        <v>3961.23</v>
      </c>
      <c r="J73" s="79">
        <v>47534.76</v>
      </c>
      <c r="M73" s="80" t="s">
        <v>2699</v>
      </c>
      <c r="N73" s="36">
        <f t="shared" si="8"/>
        <v>18048.376666666667</v>
      </c>
      <c r="O73" s="36">
        <f t="shared" si="7"/>
        <v>31840.896153846155</v>
      </c>
      <c r="P73" s="36">
        <f t="shared" si="7"/>
        <v>33361.73333333333</v>
      </c>
      <c r="Q73" s="36">
        <f t="shared" si="7"/>
        <v>32038.840000000004</v>
      </c>
      <c r="R73" s="36">
        <f t="shared" si="7"/>
        <v>44804.761666666665</v>
      </c>
    </row>
    <row r="74" spans="1:18" ht="15" thickBot="1">
      <c r="A74" s="98">
        <v>44960</v>
      </c>
      <c r="B74" s="80" t="s">
        <v>2683</v>
      </c>
      <c r="C74" s="80" t="s">
        <v>2651</v>
      </c>
      <c r="D74" s="80" t="s">
        <v>2646</v>
      </c>
      <c r="E74" s="80" t="s">
        <v>2642</v>
      </c>
      <c r="F74" s="80" t="s">
        <v>2372</v>
      </c>
      <c r="G74" s="80" t="s">
        <v>2690</v>
      </c>
      <c r="H74" s="79">
        <v>15</v>
      </c>
      <c r="I74" s="79">
        <v>2194.7199999999998</v>
      </c>
      <c r="J74" s="79">
        <v>32920.800000000003</v>
      </c>
      <c r="M74" s="80" t="s">
        <v>2700</v>
      </c>
      <c r="N74" s="36">
        <f t="shared" si="8"/>
        <v>37838.783749999995</v>
      </c>
      <c r="O74" s="36">
        <f t="shared" si="7"/>
        <v>28004.417000000005</v>
      </c>
      <c r="P74" s="36">
        <f t="shared" si="7"/>
        <v>39912.095000000001</v>
      </c>
      <c r="Q74" s="36">
        <f t="shared" si="7"/>
        <v>26236.234000000004</v>
      </c>
      <c r="R74" s="36">
        <f t="shared" si="7"/>
        <v>21468.407857142858</v>
      </c>
    </row>
    <row r="75" spans="1:18" ht="15" thickBot="1">
      <c r="A75" s="98" t="s">
        <v>2568</v>
      </c>
      <c r="B75" s="80" t="s">
        <v>2682</v>
      </c>
      <c r="C75" s="80" t="s">
        <v>2649</v>
      </c>
      <c r="D75" s="80" t="s">
        <v>2645</v>
      </c>
      <c r="E75" s="80" t="s">
        <v>2642</v>
      </c>
      <c r="F75" s="80" t="s">
        <v>2370</v>
      </c>
      <c r="G75" s="80" t="s">
        <v>2701</v>
      </c>
      <c r="H75" s="79">
        <v>5</v>
      </c>
      <c r="I75" s="79">
        <v>3058.74</v>
      </c>
      <c r="J75" s="79">
        <v>15293.7</v>
      </c>
      <c r="M75" s="80" t="s">
        <v>2701</v>
      </c>
      <c r="N75" s="36">
        <f t="shared" si="8"/>
        <v>27004.650909090913</v>
      </c>
      <c r="O75" s="36">
        <f t="shared" si="7"/>
        <v>20202.60125</v>
      </c>
      <c r="P75" s="36">
        <f t="shared" si="7"/>
        <v>21837.68</v>
      </c>
      <c r="Q75" s="36">
        <f t="shared" si="7"/>
        <v>39713.643636363639</v>
      </c>
      <c r="R75" s="36">
        <f t="shared" si="7"/>
        <v>28486.251176470589</v>
      </c>
    </row>
    <row r="76" spans="1:18" ht="15" thickBot="1">
      <c r="A76" s="98">
        <v>45211</v>
      </c>
      <c r="B76" s="80" t="s">
        <v>2684</v>
      </c>
      <c r="C76" s="80" t="s">
        <v>2392</v>
      </c>
      <c r="D76" s="80" t="s">
        <v>2644</v>
      </c>
      <c r="E76" s="80" t="s">
        <v>2641</v>
      </c>
      <c r="F76" s="80" t="s">
        <v>2372</v>
      </c>
      <c r="G76" s="80" t="s">
        <v>2690</v>
      </c>
      <c r="H76" s="79">
        <v>11</v>
      </c>
      <c r="I76" s="79">
        <v>827.59</v>
      </c>
      <c r="J76" s="79">
        <v>9103.49</v>
      </c>
      <c r="M76" s="80" t="s">
        <v>2702</v>
      </c>
      <c r="N76" s="36">
        <f t="shared" si="8"/>
        <v>23835.444444444438</v>
      </c>
      <c r="O76" s="36">
        <f t="shared" si="8"/>
        <v>23809.700714285718</v>
      </c>
      <c r="P76" s="36">
        <f t="shared" si="8"/>
        <v>13271.98</v>
      </c>
      <c r="Q76" s="36">
        <f t="shared" si="8"/>
        <v>22217.923333333336</v>
      </c>
      <c r="R76" s="36">
        <f t="shared" si="8"/>
        <v>36482.33625</v>
      </c>
    </row>
    <row r="77" spans="1:18" ht="15" thickBot="1">
      <c r="A77" s="98" t="s">
        <v>2461</v>
      </c>
      <c r="B77" s="80" t="s">
        <v>2685</v>
      </c>
      <c r="C77" s="80" t="s">
        <v>2651</v>
      </c>
      <c r="D77" s="80" t="s">
        <v>2646</v>
      </c>
      <c r="E77" s="80" t="s">
        <v>2642</v>
      </c>
      <c r="F77" s="80" t="s">
        <v>2370</v>
      </c>
      <c r="G77" s="80" t="s">
        <v>2702</v>
      </c>
      <c r="H77" s="79">
        <v>10</v>
      </c>
      <c r="I77" s="79">
        <v>2008.29</v>
      </c>
      <c r="J77" s="79">
        <v>20082.900000000001</v>
      </c>
      <c r="M77" s="80" t="s">
        <v>2703</v>
      </c>
      <c r="N77" s="36">
        <f t="shared" si="8"/>
        <v>30217.910909090904</v>
      </c>
      <c r="O77" s="36">
        <f t="shared" si="8"/>
        <v>22212.576923076922</v>
      </c>
      <c r="P77" s="36">
        <f t="shared" si="8"/>
        <v>35664.82</v>
      </c>
      <c r="Q77" s="36">
        <f t="shared" si="8"/>
        <v>38399.10833333333</v>
      </c>
      <c r="R77" s="36">
        <f t="shared" si="8"/>
        <v>31648.520714285714</v>
      </c>
    </row>
    <row r="78" spans="1:18" ht="15" thickBot="1">
      <c r="A78" s="98" t="s">
        <v>2514</v>
      </c>
      <c r="B78" s="80" t="s">
        <v>2684</v>
      </c>
      <c r="C78" s="80" t="s">
        <v>2396</v>
      </c>
      <c r="D78" s="80" t="s">
        <v>2648</v>
      </c>
      <c r="E78" s="80" t="s">
        <v>2641</v>
      </c>
      <c r="F78" s="80" t="s">
        <v>2372</v>
      </c>
      <c r="G78" s="80" t="s">
        <v>2693</v>
      </c>
      <c r="H78" s="79">
        <v>3</v>
      </c>
      <c r="I78" s="79">
        <v>4157.17</v>
      </c>
      <c r="J78" s="79">
        <v>12471.51</v>
      </c>
      <c r="M78" s="80" t="s">
        <v>2704</v>
      </c>
      <c r="N78" s="36">
        <f t="shared" si="8"/>
        <v>30544.414999999997</v>
      </c>
      <c r="O78" s="36">
        <f t="shared" si="8"/>
        <v>29065.8325</v>
      </c>
      <c r="P78" s="36">
        <f t="shared" si="8"/>
        <v>26651.268000000004</v>
      </c>
      <c r="Q78" s="36">
        <f t="shared" si="8"/>
        <v>37593.99</v>
      </c>
      <c r="R78" s="36">
        <f t="shared" si="8"/>
        <v>35862.337499999994</v>
      </c>
    </row>
    <row r="79" spans="1:18" ht="15" thickBot="1">
      <c r="A79" s="98">
        <v>45109</v>
      </c>
      <c r="B79" s="80" t="s">
        <v>2681</v>
      </c>
      <c r="C79" s="80" t="s">
        <v>2655</v>
      </c>
      <c r="D79" s="80" t="s">
        <v>2645</v>
      </c>
      <c r="E79" s="80" t="s">
        <v>2642</v>
      </c>
      <c r="F79" s="80" t="s">
        <v>2373</v>
      </c>
      <c r="G79" s="80" t="s">
        <v>2705</v>
      </c>
      <c r="H79" s="79">
        <v>19</v>
      </c>
      <c r="I79" s="79">
        <v>2880.28</v>
      </c>
      <c r="J79" s="79">
        <v>54725.32</v>
      </c>
      <c r="M79" s="80" t="s">
        <v>2705</v>
      </c>
      <c r="N79" s="36">
        <f t="shared" si="8"/>
        <v>31185.264444444445</v>
      </c>
      <c r="O79" s="36">
        <f t="shared" si="8"/>
        <v>29243.803333333333</v>
      </c>
      <c r="P79" s="36">
        <f t="shared" si="8"/>
        <v>28592.913750000003</v>
      </c>
      <c r="Q79" s="36">
        <f t="shared" si="8"/>
        <v>42883.333333333336</v>
      </c>
      <c r="R79" s="36">
        <f t="shared" si="8"/>
        <v>16542.956999999999</v>
      </c>
    </row>
    <row r="80" spans="1:18" ht="15" thickBot="1">
      <c r="A80" s="98" t="s">
        <v>2606</v>
      </c>
      <c r="B80" s="80" t="s">
        <v>2687</v>
      </c>
      <c r="C80" s="80" t="s">
        <v>2656</v>
      </c>
      <c r="D80" s="80" t="s">
        <v>2648</v>
      </c>
      <c r="E80" s="80" t="s">
        <v>2641</v>
      </c>
      <c r="F80" s="80" t="s">
        <v>2370</v>
      </c>
      <c r="G80" s="80" t="s">
        <v>1336</v>
      </c>
      <c r="H80" s="79">
        <v>6</v>
      </c>
      <c r="I80" s="79">
        <v>1212.76</v>
      </c>
      <c r="J80" s="79">
        <v>7276.56</v>
      </c>
    </row>
    <row r="81" spans="1:10" ht="15" thickBot="1">
      <c r="A81" s="98" t="s">
        <v>2485</v>
      </c>
      <c r="B81" s="80" t="s">
        <v>2682</v>
      </c>
      <c r="C81" s="80" t="s">
        <v>2657</v>
      </c>
      <c r="D81" s="80" t="s">
        <v>2648</v>
      </c>
      <c r="E81" s="80" t="s">
        <v>2641</v>
      </c>
      <c r="F81" s="80" t="s">
        <v>2370</v>
      </c>
      <c r="G81" s="80" t="s">
        <v>2701</v>
      </c>
      <c r="H81" s="79">
        <v>11</v>
      </c>
      <c r="I81" s="79">
        <v>4463.4799999999996</v>
      </c>
      <c r="J81" s="79">
        <v>49098.28</v>
      </c>
    </row>
    <row r="82" spans="1:10" ht="15" thickBot="1">
      <c r="A82" s="98">
        <v>45236</v>
      </c>
      <c r="B82" s="80" t="s">
        <v>2685</v>
      </c>
      <c r="C82" s="80" t="s">
        <v>2649</v>
      </c>
      <c r="D82" s="80" t="s">
        <v>2645</v>
      </c>
      <c r="E82" s="80" t="s">
        <v>2642</v>
      </c>
      <c r="F82" s="80" t="s">
        <v>2374</v>
      </c>
      <c r="G82" s="80" t="s">
        <v>2692</v>
      </c>
      <c r="H82" s="79">
        <v>17</v>
      </c>
      <c r="I82" s="79">
        <v>3975.74</v>
      </c>
      <c r="J82" s="79">
        <v>67587.58</v>
      </c>
    </row>
    <row r="83" spans="1:10" ht="15" thickBot="1">
      <c r="A83" s="98" t="s">
        <v>2631</v>
      </c>
      <c r="B83" s="80" t="s">
        <v>2678</v>
      </c>
      <c r="C83" s="80" t="s">
        <v>2654</v>
      </c>
      <c r="D83" s="80" t="s">
        <v>2646</v>
      </c>
      <c r="E83" s="80" t="s">
        <v>2642</v>
      </c>
      <c r="F83" s="80" t="s">
        <v>2372</v>
      </c>
      <c r="G83" s="80" t="s">
        <v>2694</v>
      </c>
      <c r="H83" s="79">
        <v>15</v>
      </c>
      <c r="I83" s="79">
        <v>2158.2199999999998</v>
      </c>
      <c r="J83" s="79">
        <v>32373.3</v>
      </c>
    </row>
    <row r="84" spans="1:10" ht="15" thickBot="1">
      <c r="A84" s="98" t="s">
        <v>2608</v>
      </c>
      <c r="B84" s="80" t="s">
        <v>2680</v>
      </c>
      <c r="C84" s="80" t="s">
        <v>2396</v>
      </c>
      <c r="D84" s="80" t="s">
        <v>2648</v>
      </c>
      <c r="E84" s="80" t="s">
        <v>2641</v>
      </c>
      <c r="F84" s="80" t="s">
        <v>2372</v>
      </c>
      <c r="G84" s="80" t="s">
        <v>2693</v>
      </c>
      <c r="H84" s="79">
        <v>17</v>
      </c>
      <c r="I84" s="79">
        <v>1720.9</v>
      </c>
      <c r="J84" s="79">
        <v>29255.3</v>
      </c>
    </row>
    <row r="85" spans="1:10" ht="15" thickBot="1">
      <c r="A85" s="98" t="s">
        <v>2471</v>
      </c>
      <c r="B85" s="80" t="s">
        <v>2684</v>
      </c>
      <c r="C85" s="80" t="s">
        <v>2392</v>
      </c>
      <c r="D85" s="80" t="s">
        <v>2644</v>
      </c>
      <c r="E85" s="80" t="s">
        <v>2641</v>
      </c>
      <c r="F85" s="80" t="s">
        <v>2372</v>
      </c>
      <c r="G85" s="80" t="s">
        <v>2690</v>
      </c>
      <c r="H85" s="79">
        <v>11</v>
      </c>
      <c r="I85" s="79">
        <v>3562.92</v>
      </c>
      <c r="J85" s="79">
        <v>39192.120000000003</v>
      </c>
    </row>
    <row r="86" spans="1:10" ht="15" thickBot="1">
      <c r="A86" s="98" t="s">
        <v>2669</v>
      </c>
      <c r="B86" s="80" t="s">
        <v>2682</v>
      </c>
      <c r="C86" s="80" t="s">
        <v>2392</v>
      </c>
      <c r="D86" s="80" t="s">
        <v>2644</v>
      </c>
      <c r="E86" s="80" t="s">
        <v>2641</v>
      </c>
      <c r="F86" s="80" t="s">
        <v>2374</v>
      </c>
      <c r="G86" s="80" t="s">
        <v>2692</v>
      </c>
      <c r="H86" s="79">
        <v>17</v>
      </c>
      <c r="I86" s="79">
        <v>608.79</v>
      </c>
      <c r="J86" s="79">
        <v>10349.43</v>
      </c>
    </row>
    <row r="87" spans="1:10" ht="15" thickBot="1">
      <c r="A87" s="98" t="s">
        <v>2569</v>
      </c>
      <c r="B87" s="80" t="s">
        <v>2683</v>
      </c>
      <c r="C87" s="80" t="s">
        <v>2656</v>
      </c>
      <c r="D87" s="80" t="s">
        <v>2648</v>
      </c>
      <c r="E87" s="80" t="s">
        <v>2641</v>
      </c>
      <c r="F87" s="80" t="s">
        <v>2661</v>
      </c>
      <c r="G87" s="80" t="s">
        <v>2691</v>
      </c>
      <c r="H87" s="79">
        <v>20</v>
      </c>
      <c r="I87" s="79">
        <v>4856.17</v>
      </c>
      <c r="J87" s="79">
        <v>97123.4</v>
      </c>
    </row>
    <row r="88" spans="1:10" ht="15" thickBot="1">
      <c r="A88" s="98" t="s">
        <v>2600</v>
      </c>
      <c r="B88" s="80" t="s">
        <v>2687</v>
      </c>
      <c r="C88" s="80" t="s">
        <v>2660</v>
      </c>
      <c r="D88" s="80" t="s">
        <v>2647</v>
      </c>
      <c r="E88" s="80" t="s">
        <v>2643</v>
      </c>
      <c r="F88" s="80" t="s">
        <v>2374</v>
      </c>
      <c r="G88" s="80" t="s">
        <v>2689</v>
      </c>
      <c r="H88" s="79">
        <v>12</v>
      </c>
      <c r="I88" s="79">
        <v>4298</v>
      </c>
      <c r="J88" s="79">
        <v>51576</v>
      </c>
    </row>
    <row r="89" spans="1:10" ht="15" thickBot="1">
      <c r="A89" s="98">
        <v>45020</v>
      </c>
      <c r="B89" s="80" t="s">
        <v>2682</v>
      </c>
      <c r="C89" s="80" t="s">
        <v>2659</v>
      </c>
      <c r="D89" s="80" t="s">
        <v>2647</v>
      </c>
      <c r="E89" s="80" t="s">
        <v>2643</v>
      </c>
      <c r="F89" s="80" t="s">
        <v>2370</v>
      </c>
      <c r="G89" s="80" t="s">
        <v>2701</v>
      </c>
      <c r="H89" s="79">
        <v>7</v>
      </c>
      <c r="I89" s="79">
        <v>1160.3499999999999</v>
      </c>
      <c r="J89" s="79">
        <v>8122.45</v>
      </c>
    </row>
    <row r="90" spans="1:10" ht="15" thickBot="1">
      <c r="A90" s="98">
        <v>45115</v>
      </c>
      <c r="B90" s="80" t="s">
        <v>2684</v>
      </c>
      <c r="C90" s="80" t="s">
        <v>2660</v>
      </c>
      <c r="D90" s="80" t="s">
        <v>2647</v>
      </c>
      <c r="E90" s="80" t="s">
        <v>2643</v>
      </c>
      <c r="F90" s="80" t="s">
        <v>2372</v>
      </c>
      <c r="G90" s="80" t="s">
        <v>2693</v>
      </c>
      <c r="H90" s="79">
        <v>3</v>
      </c>
      <c r="I90" s="79">
        <v>2488.34</v>
      </c>
      <c r="J90" s="79">
        <v>7465.02</v>
      </c>
    </row>
    <row r="91" spans="1:10" ht="15" thickBot="1">
      <c r="A91" s="98" t="s">
        <v>2631</v>
      </c>
      <c r="B91" s="80" t="s">
        <v>2680</v>
      </c>
      <c r="C91" s="80" t="s">
        <v>2654</v>
      </c>
      <c r="D91" s="80" t="s">
        <v>2646</v>
      </c>
      <c r="E91" s="80" t="s">
        <v>2642</v>
      </c>
      <c r="F91" s="80" t="s">
        <v>2373</v>
      </c>
      <c r="G91" s="80" t="s">
        <v>2703</v>
      </c>
      <c r="H91" s="79">
        <v>8</v>
      </c>
      <c r="I91" s="79">
        <v>1990</v>
      </c>
      <c r="J91" s="79">
        <v>15920</v>
      </c>
    </row>
    <row r="92" spans="1:10" ht="15" thickBot="1">
      <c r="A92" s="98" t="s">
        <v>2445</v>
      </c>
      <c r="B92" s="80" t="s">
        <v>2683</v>
      </c>
      <c r="C92" s="80" t="s">
        <v>2657</v>
      </c>
      <c r="D92" s="80" t="s">
        <v>2648</v>
      </c>
      <c r="E92" s="80" t="s">
        <v>2641</v>
      </c>
      <c r="F92" s="80" t="s">
        <v>2370</v>
      </c>
      <c r="G92" s="80" t="s">
        <v>2701</v>
      </c>
      <c r="H92" s="79">
        <v>20</v>
      </c>
      <c r="I92" s="79">
        <v>2446.21</v>
      </c>
      <c r="J92" s="79">
        <v>48924.2</v>
      </c>
    </row>
    <row r="93" spans="1:10" ht="15" thickBot="1">
      <c r="A93" s="98" t="s">
        <v>2670</v>
      </c>
      <c r="B93" s="80" t="s">
        <v>2681</v>
      </c>
      <c r="C93" s="80" t="s">
        <v>2655</v>
      </c>
      <c r="D93" s="80" t="s">
        <v>2645</v>
      </c>
      <c r="E93" s="80" t="s">
        <v>2642</v>
      </c>
      <c r="F93" s="80" t="s">
        <v>2374</v>
      </c>
      <c r="G93" s="80" t="s">
        <v>2704</v>
      </c>
      <c r="H93" s="79">
        <v>11</v>
      </c>
      <c r="I93" s="79">
        <v>1841.84</v>
      </c>
      <c r="J93" s="79">
        <v>20260.240000000002</v>
      </c>
    </row>
    <row r="94" spans="1:10" ht="15" thickBot="1">
      <c r="A94" s="98">
        <v>44938</v>
      </c>
      <c r="B94" s="80" t="s">
        <v>2683</v>
      </c>
      <c r="C94" s="80" t="s">
        <v>2652</v>
      </c>
      <c r="D94" s="80" t="s">
        <v>2647</v>
      </c>
      <c r="E94" s="80" t="s">
        <v>2643</v>
      </c>
      <c r="F94" s="80" t="s">
        <v>2370</v>
      </c>
      <c r="G94" s="80" t="s">
        <v>1335</v>
      </c>
      <c r="H94" s="79">
        <v>5</v>
      </c>
      <c r="I94" s="79">
        <v>3289.83</v>
      </c>
      <c r="J94" s="79">
        <v>16449.150000000001</v>
      </c>
    </row>
    <row r="95" spans="1:10" ht="15" thickBot="1">
      <c r="A95" s="98" t="s">
        <v>2618</v>
      </c>
      <c r="B95" s="80" t="s">
        <v>2684</v>
      </c>
      <c r="C95" s="80" t="s">
        <v>2392</v>
      </c>
      <c r="D95" s="80" t="s">
        <v>2644</v>
      </c>
      <c r="E95" s="80" t="s">
        <v>2641</v>
      </c>
      <c r="F95" s="80" t="s">
        <v>2661</v>
      </c>
      <c r="G95" s="80" t="s">
        <v>2696</v>
      </c>
      <c r="H95" s="79">
        <v>6</v>
      </c>
      <c r="I95" s="79">
        <v>549.79999999999995</v>
      </c>
      <c r="J95" s="79">
        <v>3298.8</v>
      </c>
    </row>
    <row r="96" spans="1:10" ht="15" thickBot="1">
      <c r="A96" s="98">
        <v>44987</v>
      </c>
      <c r="B96" s="80" t="s">
        <v>2685</v>
      </c>
      <c r="C96" s="80" t="s">
        <v>2651</v>
      </c>
      <c r="D96" s="80" t="s">
        <v>2646</v>
      </c>
      <c r="E96" s="80" t="s">
        <v>2642</v>
      </c>
      <c r="F96" s="80" t="s">
        <v>2370</v>
      </c>
      <c r="G96" s="80" t="s">
        <v>1335</v>
      </c>
      <c r="H96" s="79">
        <v>20</v>
      </c>
      <c r="I96" s="79">
        <v>4397.46</v>
      </c>
      <c r="J96" s="79">
        <v>87949.2</v>
      </c>
    </row>
    <row r="97" spans="1:10" ht="15" thickBot="1">
      <c r="A97" s="98">
        <v>45235</v>
      </c>
      <c r="B97" s="80" t="s">
        <v>2684</v>
      </c>
      <c r="C97" s="80" t="s">
        <v>2658</v>
      </c>
      <c r="D97" s="80" t="s">
        <v>2645</v>
      </c>
      <c r="E97" s="80" t="s">
        <v>2642</v>
      </c>
      <c r="F97" s="80" t="s">
        <v>2661</v>
      </c>
      <c r="G97" s="80" t="s">
        <v>2691</v>
      </c>
      <c r="H97" s="79">
        <v>3</v>
      </c>
      <c r="I97" s="79">
        <v>3107.88</v>
      </c>
      <c r="J97" s="79">
        <v>9323.64</v>
      </c>
    </row>
    <row r="98" spans="1:10" ht="15" thickBot="1">
      <c r="A98" s="98" t="s">
        <v>2547</v>
      </c>
      <c r="B98" s="80" t="s">
        <v>2678</v>
      </c>
      <c r="C98" s="80" t="s">
        <v>2396</v>
      </c>
      <c r="D98" s="80" t="s">
        <v>2648</v>
      </c>
      <c r="E98" s="80" t="s">
        <v>2641</v>
      </c>
      <c r="F98" s="80" t="s">
        <v>2373</v>
      </c>
      <c r="G98" s="80" t="s">
        <v>2705</v>
      </c>
      <c r="H98" s="79">
        <v>11</v>
      </c>
      <c r="I98" s="79">
        <v>1451.86</v>
      </c>
      <c r="J98" s="79">
        <v>15970.46</v>
      </c>
    </row>
    <row r="99" spans="1:10" ht="15" thickBot="1">
      <c r="A99" s="98">
        <v>44992</v>
      </c>
      <c r="B99" s="80" t="s">
        <v>2684</v>
      </c>
      <c r="C99" s="80" t="s">
        <v>2654</v>
      </c>
      <c r="D99" s="80" t="s">
        <v>2646</v>
      </c>
      <c r="E99" s="80" t="s">
        <v>2642</v>
      </c>
      <c r="F99" s="80" t="s">
        <v>2661</v>
      </c>
      <c r="G99" s="80" t="s">
        <v>2698</v>
      </c>
      <c r="H99" s="79">
        <v>13</v>
      </c>
      <c r="I99" s="79">
        <v>4087.03</v>
      </c>
      <c r="J99" s="79">
        <v>53131.39</v>
      </c>
    </row>
    <row r="100" spans="1:10" ht="15" thickBot="1">
      <c r="A100" s="98">
        <v>44966</v>
      </c>
      <c r="B100" s="80" t="s">
        <v>2678</v>
      </c>
      <c r="C100" s="80" t="s">
        <v>2660</v>
      </c>
      <c r="D100" s="80" t="s">
        <v>2647</v>
      </c>
      <c r="E100" s="80" t="s">
        <v>2643</v>
      </c>
      <c r="F100" s="80" t="s">
        <v>2374</v>
      </c>
      <c r="G100" s="80" t="s">
        <v>2689</v>
      </c>
      <c r="H100" s="79">
        <v>12</v>
      </c>
      <c r="I100" s="79">
        <v>3040.08</v>
      </c>
      <c r="J100" s="79">
        <v>36480.959999999999</v>
      </c>
    </row>
    <row r="101" spans="1:10" ht="15" thickBot="1">
      <c r="A101" s="98" t="s">
        <v>2461</v>
      </c>
      <c r="B101" s="80" t="s">
        <v>2683</v>
      </c>
      <c r="C101" s="80" t="s">
        <v>2652</v>
      </c>
      <c r="D101" s="80" t="s">
        <v>2647</v>
      </c>
      <c r="E101" s="80" t="s">
        <v>2643</v>
      </c>
      <c r="F101" s="80" t="s">
        <v>2661</v>
      </c>
      <c r="G101" s="80" t="s">
        <v>2696</v>
      </c>
      <c r="H101" s="79">
        <v>19</v>
      </c>
      <c r="I101" s="79">
        <v>3968.42</v>
      </c>
      <c r="J101" s="79">
        <v>75399.98</v>
      </c>
    </row>
    <row r="102" spans="1:10" ht="15" thickBot="1">
      <c r="A102" s="98" t="s">
        <v>2623</v>
      </c>
      <c r="B102" s="80" t="s">
        <v>2687</v>
      </c>
      <c r="C102" s="80" t="s">
        <v>2649</v>
      </c>
      <c r="D102" s="80" t="s">
        <v>2645</v>
      </c>
      <c r="E102" s="80" t="s">
        <v>2642</v>
      </c>
      <c r="F102" s="80" t="s">
        <v>2370</v>
      </c>
      <c r="G102" s="80" t="s">
        <v>1336</v>
      </c>
      <c r="H102" s="79">
        <v>4</v>
      </c>
      <c r="I102" s="79">
        <v>894.64</v>
      </c>
      <c r="J102" s="79">
        <v>3578.56</v>
      </c>
    </row>
    <row r="103" spans="1:10" ht="15" thickBot="1">
      <c r="A103" s="98">
        <v>44996</v>
      </c>
      <c r="B103" s="80" t="s">
        <v>2684</v>
      </c>
      <c r="C103" s="80" t="s">
        <v>2649</v>
      </c>
      <c r="D103" s="80" t="s">
        <v>2645</v>
      </c>
      <c r="E103" s="80" t="s">
        <v>2642</v>
      </c>
      <c r="F103" s="80" t="s">
        <v>2661</v>
      </c>
      <c r="G103" s="80" t="s">
        <v>2698</v>
      </c>
      <c r="H103" s="79">
        <v>20</v>
      </c>
      <c r="I103" s="79">
        <v>1787.99</v>
      </c>
      <c r="J103" s="79">
        <v>35759.800000000003</v>
      </c>
    </row>
    <row r="104" spans="1:10" ht="15" thickBot="1">
      <c r="A104" s="98" t="s">
        <v>2570</v>
      </c>
      <c r="B104" s="80" t="s">
        <v>2678</v>
      </c>
      <c r="C104" s="80" t="s">
        <v>2392</v>
      </c>
      <c r="D104" s="80" t="s">
        <v>2644</v>
      </c>
      <c r="E104" s="80" t="s">
        <v>2641</v>
      </c>
      <c r="F104" s="80" t="s">
        <v>2373</v>
      </c>
      <c r="G104" s="80" t="s">
        <v>2697</v>
      </c>
      <c r="H104" s="79">
        <v>17</v>
      </c>
      <c r="I104" s="79">
        <v>2910.12</v>
      </c>
      <c r="J104" s="79">
        <v>49472.04</v>
      </c>
    </row>
    <row r="105" spans="1:10" ht="15" thickBot="1">
      <c r="A105" s="98">
        <v>44987</v>
      </c>
      <c r="B105" s="80" t="s">
        <v>2687</v>
      </c>
      <c r="C105" s="80" t="s">
        <v>2654</v>
      </c>
      <c r="D105" s="80" t="s">
        <v>2646</v>
      </c>
      <c r="E105" s="80" t="s">
        <v>2642</v>
      </c>
      <c r="F105" s="80" t="s">
        <v>2661</v>
      </c>
      <c r="G105" s="80" t="s">
        <v>2691</v>
      </c>
      <c r="H105" s="79">
        <v>16</v>
      </c>
      <c r="I105" s="79">
        <v>827.8</v>
      </c>
      <c r="J105" s="79">
        <v>13244.8</v>
      </c>
    </row>
    <row r="106" spans="1:10" ht="15" thickBot="1">
      <c r="A106" s="98">
        <v>45174</v>
      </c>
      <c r="B106" s="80" t="s">
        <v>2680</v>
      </c>
      <c r="C106" s="80" t="s">
        <v>2660</v>
      </c>
      <c r="D106" s="80" t="s">
        <v>2647</v>
      </c>
      <c r="E106" s="80" t="s">
        <v>2643</v>
      </c>
      <c r="F106" s="80" t="s">
        <v>2374</v>
      </c>
      <c r="G106" s="80" t="s">
        <v>2692</v>
      </c>
      <c r="H106" s="79">
        <v>18</v>
      </c>
      <c r="I106" s="79">
        <v>3093.44</v>
      </c>
      <c r="J106" s="79">
        <v>55681.919999999998</v>
      </c>
    </row>
    <row r="107" spans="1:10" ht="15" thickBot="1">
      <c r="A107" s="98" t="s">
        <v>2480</v>
      </c>
      <c r="B107" s="80" t="s">
        <v>2684</v>
      </c>
      <c r="C107" s="80" t="s">
        <v>2650</v>
      </c>
      <c r="D107" s="80" t="s">
        <v>2646</v>
      </c>
      <c r="E107" s="80" t="s">
        <v>2642</v>
      </c>
      <c r="F107" s="80" t="s">
        <v>2372</v>
      </c>
      <c r="G107" s="80" t="s">
        <v>2694</v>
      </c>
      <c r="H107" s="79">
        <v>10</v>
      </c>
      <c r="I107" s="79">
        <v>2469.04</v>
      </c>
      <c r="J107" s="79">
        <v>24690.400000000001</v>
      </c>
    </row>
    <row r="108" spans="1:10" ht="15" thickBot="1">
      <c r="A108" s="98" t="s">
        <v>2470</v>
      </c>
      <c r="B108" s="80" t="s">
        <v>2680</v>
      </c>
      <c r="C108" s="80" t="s">
        <v>2650</v>
      </c>
      <c r="D108" s="80" t="s">
        <v>2646</v>
      </c>
      <c r="E108" s="80" t="s">
        <v>2642</v>
      </c>
      <c r="F108" s="80" t="s">
        <v>2374</v>
      </c>
      <c r="G108" s="80" t="s">
        <v>2689</v>
      </c>
      <c r="H108" s="79">
        <v>12</v>
      </c>
      <c r="I108" s="79">
        <v>2127.2800000000002</v>
      </c>
      <c r="J108" s="79">
        <v>25527.360000000001</v>
      </c>
    </row>
    <row r="109" spans="1:10" ht="15" thickBot="1">
      <c r="A109" s="98" t="s">
        <v>2640</v>
      </c>
      <c r="B109" s="80" t="s">
        <v>2683</v>
      </c>
      <c r="C109" s="80" t="s">
        <v>2650</v>
      </c>
      <c r="D109" s="80" t="s">
        <v>2646</v>
      </c>
      <c r="E109" s="80" t="s">
        <v>2642</v>
      </c>
      <c r="F109" s="80" t="s">
        <v>2370</v>
      </c>
      <c r="G109" s="80" t="s">
        <v>1336</v>
      </c>
      <c r="H109" s="79">
        <v>1</v>
      </c>
      <c r="I109" s="79">
        <v>1811.76</v>
      </c>
      <c r="J109" s="79">
        <v>1811.76</v>
      </c>
    </row>
    <row r="110" spans="1:10" ht="15" thickBot="1">
      <c r="A110" s="98" t="s">
        <v>2632</v>
      </c>
      <c r="B110" s="80" t="s">
        <v>2686</v>
      </c>
      <c r="C110" s="80" t="s">
        <v>2655</v>
      </c>
      <c r="D110" s="80" t="s">
        <v>2645</v>
      </c>
      <c r="E110" s="80" t="s">
        <v>2642</v>
      </c>
      <c r="F110" s="80" t="s">
        <v>2373</v>
      </c>
      <c r="G110" s="80" t="s">
        <v>2697</v>
      </c>
      <c r="H110" s="79">
        <v>4</v>
      </c>
      <c r="I110" s="79">
        <v>4485.82</v>
      </c>
      <c r="J110" s="79">
        <v>17943.28</v>
      </c>
    </row>
    <row r="111" spans="1:10" ht="15" thickBot="1">
      <c r="A111" s="98">
        <v>44994</v>
      </c>
      <c r="B111" s="80" t="s">
        <v>2686</v>
      </c>
      <c r="C111" s="80" t="s">
        <v>2649</v>
      </c>
      <c r="D111" s="80" t="s">
        <v>2645</v>
      </c>
      <c r="E111" s="80" t="s">
        <v>2642</v>
      </c>
      <c r="F111" s="80" t="s">
        <v>2370</v>
      </c>
      <c r="G111" s="80" t="s">
        <v>1336</v>
      </c>
      <c r="H111" s="79">
        <v>8</v>
      </c>
      <c r="I111" s="79">
        <v>4649.3500000000004</v>
      </c>
      <c r="J111" s="79">
        <v>37194.800000000003</v>
      </c>
    </row>
    <row r="112" spans="1:10" ht="15" thickBot="1">
      <c r="A112" s="98" t="s">
        <v>2490</v>
      </c>
      <c r="B112" s="80" t="s">
        <v>2679</v>
      </c>
      <c r="C112" s="80" t="s">
        <v>2651</v>
      </c>
      <c r="D112" s="80" t="s">
        <v>2646</v>
      </c>
      <c r="E112" s="80" t="s">
        <v>2642</v>
      </c>
      <c r="F112" s="80" t="s">
        <v>2373</v>
      </c>
      <c r="G112" s="80" t="s">
        <v>2705</v>
      </c>
      <c r="H112" s="79">
        <v>3</v>
      </c>
      <c r="I112" s="79">
        <v>4027.17</v>
      </c>
      <c r="J112" s="79">
        <v>12081.51</v>
      </c>
    </row>
    <row r="113" spans="1:10" ht="15" thickBot="1">
      <c r="A113" s="98" t="s">
        <v>2487</v>
      </c>
      <c r="B113" s="80" t="s">
        <v>2686</v>
      </c>
      <c r="C113" s="80" t="s">
        <v>2652</v>
      </c>
      <c r="D113" s="80" t="s">
        <v>2647</v>
      </c>
      <c r="E113" s="80" t="s">
        <v>2643</v>
      </c>
      <c r="F113" s="80" t="s">
        <v>2370</v>
      </c>
      <c r="G113" s="80" t="s">
        <v>2701</v>
      </c>
      <c r="H113" s="79">
        <v>14</v>
      </c>
      <c r="I113" s="79">
        <v>4406.29</v>
      </c>
      <c r="J113" s="79">
        <v>61688.06</v>
      </c>
    </row>
    <row r="114" spans="1:10" ht="15" thickBot="1">
      <c r="A114" s="98" t="s">
        <v>2518</v>
      </c>
      <c r="B114" s="80" t="s">
        <v>2679</v>
      </c>
      <c r="C114" s="80" t="s">
        <v>2650</v>
      </c>
      <c r="D114" s="80" t="s">
        <v>2646</v>
      </c>
      <c r="E114" s="80" t="s">
        <v>2642</v>
      </c>
      <c r="F114" s="80" t="s">
        <v>2661</v>
      </c>
      <c r="G114" s="80" t="s">
        <v>2696</v>
      </c>
      <c r="H114" s="79">
        <v>20</v>
      </c>
      <c r="I114" s="79">
        <v>4072.4</v>
      </c>
      <c r="J114" s="79">
        <v>81448</v>
      </c>
    </row>
    <row r="115" spans="1:10" ht="15" thickBot="1">
      <c r="A115" s="98" t="s">
        <v>2609</v>
      </c>
      <c r="B115" s="80" t="s">
        <v>2682</v>
      </c>
      <c r="C115" s="80" t="s">
        <v>2652</v>
      </c>
      <c r="D115" s="80" t="s">
        <v>2647</v>
      </c>
      <c r="E115" s="80" t="s">
        <v>2643</v>
      </c>
      <c r="F115" s="80" t="s">
        <v>2661</v>
      </c>
      <c r="G115" s="80" t="s">
        <v>2698</v>
      </c>
      <c r="H115" s="79">
        <v>1</v>
      </c>
      <c r="I115" s="79">
        <v>4801.38</v>
      </c>
      <c r="J115" s="79">
        <v>4801.38</v>
      </c>
    </row>
    <row r="116" spans="1:10" ht="15" thickBot="1">
      <c r="A116" s="98">
        <v>45078</v>
      </c>
      <c r="B116" s="80" t="s">
        <v>2684</v>
      </c>
      <c r="C116" s="80" t="s">
        <v>2658</v>
      </c>
      <c r="D116" s="80" t="s">
        <v>2645</v>
      </c>
      <c r="E116" s="80" t="s">
        <v>2642</v>
      </c>
      <c r="F116" s="80" t="s">
        <v>2372</v>
      </c>
      <c r="G116" s="80" t="s">
        <v>2694</v>
      </c>
      <c r="H116" s="79">
        <v>17</v>
      </c>
      <c r="I116" s="79">
        <v>828.26</v>
      </c>
      <c r="J116" s="79">
        <v>14080.42</v>
      </c>
    </row>
    <row r="117" spans="1:10" ht="15" thickBot="1">
      <c r="A117" s="98">
        <v>45170</v>
      </c>
      <c r="B117" s="80" t="s">
        <v>2681</v>
      </c>
      <c r="C117" s="80" t="s">
        <v>2396</v>
      </c>
      <c r="D117" s="80" t="s">
        <v>2648</v>
      </c>
      <c r="E117" s="80" t="s">
        <v>2641</v>
      </c>
      <c r="F117" s="80" t="s">
        <v>2661</v>
      </c>
      <c r="G117" s="80" t="s">
        <v>2696</v>
      </c>
      <c r="H117" s="79">
        <v>13</v>
      </c>
      <c r="I117" s="79">
        <v>4331.5</v>
      </c>
      <c r="J117" s="79">
        <v>56309.5</v>
      </c>
    </row>
    <row r="118" spans="1:10" ht="15" thickBot="1">
      <c r="A118" s="98">
        <v>44994</v>
      </c>
      <c r="B118" s="80" t="s">
        <v>2682</v>
      </c>
      <c r="C118" s="80" t="s">
        <v>2393</v>
      </c>
      <c r="D118" s="80" t="s">
        <v>2644</v>
      </c>
      <c r="E118" s="80" t="s">
        <v>2641</v>
      </c>
      <c r="F118" s="80" t="s">
        <v>2372</v>
      </c>
      <c r="G118" s="80" t="s">
        <v>2694</v>
      </c>
      <c r="H118" s="79">
        <v>14</v>
      </c>
      <c r="I118" s="79">
        <v>3404.4</v>
      </c>
      <c r="J118" s="79">
        <v>47661.599999999999</v>
      </c>
    </row>
    <row r="119" spans="1:10" ht="15" thickBot="1">
      <c r="A119" s="98" t="s">
        <v>2584</v>
      </c>
      <c r="B119" s="80" t="s">
        <v>2686</v>
      </c>
      <c r="C119" s="80" t="s">
        <v>2653</v>
      </c>
      <c r="D119" s="80" t="s">
        <v>2644</v>
      </c>
      <c r="E119" s="80" t="s">
        <v>2641</v>
      </c>
      <c r="F119" s="80" t="s">
        <v>2373</v>
      </c>
      <c r="G119" s="80" t="s">
        <v>2705</v>
      </c>
      <c r="H119" s="79">
        <v>20</v>
      </c>
      <c r="I119" s="79">
        <v>3734.44</v>
      </c>
      <c r="J119" s="79">
        <v>74688.800000000003</v>
      </c>
    </row>
    <row r="120" spans="1:10" ht="15" thickBot="1">
      <c r="A120" s="98" t="s">
        <v>2671</v>
      </c>
      <c r="B120" s="80" t="s">
        <v>2687</v>
      </c>
      <c r="C120" s="80" t="s">
        <v>2653</v>
      </c>
      <c r="D120" s="80" t="s">
        <v>2644</v>
      </c>
      <c r="E120" s="80" t="s">
        <v>2641</v>
      </c>
      <c r="F120" s="80" t="s">
        <v>2373</v>
      </c>
      <c r="G120" s="80" t="s">
        <v>2697</v>
      </c>
      <c r="H120" s="79">
        <v>6</v>
      </c>
      <c r="I120" s="79">
        <v>112.76</v>
      </c>
      <c r="J120" s="79">
        <v>676.56</v>
      </c>
    </row>
    <row r="121" spans="1:10" ht="15" thickBot="1">
      <c r="A121" s="98" t="s">
        <v>2509</v>
      </c>
      <c r="B121" s="80" t="s">
        <v>2687</v>
      </c>
      <c r="C121" s="80" t="s">
        <v>2659</v>
      </c>
      <c r="D121" s="80" t="s">
        <v>2647</v>
      </c>
      <c r="E121" s="80" t="s">
        <v>2643</v>
      </c>
      <c r="F121" s="80" t="s">
        <v>2370</v>
      </c>
      <c r="G121" s="80" t="s">
        <v>1335</v>
      </c>
      <c r="H121" s="79">
        <v>6</v>
      </c>
      <c r="I121" s="79">
        <v>4751.7700000000004</v>
      </c>
      <c r="J121" s="79">
        <v>28510.62</v>
      </c>
    </row>
    <row r="122" spans="1:10" ht="15" thickBot="1">
      <c r="A122" s="98">
        <v>45145</v>
      </c>
      <c r="B122" s="80" t="s">
        <v>2680</v>
      </c>
      <c r="C122" s="80" t="s">
        <v>2396</v>
      </c>
      <c r="D122" s="80" t="s">
        <v>2648</v>
      </c>
      <c r="E122" s="80" t="s">
        <v>2641</v>
      </c>
      <c r="F122" s="80" t="s">
        <v>2661</v>
      </c>
      <c r="G122" s="80" t="s">
        <v>2696</v>
      </c>
      <c r="H122" s="79">
        <v>4</v>
      </c>
      <c r="I122" s="79">
        <v>3214.1</v>
      </c>
      <c r="J122" s="79">
        <v>12856.4</v>
      </c>
    </row>
    <row r="123" spans="1:10" ht="15" thickBot="1">
      <c r="A123" s="98" t="s">
        <v>2587</v>
      </c>
      <c r="B123" s="80" t="s">
        <v>2678</v>
      </c>
      <c r="C123" s="80" t="s">
        <v>2659</v>
      </c>
      <c r="D123" s="80" t="s">
        <v>2647</v>
      </c>
      <c r="E123" s="80" t="s">
        <v>2643</v>
      </c>
      <c r="F123" s="80" t="s">
        <v>2370</v>
      </c>
      <c r="G123" s="80" t="s">
        <v>1336</v>
      </c>
      <c r="H123" s="79">
        <v>20</v>
      </c>
      <c r="I123" s="79">
        <v>598.97</v>
      </c>
      <c r="J123" s="79">
        <v>11979.4</v>
      </c>
    </row>
    <row r="124" spans="1:10" ht="15" thickBot="1">
      <c r="A124" s="98" t="s">
        <v>2540</v>
      </c>
      <c r="B124" s="80" t="s">
        <v>2687</v>
      </c>
      <c r="C124" s="80" t="s">
        <v>2653</v>
      </c>
      <c r="D124" s="80" t="s">
        <v>2644</v>
      </c>
      <c r="E124" s="80" t="s">
        <v>2641</v>
      </c>
      <c r="F124" s="80" t="s">
        <v>2373</v>
      </c>
      <c r="G124" s="80" t="s">
        <v>2697</v>
      </c>
      <c r="H124" s="79">
        <v>15</v>
      </c>
      <c r="I124" s="79">
        <v>1513.67</v>
      </c>
      <c r="J124" s="79">
        <v>22705.05</v>
      </c>
    </row>
    <row r="125" spans="1:10" ht="15" thickBot="1">
      <c r="A125" s="98" t="s">
        <v>2507</v>
      </c>
      <c r="B125" s="80" t="s">
        <v>2684</v>
      </c>
      <c r="C125" s="80" t="s">
        <v>2657</v>
      </c>
      <c r="D125" s="80" t="s">
        <v>2648</v>
      </c>
      <c r="E125" s="80" t="s">
        <v>2641</v>
      </c>
      <c r="F125" s="80" t="s">
        <v>2372</v>
      </c>
      <c r="G125" s="80" t="s">
        <v>2693</v>
      </c>
      <c r="H125" s="79">
        <v>6</v>
      </c>
      <c r="I125" s="79">
        <v>194.62</v>
      </c>
      <c r="J125" s="79">
        <v>1167.72</v>
      </c>
    </row>
    <row r="126" spans="1:10" ht="15" thickBot="1">
      <c r="A126" s="98">
        <v>44938</v>
      </c>
      <c r="B126" s="80" t="s">
        <v>2685</v>
      </c>
      <c r="C126" s="80" t="s">
        <v>2657</v>
      </c>
      <c r="D126" s="80" t="s">
        <v>2648</v>
      </c>
      <c r="E126" s="80" t="s">
        <v>2641</v>
      </c>
      <c r="F126" s="80" t="s">
        <v>2372</v>
      </c>
      <c r="G126" s="80" t="s">
        <v>2693</v>
      </c>
      <c r="H126" s="79">
        <v>6</v>
      </c>
      <c r="I126" s="79">
        <v>4508.3</v>
      </c>
      <c r="J126" s="79">
        <v>27049.8</v>
      </c>
    </row>
    <row r="127" spans="1:10" ht="15" thickBot="1">
      <c r="A127" s="98">
        <v>45239</v>
      </c>
      <c r="B127" s="80" t="s">
        <v>2683</v>
      </c>
      <c r="C127" s="80" t="s">
        <v>2656</v>
      </c>
      <c r="D127" s="80" t="s">
        <v>2648</v>
      </c>
      <c r="E127" s="80" t="s">
        <v>2641</v>
      </c>
      <c r="F127" s="80" t="s">
        <v>2373</v>
      </c>
      <c r="G127" s="80" t="s">
        <v>2705</v>
      </c>
      <c r="H127" s="79">
        <v>20</v>
      </c>
      <c r="I127" s="79">
        <v>4055.72</v>
      </c>
      <c r="J127" s="79">
        <v>81114.399999999994</v>
      </c>
    </row>
    <row r="128" spans="1:10" ht="15" thickBot="1">
      <c r="A128" s="98">
        <v>44995</v>
      </c>
      <c r="B128" s="80" t="s">
        <v>2684</v>
      </c>
      <c r="C128" s="80" t="s">
        <v>2651</v>
      </c>
      <c r="D128" s="80" t="s">
        <v>2646</v>
      </c>
      <c r="E128" s="80" t="s">
        <v>2642</v>
      </c>
      <c r="F128" s="80" t="s">
        <v>2373</v>
      </c>
      <c r="G128" s="80" t="s">
        <v>2705</v>
      </c>
      <c r="H128" s="79">
        <v>8</v>
      </c>
      <c r="I128" s="79">
        <v>2986.89</v>
      </c>
      <c r="J128" s="79">
        <v>23895.119999999999</v>
      </c>
    </row>
    <row r="129" spans="1:10" ht="15" thickBot="1">
      <c r="A129" s="98" t="s">
        <v>2607</v>
      </c>
      <c r="B129" s="80" t="s">
        <v>2682</v>
      </c>
      <c r="C129" s="80" t="s">
        <v>2660</v>
      </c>
      <c r="D129" s="80" t="s">
        <v>2647</v>
      </c>
      <c r="E129" s="80" t="s">
        <v>2643</v>
      </c>
      <c r="F129" s="80" t="s">
        <v>2370</v>
      </c>
      <c r="G129" s="80" t="s">
        <v>2701</v>
      </c>
      <c r="H129" s="79">
        <v>7</v>
      </c>
      <c r="I129" s="79">
        <v>4933.0600000000004</v>
      </c>
      <c r="J129" s="79">
        <v>34531.42</v>
      </c>
    </row>
    <row r="130" spans="1:10" ht="15" thickBot="1">
      <c r="A130" s="98" t="s">
        <v>2604</v>
      </c>
      <c r="B130" s="80" t="s">
        <v>2686</v>
      </c>
      <c r="C130" s="80" t="s">
        <v>2658</v>
      </c>
      <c r="D130" s="80" t="s">
        <v>2645</v>
      </c>
      <c r="E130" s="80" t="s">
        <v>2642</v>
      </c>
      <c r="F130" s="80" t="s">
        <v>2374</v>
      </c>
      <c r="G130" s="80" t="s">
        <v>2689</v>
      </c>
      <c r="H130" s="79">
        <v>4</v>
      </c>
      <c r="I130" s="79">
        <v>4837.17</v>
      </c>
      <c r="J130" s="79">
        <v>19348.68</v>
      </c>
    </row>
    <row r="131" spans="1:10" ht="15" thickBot="1">
      <c r="A131" s="98">
        <v>45026</v>
      </c>
      <c r="B131" s="80" t="s">
        <v>2684</v>
      </c>
      <c r="C131" s="80" t="s">
        <v>2659</v>
      </c>
      <c r="D131" s="80" t="s">
        <v>2647</v>
      </c>
      <c r="E131" s="80" t="s">
        <v>2643</v>
      </c>
      <c r="F131" s="80" t="s">
        <v>2374</v>
      </c>
      <c r="G131" s="80" t="s">
        <v>2689</v>
      </c>
      <c r="H131" s="79">
        <v>1</v>
      </c>
      <c r="I131" s="79">
        <v>4813.2299999999996</v>
      </c>
      <c r="J131" s="79">
        <v>4813.2299999999996</v>
      </c>
    </row>
    <row r="132" spans="1:10" ht="15" thickBot="1">
      <c r="A132" s="98" t="s">
        <v>2521</v>
      </c>
      <c r="B132" s="80" t="s">
        <v>2684</v>
      </c>
      <c r="C132" s="80" t="s">
        <v>2649</v>
      </c>
      <c r="D132" s="80" t="s">
        <v>2645</v>
      </c>
      <c r="E132" s="80" t="s">
        <v>2642</v>
      </c>
      <c r="F132" s="80" t="s">
        <v>2372</v>
      </c>
      <c r="G132" s="80" t="s">
        <v>2699</v>
      </c>
      <c r="H132" s="79">
        <v>16</v>
      </c>
      <c r="I132" s="79">
        <v>3158.66</v>
      </c>
      <c r="J132" s="79">
        <v>50538.559999999998</v>
      </c>
    </row>
    <row r="133" spans="1:10" ht="15" thickBot="1">
      <c r="A133" s="98">
        <v>45086</v>
      </c>
      <c r="B133" s="80" t="s">
        <v>2679</v>
      </c>
      <c r="C133" s="80" t="s">
        <v>2653</v>
      </c>
      <c r="D133" s="80" t="s">
        <v>2644</v>
      </c>
      <c r="E133" s="80" t="s">
        <v>2641</v>
      </c>
      <c r="F133" s="80" t="s">
        <v>2370</v>
      </c>
      <c r="G133" s="80" t="s">
        <v>1336</v>
      </c>
      <c r="H133" s="79">
        <v>6</v>
      </c>
      <c r="I133" s="79">
        <v>2920.43</v>
      </c>
      <c r="J133" s="79">
        <v>17522.580000000002</v>
      </c>
    </row>
    <row r="134" spans="1:10" ht="15" thickBot="1">
      <c r="A134" s="98">
        <v>45119</v>
      </c>
      <c r="B134" s="80" t="s">
        <v>2679</v>
      </c>
      <c r="C134" s="80" t="s">
        <v>2653</v>
      </c>
      <c r="D134" s="80" t="s">
        <v>2644</v>
      </c>
      <c r="E134" s="80" t="s">
        <v>2641</v>
      </c>
      <c r="F134" s="80" t="s">
        <v>2372</v>
      </c>
      <c r="G134" s="80" t="s">
        <v>2693</v>
      </c>
      <c r="H134" s="79">
        <v>12</v>
      </c>
      <c r="I134" s="79">
        <v>2170.02</v>
      </c>
      <c r="J134" s="79">
        <v>26040.240000000002</v>
      </c>
    </row>
    <row r="135" spans="1:10" ht="15" thickBot="1">
      <c r="A135" s="98" t="s">
        <v>2574</v>
      </c>
      <c r="B135" s="80" t="s">
        <v>2682</v>
      </c>
      <c r="C135" s="80" t="s">
        <v>2653</v>
      </c>
      <c r="D135" s="80" t="s">
        <v>2644</v>
      </c>
      <c r="E135" s="80" t="s">
        <v>2641</v>
      </c>
      <c r="F135" s="80" t="s">
        <v>2370</v>
      </c>
      <c r="G135" s="80" t="s">
        <v>1335</v>
      </c>
      <c r="H135" s="79">
        <v>2</v>
      </c>
      <c r="I135" s="79">
        <v>4542.6099999999997</v>
      </c>
      <c r="J135" s="79">
        <v>9085.2199999999993</v>
      </c>
    </row>
    <row r="136" spans="1:10" ht="15" thickBot="1">
      <c r="A136" s="98" t="s">
        <v>2519</v>
      </c>
      <c r="B136" s="80" t="s">
        <v>2680</v>
      </c>
      <c r="C136" s="80" t="s">
        <v>2393</v>
      </c>
      <c r="D136" s="80" t="s">
        <v>2644</v>
      </c>
      <c r="E136" s="80" t="s">
        <v>2641</v>
      </c>
      <c r="F136" s="80" t="s">
        <v>2370</v>
      </c>
      <c r="G136" s="80" t="s">
        <v>1335</v>
      </c>
      <c r="H136" s="79">
        <v>1</v>
      </c>
      <c r="I136" s="79">
        <v>3091.48</v>
      </c>
      <c r="J136" s="79">
        <v>3091.48</v>
      </c>
    </row>
    <row r="137" spans="1:10" ht="15" thickBot="1">
      <c r="A137" s="98">
        <v>45017</v>
      </c>
      <c r="B137" s="80" t="s">
        <v>2684</v>
      </c>
      <c r="C137" s="80" t="s">
        <v>2396</v>
      </c>
      <c r="D137" s="80" t="s">
        <v>2648</v>
      </c>
      <c r="E137" s="80" t="s">
        <v>2641</v>
      </c>
      <c r="F137" s="80" t="s">
        <v>2373</v>
      </c>
      <c r="G137" s="80" t="s">
        <v>2688</v>
      </c>
      <c r="H137" s="79">
        <v>3</v>
      </c>
      <c r="I137" s="79">
        <v>2205.6</v>
      </c>
      <c r="J137" s="79">
        <v>6616.8</v>
      </c>
    </row>
    <row r="138" spans="1:10" ht="15" thickBot="1">
      <c r="A138" s="98" t="s">
        <v>2598</v>
      </c>
      <c r="B138" s="80" t="s">
        <v>2680</v>
      </c>
      <c r="C138" s="80" t="s">
        <v>2653</v>
      </c>
      <c r="D138" s="80" t="s">
        <v>2644</v>
      </c>
      <c r="E138" s="80" t="s">
        <v>2641</v>
      </c>
      <c r="F138" s="80" t="s">
        <v>2370</v>
      </c>
      <c r="G138" s="80" t="s">
        <v>2701</v>
      </c>
      <c r="H138" s="79">
        <v>10</v>
      </c>
      <c r="I138" s="79">
        <v>4282.18</v>
      </c>
      <c r="J138" s="79">
        <v>42821.8</v>
      </c>
    </row>
    <row r="139" spans="1:10" ht="15" thickBot="1">
      <c r="A139" s="98" t="s">
        <v>2586</v>
      </c>
      <c r="B139" s="80" t="s">
        <v>2682</v>
      </c>
      <c r="C139" s="80" t="s">
        <v>2658</v>
      </c>
      <c r="D139" s="80" t="s">
        <v>2645</v>
      </c>
      <c r="E139" s="80" t="s">
        <v>2642</v>
      </c>
      <c r="F139" s="80" t="s">
        <v>2374</v>
      </c>
      <c r="G139" s="80" t="s">
        <v>2689</v>
      </c>
      <c r="H139" s="79">
        <v>5</v>
      </c>
      <c r="I139" s="79">
        <v>4252.84</v>
      </c>
      <c r="J139" s="79">
        <v>21264.2</v>
      </c>
    </row>
    <row r="140" spans="1:10" ht="15" thickBot="1">
      <c r="A140" s="98">
        <v>45139</v>
      </c>
      <c r="B140" s="80" t="s">
        <v>2679</v>
      </c>
      <c r="C140" s="80" t="s">
        <v>2652</v>
      </c>
      <c r="D140" s="80" t="s">
        <v>2647</v>
      </c>
      <c r="E140" s="80" t="s">
        <v>2643</v>
      </c>
      <c r="F140" s="80" t="s">
        <v>2373</v>
      </c>
      <c r="G140" s="80" t="s">
        <v>2705</v>
      </c>
      <c r="H140" s="79">
        <v>3</v>
      </c>
      <c r="I140" s="79">
        <v>916.33</v>
      </c>
      <c r="J140" s="79">
        <v>2748.99</v>
      </c>
    </row>
    <row r="141" spans="1:10" ht="15" thickBot="1">
      <c r="A141" s="98" t="s">
        <v>2493</v>
      </c>
      <c r="B141" s="80" t="s">
        <v>2679</v>
      </c>
      <c r="C141" s="80" t="s">
        <v>2656</v>
      </c>
      <c r="D141" s="80" t="s">
        <v>2648</v>
      </c>
      <c r="E141" s="80" t="s">
        <v>2641</v>
      </c>
      <c r="F141" s="80" t="s">
        <v>2373</v>
      </c>
      <c r="G141" s="80" t="s">
        <v>2705</v>
      </c>
      <c r="H141" s="79">
        <v>3</v>
      </c>
      <c r="I141" s="79">
        <v>1270.1500000000001</v>
      </c>
      <c r="J141" s="79">
        <v>3810.45</v>
      </c>
    </row>
    <row r="142" spans="1:10" ht="15" thickBot="1">
      <c r="A142" s="98">
        <v>45232</v>
      </c>
      <c r="B142" s="80" t="s">
        <v>2680</v>
      </c>
      <c r="C142" s="80" t="s">
        <v>2654</v>
      </c>
      <c r="D142" s="80" t="s">
        <v>2646</v>
      </c>
      <c r="E142" s="80" t="s">
        <v>2642</v>
      </c>
      <c r="F142" s="80" t="s">
        <v>2373</v>
      </c>
      <c r="G142" s="80" t="s">
        <v>2697</v>
      </c>
      <c r="H142" s="79">
        <v>6</v>
      </c>
      <c r="I142" s="79">
        <v>1750.35</v>
      </c>
      <c r="J142" s="79">
        <v>10502.1</v>
      </c>
    </row>
    <row r="143" spans="1:10" ht="15" thickBot="1">
      <c r="A143" s="98" t="s">
        <v>2456</v>
      </c>
      <c r="B143" s="80" t="s">
        <v>2678</v>
      </c>
      <c r="C143" s="80" t="s">
        <v>2654</v>
      </c>
      <c r="D143" s="80" t="s">
        <v>2646</v>
      </c>
      <c r="E143" s="80" t="s">
        <v>2642</v>
      </c>
      <c r="F143" s="80" t="s">
        <v>2661</v>
      </c>
      <c r="G143" s="80" t="s">
        <v>2691</v>
      </c>
      <c r="H143" s="79">
        <v>6</v>
      </c>
      <c r="I143" s="79">
        <v>1105.03</v>
      </c>
      <c r="J143" s="79">
        <v>6630.18</v>
      </c>
    </row>
    <row r="144" spans="1:10" ht="15" thickBot="1">
      <c r="A144" s="98" t="s">
        <v>2472</v>
      </c>
      <c r="B144" s="80" t="s">
        <v>2684</v>
      </c>
      <c r="C144" s="80" t="s">
        <v>2654</v>
      </c>
      <c r="D144" s="80" t="s">
        <v>2646</v>
      </c>
      <c r="E144" s="80" t="s">
        <v>2642</v>
      </c>
      <c r="F144" s="80" t="s">
        <v>2373</v>
      </c>
      <c r="G144" s="80" t="s">
        <v>2688</v>
      </c>
      <c r="H144" s="79">
        <v>17</v>
      </c>
      <c r="I144" s="79">
        <v>1801.69</v>
      </c>
      <c r="J144" s="79">
        <v>30628.73</v>
      </c>
    </row>
    <row r="145" spans="1:10" ht="15" thickBot="1">
      <c r="A145" s="98">
        <v>45176</v>
      </c>
      <c r="B145" s="80" t="s">
        <v>2685</v>
      </c>
      <c r="C145" s="80" t="s">
        <v>2655</v>
      </c>
      <c r="D145" s="80" t="s">
        <v>2645</v>
      </c>
      <c r="E145" s="80" t="s">
        <v>2642</v>
      </c>
      <c r="F145" s="80" t="s">
        <v>2370</v>
      </c>
      <c r="G145" s="80" t="s">
        <v>1335</v>
      </c>
      <c r="H145" s="79">
        <v>19</v>
      </c>
      <c r="I145" s="79">
        <v>717.29</v>
      </c>
      <c r="J145" s="79">
        <v>13628.51</v>
      </c>
    </row>
    <row r="146" spans="1:10" ht="15" thickBot="1">
      <c r="A146" s="98" t="s">
        <v>2670</v>
      </c>
      <c r="B146" s="80" t="s">
        <v>2680</v>
      </c>
      <c r="C146" s="80" t="s">
        <v>2657</v>
      </c>
      <c r="D146" s="80" t="s">
        <v>2648</v>
      </c>
      <c r="E146" s="80" t="s">
        <v>2641</v>
      </c>
      <c r="F146" s="80" t="s">
        <v>2374</v>
      </c>
      <c r="G146" s="80" t="s">
        <v>2700</v>
      </c>
      <c r="H146" s="79">
        <v>2</v>
      </c>
      <c r="I146" s="79">
        <v>4547.16</v>
      </c>
      <c r="J146" s="79">
        <v>9094.32</v>
      </c>
    </row>
    <row r="147" spans="1:10" ht="15" thickBot="1">
      <c r="A147" s="98">
        <v>45027</v>
      </c>
      <c r="B147" s="80" t="s">
        <v>2684</v>
      </c>
      <c r="C147" s="80" t="s">
        <v>2652</v>
      </c>
      <c r="D147" s="80" t="s">
        <v>2647</v>
      </c>
      <c r="E147" s="80" t="s">
        <v>2643</v>
      </c>
      <c r="F147" s="80" t="s">
        <v>2372</v>
      </c>
      <c r="G147" s="80" t="s">
        <v>2690</v>
      </c>
      <c r="H147" s="79">
        <v>2</v>
      </c>
      <c r="I147" s="79">
        <v>4818.49</v>
      </c>
      <c r="J147" s="79">
        <v>9636.98</v>
      </c>
    </row>
    <row r="148" spans="1:10" ht="15" thickBot="1">
      <c r="A148" s="98">
        <v>45210</v>
      </c>
      <c r="B148" s="80" t="s">
        <v>2681</v>
      </c>
      <c r="C148" s="80" t="s">
        <v>2650</v>
      </c>
      <c r="D148" s="80" t="s">
        <v>2646</v>
      </c>
      <c r="E148" s="80" t="s">
        <v>2642</v>
      </c>
      <c r="F148" s="80" t="s">
        <v>2374</v>
      </c>
      <c r="G148" s="80" t="s">
        <v>2689</v>
      </c>
      <c r="H148" s="79">
        <v>14</v>
      </c>
      <c r="I148" s="79">
        <v>1410.91</v>
      </c>
      <c r="J148" s="79">
        <v>19752.740000000002</v>
      </c>
    </row>
    <row r="149" spans="1:10" ht="15" thickBot="1">
      <c r="A149" s="98" t="s">
        <v>2672</v>
      </c>
      <c r="B149" s="80" t="s">
        <v>2687</v>
      </c>
      <c r="C149" s="80" t="s">
        <v>2658</v>
      </c>
      <c r="D149" s="80" t="s">
        <v>2645</v>
      </c>
      <c r="E149" s="80" t="s">
        <v>2642</v>
      </c>
      <c r="F149" s="80" t="s">
        <v>2372</v>
      </c>
      <c r="G149" s="80" t="s">
        <v>2690</v>
      </c>
      <c r="H149" s="79">
        <v>20</v>
      </c>
      <c r="I149" s="79">
        <v>239.35</v>
      </c>
      <c r="J149" s="79">
        <v>4787</v>
      </c>
    </row>
    <row r="150" spans="1:10" ht="15" thickBot="1">
      <c r="A150" s="98">
        <v>44963</v>
      </c>
      <c r="B150" s="80" t="s">
        <v>2682</v>
      </c>
      <c r="C150" s="80" t="s">
        <v>2657</v>
      </c>
      <c r="D150" s="80" t="s">
        <v>2648</v>
      </c>
      <c r="E150" s="80" t="s">
        <v>2641</v>
      </c>
      <c r="F150" s="80" t="s">
        <v>2374</v>
      </c>
      <c r="G150" s="80" t="s">
        <v>2700</v>
      </c>
      <c r="H150" s="79">
        <v>16</v>
      </c>
      <c r="I150" s="79">
        <v>4096.74</v>
      </c>
      <c r="J150" s="79">
        <v>65547.839999999997</v>
      </c>
    </row>
    <row r="151" spans="1:10" ht="15" thickBot="1">
      <c r="A151" s="98" t="s">
        <v>2545</v>
      </c>
      <c r="B151" s="80" t="s">
        <v>2682</v>
      </c>
      <c r="C151" s="80" t="s">
        <v>2650</v>
      </c>
      <c r="D151" s="80" t="s">
        <v>2646</v>
      </c>
      <c r="E151" s="80" t="s">
        <v>2642</v>
      </c>
      <c r="F151" s="80" t="s">
        <v>2374</v>
      </c>
      <c r="G151" s="80" t="s">
        <v>2692</v>
      </c>
      <c r="H151" s="79">
        <v>14</v>
      </c>
      <c r="I151" s="79">
        <v>3507.25</v>
      </c>
      <c r="J151" s="79">
        <v>49101.5</v>
      </c>
    </row>
    <row r="152" spans="1:10" ht="15" thickBot="1">
      <c r="A152" s="98" t="s">
        <v>2549</v>
      </c>
      <c r="B152" s="80" t="s">
        <v>2681</v>
      </c>
      <c r="C152" s="80" t="s">
        <v>2393</v>
      </c>
      <c r="D152" s="80" t="s">
        <v>2644</v>
      </c>
      <c r="E152" s="80" t="s">
        <v>2641</v>
      </c>
      <c r="F152" s="80" t="s">
        <v>2374</v>
      </c>
      <c r="G152" s="80" t="s">
        <v>2700</v>
      </c>
      <c r="H152" s="79">
        <v>16</v>
      </c>
      <c r="I152" s="79">
        <v>4507.37</v>
      </c>
      <c r="J152" s="79">
        <v>72117.919999999998</v>
      </c>
    </row>
    <row r="153" spans="1:10" ht="15" thickBot="1">
      <c r="A153" s="98" t="s">
        <v>2621</v>
      </c>
      <c r="B153" s="80" t="s">
        <v>2682</v>
      </c>
      <c r="C153" s="80" t="s">
        <v>2652</v>
      </c>
      <c r="D153" s="80" t="s">
        <v>2647</v>
      </c>
      <c r="E153" s="80" t="s">
        <v>2643</v>
      </c>
      <c r="F153" s="80" t="s">
        <v>2373</v>
      </c>
      <c r="G153" s="80" t="s">
        <v>2697</v>
      </c>
      <c r="H153" s="79">
        <v>10</v>
      </c>
      <c r="I153" s="79">
        <v>239.55</v>
      </c>
      <c r="J153" s="79">
        <v>2395.5</v>
      </c>
    </row>
    <row r="154" spans="1:10" ht="15" thickBot="1">
      <c r="A154" s="98" t="s">
        <v>2446</v>
      </c>
      <c r="B154" s="80" t="s">
        <v>2678</v>
      </c>
      <c r="C154" s="80" t="s">
        <v>2653</v>
      </c>
      <c r="D154" s="80" t="s">
        <v>2644</v>
      </c>
      <c r="E154" s="80" t="s">
        <v>2641</v>
      </c>
      <c r="F154" s="80" t="s">
        <v>2374</v>
      </c>
      <c r="G154" s="80" t="s">
        <v>2692</v>
      </c>
      <c r="H154" s="79">
        <v>17</v>
      </c>
      <c r="I154" s="79">
        <v>679.78</v>
      </c>
      <c r="J154" s="79">
        <v>11556.26</v>
      </c>
    </row>
    <row r="155" spans="1:10" ht="15" thickBot="1">
      <c r="A155" s="98" t="s">
        <v>2512</v>
      </c>
      <c r="B155" s="80" t="s">
        <v>2682</v>
      </c>
      <c r="C155" s="80" t="s">
        <v>2649</v>
      </c>
      <c r="D155" s="80" t="s">
        <v>2645</v>
      </c>
      <c r="E155" s="80" t="s">
        <v>2642</v>
      </c>
      <c r="F155" s="80" t="s">
        <v>2373</v>
      </c>
      <c r="G155" s="80" t="s">
        <v>2705</v>
      </c>
      <c r="H155" s="79">
        <v>18</v>
      </c>
      <c r="I155" s="79">
        <v>2658.57</v>
      </c>
      <c r="J155" s="79">
        <v>47854.26</v>
      </c>
    </row>
    <row r="156" spans="1:10" ht="15" thickBot="1">
      <c r="A156" s="98" t="s">
        <v>2470</v>
      </c>
      <c r="B156" s="80" t="s">
        <v>2685</v>
      </c>
      <c r="C156" s="80" t="s">
        <v>2654</v>
      </c>
      <c r="D156" s="80" t="s">
        <v>2646</v>
      </c>
      <c r="E156" s="80" t="s">
        <v>2642</v>
      </c>
      <c r="F156" s="80" t="s">
        <v>2373</v>
      </c>
      <c r="G156" s="80" t="s">
        <v>2688</v>
      </c>
      <c r="H156" s="79">
        <v>18</v>
      </c>
      <c r="I156" s="79">
        <v>4937.99</v>
      </c>
      <c r="J156" s="79">
        <v>88883.82</v>
      </c>
    </row>
    <row r="157" spans="1:10" ht="15" thickBot="1">
      <c r="A157" s="98" t="s">
        <v>2487</v>
      </c>
      <c r="B157" s="80" t="s">
        <v>2685</v>
      </c>
      <c r="C157" s="80" t="s">
        <v>2396</v>
      </c>
      <c r="D157" s="80" t="s">
        <v>2648</v>
      </c>
      <c r="E157" s="80" t="s">
        <v>2641</v>
      </c>
      <c r="F157" s="80" t="s">
        <v>2373</v>
      </c>
      <c r="G157" s="80" t="s">
        <v>2703</v>
      </c>
      <c r="H157" s="79">
        <v>17</v>
      </c>
      <c r="I157" s="79">
        <v>3421.31</v>
      </c>
      <c r="J157" s="79">
        <v>58162.27</v>
      </c>
    </row>
    <row r="158" spans="1:10" ht="15" thickBot="1">
      <c r="A158" s="98" t="s">
        <v>2586</v>
      </c>
      <c r="B158" s="80" t="s">
        <v>2687</v>
      </c>
      <c r="C158" s="80" t="s">
        <v>2659</v>
      </c>
      <c r="D158" s="80" t="s">
        <v>2647</v>
      </c>
      <c r="E158" s="80" t="s">
        <v>2643</v>
      </c>
      <c r="F158" s="80" t="s">
        <v>2370</v>
      </c>
      <c r="G158" s="80" t="s">
        <v>1335</v>
      </c>
      <c r="H158" s="79">
        <v>4</v>
      </c>
      <c r="I158" s="79">
        <v>1555.9</v>
      </c>
      <c r="J158" s="79">
        <v>6223.6</v>
      </c>
    </row>
    <row r="159" spans="1:10" ht="15" thickBot="1">
      <c r="A159" s="98" t="s">
        <v>2575</v>
      </c>
      <c r="B159" s="80" t="s">
        <v>2683</v>
      </c>
      <c r="C159" s="80" t="s">
        <v>2393</v>
      </c>
      <c r="D159" s="80" t="s">
        <v>2644</v>
      </c>
      <c r="E159" s="80" t="s">
        <v>2641</v>
      </c>
      <c r="F159" s="80" t="s">
        <v>2370</v>
      </c>
      <c r="G159" s="80" t="s">
        <v>1335</v>
      </c>
      <c r="H159" s="79">
        <v>12</v>
      </c>
      <c r="I159" s="79">
        <v>932.42</v>
      </c>
      <c r="J159" s="79">
        <v>11189.04</v>
      </c>
    </row>
    <row r="160" spans="1:10" ht="15" thickBot="1">
      <c r="A160" s="98" t="s">
        <v>2609</v>
      </c>
      <c r="B160" s="80" t="s">
        <v>2682</v>
      </c>
      <c r="C160" s="80" t="s">
        <v>2649</v>
      </c>
      <c r="D160" s="80" t="s">
        <v>2645</v>
      </c>
      <c r="E160" s="80" t="s">
        <v>2642</v>
      </c>
      <c r="F160" s="80" t="s">
        <v>2373</v>
      </c>
      <c r="G160" s="80" t="s">
        <v>2705</v>
      </c>
      <c r="H160" s="79">
        <v>20</v>
      </c>
      <c r="I160" s="79">
        <v>459.48</v>
      </c>
      <c r="J160" s="79">
        <v>9189.6</v>
      </c>
    </row>
    <row r="161" spans="1:10" ht="15" thickBot="1">
      <c r="A161" s="98" t="s">
        <v>2618</v>
      </c>
      <c r="B161" s="80" t="s">
        <v>2679</v>
      </c>
      <c r="C161" s="80" t="s">
        <v>2658</v>
      </c>
      <c r="D161" s="80" t="s">
        <v>2645</v>
      </c>
      <c r="E161" s="80" t="s">
        <v>2642</v>
      </c>
      <c r="F161" s="80" t="s">
        <v>2370</v>
      </c>
      <c r="G161" s="80" t="s">
        <v>2701</v>
      </c>
      <c r="H161" s="79">
        <v>5</v>
      </c>
      <c r="I161" s="79">
        <v>568.87</v>
      </c>
      <c r="J161" s="79">
        <v>2844.35</v>
      </c>
    </row>
    <row r="162" spans="1:10" ht="15" thickBot="1">
      <c r="A162" s="98" t="s">
        <v>2608</v>
      </c>
      <c r="B162" s="80" t="s">
        <v>2680</v>
      </c>
      <c r="C162" s="80" t="s">
        <v>2655</v>
      </c>
      <c r="D162" s="80" t="s">
        <v>2645</v>
      </c>
      <c r="E162" s="80" t="s">
        <v>2642</v>
      </c>
      <c r="F162" s="80" t="s">
        <v>2372</v>
      </c>
      <c r="G162" s="80" t="s">
        <v>2699</v>
      </c>
      <c r="H162" s="79">
        <v>10</v>
      </c>
      <c r="I162" s="79">
        <v>1468.96</v>
      </c>
      <c r="J162" s="79">
        <v>14689.6</v>
      </c>
    </row>
    <row r="163" spans="1:10" ht="15" thickBot="1">
      <c r="A163" s="98" t="s">
        <v>2598</v>
      </c>
      <c r="B163" s="80" t="s">
        <v>2687</v>
      </c>
      <c r="C163" s="80" t="s">
        <v>2659</v>
      </c>
      <c r="D163" s="80" t="s">
        <v>2647</v>
      </c>
      <c r="E163" s="80" t="s">
        <v>2643</v>
      </c>
      <c r="F163" s="80" t="s">
        <v>2373</v>
      </c>
      <c r="G163" s="80" t="s">
        <v>2705</v>
      </c>
      <c r="H163" s="79">
        <v>6</v>
      </c>
      <c r="I163" s="79">
        <v>3080.25</v>
      </c>
      <c r="J163" s="79">
        <v>18481.5</v>
      </c>
    </row>
    <row r="164" spans="1:10" ht="15" thickBot="1">
      <c r="A164" s="98" t="s">
        <v>2595</v>
      </c>
      <c r="B164" s="80" t="s">
        <v>2687</v>
      </c>
      <c r="C164" s="80" t="s">
        <v>2658</v>
      </c>
      <c r="D164" s="80" t="s">
        <v>2645</v>
      </c>
      <c r="E164" s="80" t="s">
        <v>2642</v>
      </c>
      <c r="F164" s="80" t="s">
        <v>2372</v>
      </c>
      <c r="G164" s="80" t="s">
        <v>2693</v>
      </c>
      <c r="H164" s="79">
        <v>11</v>
      </c>
      <c r="I164" s="79">
        <v>1817.43</v>
      </c>
      <c r="J164" s="79">
        <v>19991.73</v>
      </c>
    </row>
    <row r="165" spans="1:10" ht="15" thickBot="1">
      <c r="A165" s="98" t="s">
        <v>2548</v>
      </c>
      <c r="B165" s="80" t="s">
        <v>2678</v>
      </c>
      <c r="C165" s="80" t="s">
        <v>2652</v>
      </c>
      <c r="D165" s="80" t="s">
        <v>2647</v>
      </c>
      <c r="E165" s="80" t="s">
        <v>2643</v>
      </c>
      <c r="F165" s="80" t="s">
        <v>2374</v>
      </c>
      <c r="G165" s="80" t="s">
        <v>2700</v>
      </c>
      <c r="H165" s="79">
        <v>19</v>
      </c>
      <c r="I165" s="79">
        <v>3800.55</v>
      </c>
      <c r="J165" s="79">
        <v>72210.45</v>
      </c>
    </row>
    <row r="166" spans="1:10" ht="15" thickBot="1">
      <c r="A166" s="98" t="s">
        <v>2555</v>
      </c>
      <c r="B166" s="80" t="s">
        <v>2683</v>
      </c>
      <c r="C166" s="80" t="s">
        <v>2657</v>
      </c>
      <c r="D166" s="80" t="s">
        <v>2648</v>
      </c>
      <c r="E166" s="80" t="s">
        <v>2641</v>
      </c>
      <c r="F166" s="80" t="s">
        <v>2370</v>
      </c>
      <c r="G166" s="80" t="s">
        <v>1335</v>
      </c>
      <c r="H166" s="79">
        <v>17</v>
      </c>
      <c r="I166" s="79">
        <v>2809.13</v>
      </c>
      <c r="J166" s="79">
        <v>47755.21</v>
      </c>
    </row>
    <row r="167" spans="1:10" ht="15" thickBot="1">
      <c r="A167" s="98">
        <v>45083</v>
      </c>
      <c r="B167" s="80" t="s">
        <v>2680</v>
      </c>
      <c r="C167" s="80" t="s">
        <v>2649</v>
      </c>
      <c r="D167" s="80" t="s">
        <v>2645</v>
      </c>
      <c r="E167" s="80" t="s">
        <v>2642</v>
      </c>
      <c r="F167" s="80" t="s">
        <v>2374</v>
      </c>
      <c r="G167" s="80" t="s">
        <v>2689</v>
      </c>
      <c r="H167" s="79">
        <v>9</v>
      </c>
      <c r="I167" s="79">
        <v>4712.9799999999996</v>
      </c>
      <c r="J167" s="79">
        <v>42416.82</v>
      </c>
    </row>
    <row r="168" spans="1:10" ht="15" thickBot="1">
      <c r="A168" s="98">
        <v>44969</v>
      </c>
      <c r="B168" s="80" t="s">
        <v>2680</v>
      </c>
      <c r="C168" s="80" t="s">
        <v>2657</v>
      </c>
      <c r="D168" s="80" t="s">
        <v>2648</v>
      </c>
      <c r="E168" s="80" t="s">
        <v>2641</v>
      </c>
      <c r="F168" s="80" t="s">
        <v>2370</v>
      </c>
      <c r="G168" s="80" t="s">
        <v>2702</v>
      </c>
      <c r="H168" s="79">
        <v>1</v>
      </c>
      <c r="I168" s="79">
        <v>4541.7700000000004</v>
      </c>
      <c r="J168" s="79">
        <v>4541.7700000000004</v>
      </c>
    </row>
    <row r="169" spans="1:10" ht="15" thickBot="1">
      <c r="A169" s="98">
        <v>44988</v>
      </c>
      <c r="B169" s="80" t="s">
        <v>2684</v>
      </c>
      <c r="C169" s="80" t="s">
        <v>2660</v>
      </c>
      <c r="D169" s="80" t="s">
        <v>2647</v>
      </c>
      <c r="E169" s="80" t="s">
        <v>2643</v>
      </c>
      <c r="F169" s="80" t="s">
        <v>2370</v>
      </c>
      <c r="G169" s="80" t="s">
        <v>1336</v>
      </c>
      <c r="H169" s="79">
        <v>9</v>
      </c>
      <c r="I169" s="79">
        <v>3122.72</v>
      </c>
      <c r="J169" s="79">
        <v>28104.48</v>
      </c>
    </row>
    <row r="170" spans="1:10" ht="15" thickBot="1">
      <c r="A170" s="98" t="s">
        <v>2672</v>
      </c>
      <c r="B170" s="80" t="s">
        <v>2683</v>
      </c>
      <c r="C170" s="80" t="s">
        <v>2392</v>
      </c>
      <c r="D170" s="80" t="s">
        <v>2644</v>
      </c>
      <c r="E170" s="80" t="s">
        <v>2641</v>
      </c>
      <c r="F170" s="80" t="s">
        <v>2374</v>
      </c>
      <c r="G170" s="80" t="s">
        <v>2700</v>
      </c>
      <c r="H170" s="79">
        <v>9</v>
      </c>
      <c r="I170" s="79">
        <v>4198.92</v>
      </c>
      <c r="J170" s="79">
        <v>37790.28</v>
      </c>
    </row>
    <row r="171" spans="1:10" ht="15" thickBot="1">
      <c r="A171" s="98">
        <v>45019</v>
      </c>
      <c r="B171" s="80" t="s">
        <v>2682</v>
      </c>
      <c r="C171" s="80" t="s">
        <v>2654</v>
      </c>
      <c r="D171" s="80" t="s">
        <v>2646</v>
      </c>
      <c r="E171" s="80" t="s">
        <v>2642</v>
      </c>
      <c r="F171" s="80" t="s">
        <v>2373</v>
      </c>
      <c r="G171" s="80" t="s">
        <v>2703</v>
      </c>
      <c r="H171" s="79">
        <v>17</v>
      </c>
      <c r="I171" s="79">
        <v>4415.8500000000004</v>
      </c>
      <c r="J171" s="79">
        <v>75069.45</v>
      </c>
    </row>
    <row r="172" spans="1:10" ht="15" thickBot="1">
      <c r="A172" s="98" t="s">
        <v>2482</v>
      </c>
      <c r="B172" s="80" t="s">
        <v>2686</v>
      </c>
      <c r="C172" s="80" t="s">
        <v>2658</v>
      </c>
      <c r="D172" s="80" t="s">
        <v>2645</v>
      </c>
      <c r="E172" s="80" t="s">
        <v>2642</v>
      </c>
      <c r="F172" s="80" t="s">
        <v>2661</v>
      </c>
      <c r="G172" s="80" t="s">
        <v>2696</v>
      </c>
      <c r="H172" s="79">
        <v>16</v>
      </c>
      <c r="I172" s="79">
        <v>4684.8599999999997</v>
      </c>
      <c r="J172" s="79">
        <v>74957.759999999995</v>
      </c>
    </row>
    <row r="173" spans="1:10" ht="15" thickBot="1">
      <c r="A173" s="98" t="s">
        <v>2519</v>
      </c>
      <c r="B173" s="80" t="s">
        <v>2680</v>
      </c>
      <c r="C173" s="80" t="s">
        <v>2658</v>
      </c>
      <c r="D173" s="80" t="s">
        <v>2645</v>
      </c>
      <c r="E173" s="80" t="s">
        <v>2642</v>
      </c>
      <c r="F173" s="80" t="s">
        <v>2373</v>
      </c>
      <c r="G173" s="80" t="s">
        <v>2697</v>
      </c>
      <c r="H173" s="79">
        <v>17</v>
      </c>
      <c r="I173" s="79">
        <v>4156.25</v>
      </c>
      <c r="J173" s="79">
        <v>70656.25</v>
      </c>
    </row>
    <row r="174" spans="1:10" ht="15" thickBot="1">
      <c r="A174" s="98">
        <v>45051</v>
      </c>
      <c r="B174" s="80" t="s">
        <v>2680</v>
      </c>
      <c r="C174" s="80" t="s">
        <v>2654</v>
      </c>
      <c r="D174" s="80" t="s">
        <v>2646</v>
      </c>
      <c r="E174" s="80" t="s">
        <v>2642</v>
      </c>
      <c r="F174" s="80" t="s">
        <v>2374</v>
      </c>
      <c r="G174" s="80" t="s">
        <v>2700</v>
      </c>
      <c r="H174" s="79">
        <v>10</v>
      </c>
      <c r="I174" s="79">
        <v>3776.8</v>
      </c>
      <c r="J174" s="79">
        <v>37768</v>
      </c>
    </row>
    <row r="175" spans="1:10" ht="15" thickBot="1">
      <c r="A175" s="98" t="s">
        <v>2522</v>
      </c>
      <c r="B175" s="80" t="s">
        <v>2685</v>
      </c>
      <c r="C175" s="80" t="s">
        <v>2396</v>
      </c>
      <c r="D175" s="80" t="s">
        <v>2648</v>
      </c>
      <c r="E175" s="80" t="s">
        <v>2641</v>
      </c>
      <c r="F175" s="80" t="s">
        <v>2370</v>
      </c>
      <c r="G175" s="80" t="s">
        <v>1335</v>
      </c>
      <c r="H175" s="79">
        <v>8</v>
      </c>
      <c r="I175" s="79">
        <v>310.33</v>
      </c>
      <c r="J175" s="79">
        <v>2482.64</v>
      </c>
    </row>
    <row r="176" spans="1:10" ht="15" thickBot="1">
      <c r="A176" s="98">
        <v>45051</v>
      </c>
      <c r="B176" s="80" t="s">
        <v>2682</v>
      </c>
      <c r="C176" s="80" t="s">
        <v>2657</v>
      </c>
      <c r="D176" s="80" t="s">
        <v>2648</v>
      </c>
      <c r="E176" s="80" t="s">
        <v>2641</v>
      </c>
      <c r="F176" s="80" t="s">
        <v>2661</v>
      </c>
      <c r="G176" s="80" t="s">
        <v>2695</v>
      </c>
      <c r="H176" s="79">
        <v>5</v>
      </c>
      <c r="I176" s="79">
        <v>1313.4</v>
      </c>
      <c r="J176" s="79">
        <v>6567</v>
      </c>
    </row>
    <row r="177" spans="1:10" ht="15" thickBot="1">
      <c r="A177" s="98" t="s">
        <v>2578</v>
      </c>
      <c r="B177" s="80" t="s">
        <v>2687</v>
      </c>
      <c r="C177" s="80" t="s">
        <v>2653</v>
      </c>
      <c r="D177" s="80" t="s">
        <v>2644</v>
      </c>
      <c r="E177" s="80" t="s">
        <v>2641</v>
      </c>
      <c r="F177" s="80" t="s">
        <v>2661</v>
      </c>
      <c r="G177" s="80" t="s">
        <v>2696</v>
      </c>
      <c r="H177" s="79">
        <v>6</v>
      </c>
      <c r="I177" s="79">
        <v>2332.11</v>
      </c>
      <c r="J177" s="79">
        <v>13992.66</v>
      </c>
    </row>
    <row r="178" spans="1:10" ht="15" thickBot="1">
      <c r="A178" s="98" t="s">
        <v>2590</v>
      </c>
      <c r="B178" s="80" t="s">
        <v>2679</v>
      </c>
      <c r="C178" s="80" t="s">
        <v>2652</v>
      </c>
      <c r="D178" s="80" t="s">
        <v>2647</v>
      </c>
      <c r="E178" s="80" t="s">
        <v>2643</v>
      </c>
      <c r="F178" s="80" t="s">
        <v>2374</v>
      </c>
      <c r="G178" s="80" t="s">
        <v>2704</v>
      </c>
      <c r="H178" s="79">
        <v>3</v>
      </c>
      <c r="I178" s="79">
        <v>4955.22</v>
      </c>
      <c r="J178" s="79">
        <v>14865.66</v>
      </c>
    </row>
    <row r="179" spans="1:10" ht="15" thickBot="1">
      <c r="A179" s="98" t="s">
        <v>2529</v>
      </c>
      <c r="B179" s="80" t="s">
        <v>2679</v>
      </c>
      <c r="C179" s="80" t="s">
        <v>2653</v>
      </c>
      <c r="D179" s="80" t="s">
        <v>2644</v>
      </c>
      <c r="E179" s="80" t="s">
        <v>2641</v>
      </c>
      <c r="F179" s="80" t="s">
        <v>2373</v>
      </c>
      <c r="G179" s="80" t="s">
        <v>2688</v>
      </c>
      <c r="H179" s="79">
        <v>17</v>
      </c>
      <c r="I179" s="79">
        <v>3827.64</v>
      </c>
      <c r="J179" s="79">
        <v>65069.88</v>
      </c>
    </row>
    <row r="180" spans="1:10" ht="15" thickBot="1">
      <c r="A180" s="98">
        <v>45025</v>
      </c>
      <c r="B180" s="80" t="s">
        <v>2678</v>
      </c>
      <c r="C180" s="80" t="s">
        <v>2396</v>
      </c>
      <c r="D180" s="80" t="s">
        <v>2648</v>
      </c>
      <c r="E180" s="80" t="s">
        <v>2641</v>
      </c>
      <c r="F180" s="80" t="s">
        <v>2372</v>
      </c>
      <c r="G180" s="80" t="s">
        <v>2690</v>
      </c>
      <c r="H180" s="79">
        <v>17</v>
      </c>
      <c r="I180" s="79">
        <v>3857.33</v>
      </c>
      <c r="J180" s="79">
        <v>65574.61</v>
      </c>
    </row>
    <row r="181" spans="1:10" ht="15" thickBot="1">
      <c r="A181" s="98" t="s">
        <v>2593</v>
      </c>
      <c r="B181" s="80" t="s">
        <v>2680</v>
      </c>
      <c r="C181" s="80" t="s">
        <v>2651</v>
      </c>
      <c r="D181" s="80" t="s">
        <v>2646</v>
      </c>
      <c r="E181" s="80" t="s">
        <v>2642</v>
      </c>
      <c r="F181" s="80" t="s">
        <v>2372</v>
      </c>
      <c r="G181" s="80" t="s">
        <v>2694</v>
      </c>
      <c r="H181" s="79">
        <v>8</v>
      </c>
      <c r="I181" s="79">
        <v>1421.21</v>
      </c>
      <c r="J181" s="79">
        <v>11369.68</v>
      </c>
    </row>
    <row r="182" spans="1:10" ht="15" thickBot="1">
      <c r="A182" s="98" t="s">
        <v>2476</v>
      </c>
      <c r="B182" s="80" t="s">
        <v>2679</v>
      </c>
      <c r="C182" s="80" t="s">
        <v>2392</v>
      </c>
      <c r="D182" s="80" t="s">
        <v>2644</v>
      </c>
      <c r="E182" s="80" t="s">
        <v>2641</v>
      </c>
      <c r="F182" s="80" t="s">
        <v>2661</v>
      </c>
      <c r="G182" s="80" t="s">
        <v>2698</v>
      </c>
      <c r="H182" s="79">
        <v>1</v>
      </c>
      <c r="I182" s="79">
        <v>1544.87</v>
      </c>
      <c r="J182" s="79">
        <v>1544.87</v>
      </c>
    </row>
    <row r="183" spans="1:10" ht="15" thickBot="1">
      <c r="A183" s="98" t="s">
        <v>2637</v>
      </c>
      <c r="B183" s="80" t="s">
        <v>2680</v>
      </c>
      <c r="C183" s="80" t="s">
        <v>2396</v>
      </c>
      <c r="D183" s="80" t="s">
        <v>2648</v>
      </c>
      <c r="E183" s="80" t="s">
        <v>2641</v>
      </c>
      <c r="F183" s="80" t="s">
        <v>2661</v>
      </c>
      <c r="G183" s="80" t="s">
        <v>2696</v>
      </c>
      <c r="H183" s="79">
        <v>14</v>
      </c>
      <c r="I183" s="79">
        <v>2764.71</v>
      </c>
      <c r="J183" s="79">
        <v>38705.94</v>
      </c>
    </row>
    <row r="184" spans="1:10" ht="15" thickBot="1">
      <c r="A184" s="98">
        <v>45023</v>
      </c>
      <c r="B184" s="80" t="s">
        <v>2683</v>
      </c>
      <c r="C184" s="80" t="s">
        <v>2649</v>
      </c>
      <c r="D184" s="80" t="s">
        <v>2645</v>
      </c>
      <c r="E184" s="80" t="s">
        <v>2642</v>
      </c>
      <c r="F184" s="80" t="s">
        <v>2372</v>
      </c>
      <c r="G184" s="80" t="s">
        <v>2690</v>
      </c>
      <c r="H184" s="79">
        <v>9</v>
      </c>
      <c r="I184" s="79">
        <v>2210.8000000000002</v>
      </c>
      <c r="J184" s="79">
        <v>19897.2</v>
      </c>
    </row>
    <row r="185" spans="1:10" ht="15" thickBot="1">
      <c r="A185" s="98">
        <v>44958</v>
      </c>
      <c r="B185" s="80" t="s">
        <v>2680</v>
      </c>
      <c r="C185" s="80" t="s">
        <v>2650</v>
      </c>
      <c r="D185" s="80" t="s">
        <v>2646</v>
      </c>
      <c r="E185" s="80" t="s">
        <v>2642</v>
      </c>
      <c r="F185" s="80" t="s">
        <v>2373</v>
      </c>
      <c r="G185" s="80" t="s">
        <v>2705</v>
      </c>
      <c r="H185" s="79">
        <v>3</v>
      </c>
      <c r="I185" s="79">
        <v>4359.8999999999996</v>
      </c>
      <c r="J185" s="79">
        <v>13079.7</v>
      </c>
    </row>
    <row r="186" spans="1:10" ht="15" thickBot="1">
      <c r="A186" s="98" t="s">
        <v>2521</v>
      </c>
      <c r="B186" s="80" t="s">
        <v>2685</v>
      </c>
      <c r="C186" s="80" t="s">
        <v>2658</v>
      </c>
      <c r="D186" s="80" t="s">
        <v>2645</v>
      </c>
      <c r="E186" s="80" t="s">
        <v>2642</v>
      </c>
      <c r="F186" s="80" t="s">
        <v>2373</v>
      </c>
      <c r="G186" s="80" t="s">
        <v>2688</v>
      </c>
      <c r="H186" s="79">
        <v>7</v>
      </c>
      <c r="I186" s="79">
        <v>3836.77</v>
      </c>
      <c r="J186" s="79">
        <v>26857.39</v>
      </c>
    </row>
    <row r="187" spans="1:10" ht="15" thickBot="1">
      <c r="A187" s="98" t="s">
        <v>2558</v>
      </c>
      <c r="B187" s="80" t="s">
        <v>2684</v>
      </c>
      <c r="C187" s="80" t="s">
        <v>2396</v>
      </c>
      <c r="D187" s="80" t="s">
        <v>2648</v>
      </c>
      <c r="E187" s="80" t="s">
        <v>2641</v>
      </c>
      <c r="F187" s="80" t="s">
        <v>2374</v>
      </c>
      <c r="G187" s="80" t="s">
        <v>2700</v>
      </c>
      <c r="H187" s="79">
        <v>7</v>
      </c>
      <c r="I187" s="79">
        <v>560.58000000000004</v>
      </c>
      <c r="J187" s="79">
        <v>3924.06</v>
      </c>
    </row>
    <row r="188" spans="1:10" ht="15" thickBot="1">
      <c r="A188" s="98">
        <v>45266</v>
      </c>
      <c r="B188" s="80" t="s">
        <v>2682</v>
      </c>
      <c r="C188" s="80" t="s">
        <v>2660</v>
      </c>
      <c r="D188" s="80" t="s">
        <v>2647</v>
      </c>
      <c r="E188" s="80" t="s">
        <v>2643</v>
      </c>
      <c r="F188" s="80" t="s">
        <v>2370</v>
      </c>
      <c r="G188" s="80" t="s">
        <v>1335</v>
      </c>
      <c r="H188" s="79">
        <v>17</v>
      </c>
      <c r="I188" s="79">
        <v>1574.45</v>
      </c>
      <c r="J188" s="79">
        <v>26765.65</v>
      </c>
    </row>
    <row r="189" spans="1:10" ht="15" thickBot="1">
      <c r="A189" s="98">
        <v>44960</v>
      </c>
      <c r="B189" s="80" t="s">
        <v>2681</v>
      </c>
      <c r="C189" s="80" t="s">
        <v>2660</v>
      </c>
      <c r="D189" s="80" t="s">
        <v>2647</v>
      </c>
      <c r="E189" s="80" t="s">
        <v>2643</v>
      </c>
      <c r="F189" s="80" t="s">
        <v>2373</v>
      </c>
      <c r="G189" s="80" t="s">
        <v>2688</v>
      </c>
      <c r="H189" s="79">
        <v>17</v>
      </c>
      <c r="I189" s="79">
        <v>578.66999999999996</v>
      </c>
      <c r="J189" s="79">
        <v>9837.39</v>
      </c>
    </row>
    <row r="190" spans="1:10" ht="15" thickBot="1">
      <c r="A190" s="98" t="s">
        <v>2515</v>
      </c>
      <c r="B190" s="80" t="s">
        <v>2684</v>
      </c>
      <c r="C190" s="80" t="s">
        <v>2654</v>
      </c>
      <c r="D190" s="80" t="s">
        <v>2646</v>
      </c>
      <c r="E190" s="80" t="s">
        <v>2642</v>
      </c>
      <c r="F190" s="80" t="s">
        <v>2661</v>
      </c>
      <c r="G190" s="80" t="s">
        <v>2691</v>
      </c>
      <c r="H190" s="79">
        <v>19</v>
      </c>
      <c r="I190" s="79">
        <v>1441.02</v>
      </c>
      <c r="J190" s="79">
        <v>27379.38</v>
      </c>
    </row>
    <row r="191" spans="1:10" ht="15" thickBot="1">
      <c r="A191" s="98" t="s">
        <v>2473</v>
      </c>
      <c r="B191" s="80" t="s">
        <v>2678</v>
      </c>
      <c r="C191" s="80" t="s">
        <v>2650</v>
      </c>
      <c r="D191" s="80" t="s">
        <v>2646</v>
      </c>
      <c r="E191" s="80" t="s">
        <v>2642</v>
      </c>
      <c r="F191" s="80" t="s">
        <v>2373</v>
      </c>
      <c r="G191" s="80" t="s">
        <v>2703</v>
      </c>
      <c r="H191" s="79">
        <v>19</v>
      </c>
      <c r="I191" s="79">
        <v>618.02</v>
      </c>
      <c r="J191" s="79">
        <v>11742.38</v>
      </c>
    </row>
    <row r="192" spans="1:10" ht="15" thickBot="1">
      <c r="A192" s="98" t="s">
        <v>2549</v>
      </c>
      <c r="B192" s="80" t="s">
        <v>2685</v>
      </c>
      <c r="C192" s="80" t="s">
        <v>2657</v>
      </c>
      <c r="D192" s="80" t="s">
        <v>2648</v>
      </c>
      <c r="E192" s="80" t="s">
        <v>2641</v>
      </c>
      <c r="F192" s="80" t="s">
        <v>2374</v>
      </c>
      <c r="G192" s="80" t="s">
        <v>2692</v>
      </c>
      <c r="H192" s="79">
        <v>15</v>
      </c>
      <c r="I192" s="79">
        <v>4093.93</v>
      </c>
      <c r="J192" s="79">
        <v>61408.95</v>
      </c>
    </row>
    <row r="193" spans="1:10" ht="15" thickBot="1">
      <c r="A193" s="98" t="s">
        <v>2584</v>
      </c>
      <c r="B193" s="80" t="s">
        <v>2679</v>
      </c>
      <c r="C193" s="80" t="s">
        <v>2656</v>
      </c>
      <c r="D193" s="80" t="s">
        <v>2648</v>
      </c>
      <c r="E193" s="80" t="s">
        <v>2641</v>
      </c>
      <c r="F193" s="80" t="s">
        <v>2373</v>
      </c>
      <c r="G193" s="80" t="s">
        <v>2697</v>
      </c>
      <c r="H193" s="79">
        <v>16</v>
      </c>
      <c r="I193" s="79">
        <v>2714.37</v>
      </c>
      <c r="J193" s="79">
        <v>43429.919999999998</v>
      </c>
    </row>
    <row r="194" spans="1:10" ht="15" thickBot="1">
      <c r="A194" s="98" t="s">
        <v>2609</v>
      </c>
      <c r="B194" s="80" t="s">
        <v>2683</v>
      </c>
      <c r="C194" s="80" t="s">
        <v>2657</v>
      </c>
      <c r="D194" s="80" t="s">
        <v>2648</v>
      </c>
      <c r="E194" s="80" t="s">
        <v>2641</v>
      </c>
      <c r="F194" s="80" t="s">
        <v>2372</v>
      </c>
      <c r="G194" s="80" t="s">
        <v>2690</v>
      </c>
      <c r="H194" s="79">
        <v>8</v>
      </c>
      <c r="I194" s="79">
        <v>4658.57</v>
      </c>
      <c r="J194" s="79">
        <v>37268.559999999998</v>
      </c>
    </row>
    <row r="195" spans="1:10" ht="15" thickBot="1">
      <c r="A195" s="98">
        <v>45268</v>
      </c>
      <c r="B195" s="80" t="s">
        <v>2684</v>
      </c>
      <c r="C195" s="80" t="s">
        <v>2653</v>
      </c>
      <c r="D195" s="80" t="s">
        <v>2644</v>
      </c>
      <c r="E195" s="80" t="s">
        <v>2641</v>
      </c>
      <c r="F195" s="80" t="s">
        <v>2374</v>
      </c>
      <c r="G195" s="80" t="s">
        <v>2704</v>
      </c>
      <c r="H195" s="79">
        <v>20</v>
      </c>
      <c r="I195" s="79">
        <v>3203.76</v>
      </c>
      <c r="J195" s="79">
        <v>64075.199999999997</v>
      </c>
    </row>
    <row r="196" spans="1:10" ht="15" thickBot="1">
      <c r="A196" s="98" t="s">
        <v>2506</v>
      </c>
      <c r="B196" s="80" t="s">
        <v>2684</v>
      </c>
      <c r="C196" s="80" t="s">
        <v>2659</v>
      </c>
      <c r="D196" s="80" t="s">
        <v>2647</v>
      </c>
      <c r="E196" s="80" t="s">
        <v>2643</v>
      </c>
      <c r="F196" s="80" t="s">
        <v>2370</v>
      </c>
      <c r="G196" s="80" t="s">
        <v>2701</v>
      </c>
      <c r="H196" s="79">
        <v>5</v>
      </c>
      <c r="I196" s="79">
        <v>3572.02</v>
      </c>
      <c r="J196" s="79">
        <v>17860.099999999999</v>
      </c>
    </row>
    <row r="197" spans="1:10" ht="15" thickBot="1">
      <c r="A197" s="98" t="s">
        <v>2612</v>
      </c>
      <c r="B197" s="80" t="s">
        <v>2678</v>
      </c>
      <c r="C197" s="80" t="s">
        <v>2396</v>
      </c>
      <c r="D197" s="80" t="s">
        <v>2648</v>
      </c>
      <c r="E197" s="80" t="s">
        <v>2641</v>
      </c>
      <c r="F197" s="80" t="s">
        <v>2661</v>
      </c>
      <c r="G197" s="80" t="s">
        <v>2698</v>
      </c>
      <c r="H197" s="79">
        <v>4</v>
      </c>
      <c r="I197" s="79">
        <v>328.82</v>
      </c>
      <c r="J197" s="79">
        <v>1315.28</v>
      </c>
    </row>
    <row r="198" spans="1:10" ht="15" thickBot="1">
      <c r="A198" s="98">
        <v>45083</v>
      </c>
      <c r="B198" s="80" t="s">
        <v>2678</v>
      </c>
      <c r="C198" s="80" t="s">
        <v>2652</v>
      </c>
      <c r="D198" s="80" t="s">
        <v>2647</v>
      </c>
      <c r="E198" s="80" t="s">
        <v>2643</v>
      </c>
      <c r="F198" s="80" t="s">
        <v>2374</v>
      </c>
      <c r="G198" s="80" t="s">
        <v>2692</v>
      </c>
      <c r="H198" s="79">
        <v>10</v>
      </c>
      <c r="I198" s="79">
        <v>4210.63</v>
      </c>
      <c r="J198" s="79">
        <v>42106.3</v>
      </c>
    </row>
    <row r="199" spans="1:10" ht="15" thickBot="1">
      <c r="A199" s="98" t="s">
        <v>2614</v>
      </c>
      <c r="B199" s="80" t="s">
        <v>2681</v>
      </c>
      <c r="C199" s="80" t="s">
        <v>2658</v>
      </c>
      <c r="D199" s="80" t="s">
        <v>2645</v>
      </c>
      <c r="E199" s="80" t="s">
        <v>2642</v>
      </c>
      <c r="F199" s="80" t="s">
        <v>2372</v>
      </c>
      <c r="G199" s="80" t="s">
        <v>2690</v>
      </c>
      <c r="H199" s="79">
        <v>15</v>
      </c>
      <c r="I199" s="79">
        <v>211.9</v>
      </c>
      <c r="J199" s="79">
        <v>3178.5</v>
      </c>
    </row>
    <row r="200" spans="1:10" ht="15" thickBot="1">
      <c r="A200" s="98" t="s">
        <v>2501</v>
      </c>
      <c r="B200" s="80" t="s">
        <v>2687</v>
      </c>
      <c r="C200" s="80" t="s">
        <v>2659</v>
      </c>
      <c r="D200" s="80" t="s">
        <v>2647</v>
      </c>
      <c r="E200" s="80" t="s">
        <v>2643</v>
      </c>
      <c r="F200" s="80" t="s">
        <v>2373</v>
      </c>
      <c r="G200" s="80" t="s">
        <v>2688</v>
      </c>
      <c r="H200" s="79">
        <v>6</v>
      </c>
      <c r="I200" s="79">
        <v>1847.42</v>
      </c>
      <c r="J200" s="79">
        <v>11084.52</v>
      </c>
    </row>
    <row r="201" spans="1:10" ht="15" thickBot="1">
      <c r="A201" s="98" t="s">
        <v>2533</v>
      </c>
      <c r="B201" s="80" t="s">
        <v>2679</v>
      </c>
      <c r="C201" s="80" t="s">
        <v>2659</v>
      </c>
      <c r="D201" s="80" t="s">
        <v>2647</v>
      </c>
      <c r="E201" s="80" t="s">
        <v>2643</v>
      </c>
      <c r="F201" s="80" t="s">
        <v>2661</v>
      </c>
      <c r="G201" s="80" t="s">
        <v>2695</v>
      </c>
      <c r="H201" s="79">
        <v>15</v>
      </c>
      <c r="I201" s="79">
        <v>3875.6</v>
      </c>
      <c r="J201" s="79">
        <v>58134</v>
      </c>
    </row>
    <row r="202" spans="1:10" ht="15" thickBot="1">
      <c r="A202" s="98" t="s">
        <v>2498</v>
      </c>
      <c r="B202" s="80" t="s">
        <v>2683</v>
      </c>
      <c r="C202" s="80" t="s">
        <v>2659</v>
      </c>
      <c r="D202" s="80" t="s">
        <v>2647</v>
      </c>
      <c r="E202" s="80" t="s">
        <v>2643</v>
      </c>
      <c r="F202" s="80" t="s">
        <v>2374</v>
      </c>
      <c r="G202" s="80" t="s">
        <v>2692</v>
      </c>
      <c r="H202" s="79">
        <v>1</v>
      </c>
      <c r="I202" s="79">
        <v>1323.63</v>
      </c>
      <c r="J202" s="79">
        <v>1323.63</v>
      </c>
    </row>
    <row r="203" spans="1:10" ht="15" thickBot="1">
      <c r="A203" s="98">
        <v>44988</v>
      </c>
      <c r="B203" s="80" t="s">
        <v>2686</v>
      </c>
      <c r="C203" s="80" t="s">
        <v>2396</v>
      </c>
      <c r="D203" s="80" t="s">
        <v>2648</v>
      </c>
      <c r="E203" s="80" t="s">
        <v>2641</v>
      </c>
      <c r="F203" s="80" t="s">
        <v>2370</v>
      </c>
      <c r="G203" s="80" t="s">
        <v>2701</v>
      </c>
      <c r="H203" s="79">
        <v>18</v>
      </c>
      <c r="I203" s="79">
        <v>3916.11</v>
      </c>
      <c r="J203" s="79">
        <v>70489.98</v>
      </c>
    </row>
    <row r="204" spans="1:10" ht="15" thickBot="1">
      <c r="A204" s="98" t="s">
        <v>2469</v>
      </c>
      <c r="B204" s="80" t="s">
        <v>2680</v>
      </c>
      <c r="C204" s="80" t="s">
        <v>2656</v>
      </c>
      <c r="D204" s="80" t="s">
        <v>2648</v>
      </c>
      <c r="E204" s="80" t="s">
        <v>2641</v>
      </c>
      <c r="F204" s="80" t="s">
        <v>2373</v>
      </c>
      <c r="G204" s="80" t="s">
        <v>2703</v>
      </c>
      <c r="H204" s="79">
        <v>16</v>
      </c>
      <c r="I204" s="79">
        <v>4624.91</v>
      </c>
      <c r="J204" s="79">
        <v>73998.559999999998</v>
      </c>
    </row>
    <row r="205" spans="1:10" ht="15" thickBot="1">
      <c r="A205" s="98" t="s">
        <v>2537</v>
      </c>
      <c r="B205" s="80" t="s">
        <v>2680</v>
      </c>
      <c r="C205" s="80" t="s">
        <v>2653</v>
      </c>
      <c r="D205" s="80" t="s">
        <v>2644</v>
      </c>
      <c r="E205" s="80" t="s">
        <v>2641</v>
      </c>
      <c r="F205" s="80" t="s">
        <v>2374</v>
      </c>
      <c r="G205" s="80" t="s">
        <v>2704</v>
      </c>
      <c r="H205" s="79">
        <v>8</v>
      </c>
      <c r="I205" s="79">
        <v>4091.1</v>
      </c>
      <c r="J205" s="79">
        <v>32728.799999999999</v>
      </c>
    </row>
    <row r="206" spans="1:10" ht="15" thickBot="1">
      <c r="A206" s="98" t="s">
        <v>2673</v>
      </c>
      <c r="B206" s="80" t="s">
        <v>2678</v>
      </c>
      <c r="C206" s="80" t="s">
        <v>2653</v>
      </c>
      <c r="D206" s="80" t="s">
        <v>2644</v>
      </c>
      <c r="E206" s="80" t="s">
        <v>2641</v>
      </c>
      <c r="F206" s="80" t="s">
        <v>2373</v>
      </c>
      <c r="G206" s="80" t="s">
        <v>2703</v>
      </c>
      <c r="H206" s="79">
        <v>16</v>
      </c>
      <c r="I206" s="79">
        <v>3369.55</v>
      </c>
      <c r="J206" s="79">
        <v>53912.800000000003</v>
      </c>
    </row>
    <row r="207" spans="1:10" ht="15" thickBot="1">
      <c r="A207" s="98">
        <v>45209</v>
      </c>
      <c r="B207" s="80" t="s">
        <v>2682</v>
      </c>
      <c r="C207" s="80" t="s">
        <v>2655</v>
      </c>
      <c r="D207" s="80" t="s">
        <v>2645</v>
      </c>
      <c r="E207" s="80" t="s">
        <v>2642</v>
      </c>
      <c r="F207" s="80" t="s">
        <v>2373</v>
      </c>
      <c r="G207" s="80" t="s">
        <v>2697</v>
      </c>
      <c r="H207" s="79">
        <v>3</v>
      </c>
      <c r="I207" s="79">
        <v>3591.92</v>
      </c>
      <c r="J207" s="79">
        <v>10775.76</v>
      </c>
    </row>
    <row r="208" spans="1:10" ht="15" thickBot="1">
      <c r="A208" s="98" t="s">
        <v>2495</v>
      </c>
      <c r="B208" s="80" t="s">
        <v>2685</v>
      </c>
      <c r="C208" s="80" t="s">
        <v>2392</v>
      </c>
      <c r="D208" s="80" t="s">
        <v>2644</v>
      </c>
      <c r="E208" s="80" t="s">
        <v>2641</v>
      </c>
      <c r="F208" s="80" t="s">
        <v>2372</v>
      </c>
      <c r="G208" s="80" t="s">
        <v>2690</v>
      </c>
      <c r="H208" s="79">
        <v>4</v>
      </c>
      <c r="I208" s="79">
        <v>4298.3500000000004</v>
      </c>
      <c r="J208" s="79">
        <v>17193.400000000001</v>
      </c>
    </row>
    <row r="209" spans="1:10" ht="15" thickBot="1">
      <c r="A209" s="98">
        <v>45115</v>
      </c>
      <c r="B209" s="80" t="s">
        <v>2678</v>
      </c>
      <c r="C209" s="80" t="s">
        <v>2396</v>
      </c>
      <c r="D209" s="80" t="s">
        <v>2648</v>
      </c>
      <c r="E209" s="80" t="s">
        <v>2641</v>
      </c>
      <c r="F209" s="80" t="s">
        <v>2374</v>
      </c>
      <c r="G209" s="80" t="s">
        <v>2700</v>
      </c>
      <c r="H209" s="79">
        <v>11</v>
      </c>
      <c r="I209" s="79">
        <v>3687.73</v>
      </c>
      <c r="J209" s="79">
        <v>40565.03</v>
      </c>
    </row>
    <row r="210" spans="1:10" ht="15" thickBot="1">
      <c r="A210" s="98" t="s">
        <v>2578</v>
      </c>
      <c r="B210" s="80" t="s">
        <v>2679</v>
      </c>
      <c r="C210" s="80" t="s">
        <v>2656</v>
      </c>
      <c r="D210" s="80" t="s">
        <v>2648</v>
      </c>
      <c r="E210" s="80" t="s">
        <v>2641</v>
      </c>
      <c r="F210" s="80" t="s">
        <v>2661</v>
      </c>
      <c r="G210" s="80" t="s">
        <v>2698</v>
      </c>
      <c r="H210" s="79">
        <v>12</v>
      </c>
      <c r="I210" s="79">
        <v>548.36</v>
      </c>
      <c r="J210" s="79">
        <v>6580.32</v>
      </c>
    </row>
    <row r="211" spans="1:10" ht="15" thickBot="1">
      <c r="A211" s="98">
        <v>45175</v>
      </c>
      <c r="B211" s="80" t="s">
        <v>2684</v>
      </c>
      <c r="C211" s="80" t="s">
        <v>2658</v>
      </c>
      <c r="D211" s="80" t="s">
        <v>2645</v>
      </c>
      <c r="E211" s="80" t="s">
        <v>2642</v>
      </c>
      <c r="F211" s="80" t="s">
        <v>2372</v>
      </c>
      <c r="G211" s="80" t="s">
        <v>2690</v>
      </c>
      <c r="H211" s="79">
        <v>6</v>
      </c>
      <c r="I211" s="79">
        <v>3931.61</v>
      </c>
      <c r="J211" s="79">
        <v>23589.66</v>
      </c>
    </row>
    <row r="212" spans="1:10" ht="15" thickBot="1">
      <c r="A212" s="98">
        <v>45237</v>
      </c>
      <c r="B212" s="80" t="s">
        <v>2678</v>
      </c>
      <c r="C212" s="80" t="s">
        <v>2653</v>
      </c>
      <c r="D212" s="80" t="s">
        <v>2644</v>
      </c>
      <c r="E212" s="80" t="s">
        <v>2641</v>
      </c>
      <c r="F212" s="80" t="s">
        <v>2372</v>
      </c>
      <c r="G212" s="80" t="s">
        <v>2693</v>
      </c>
      <c r="H212" s="79">
        <v>18</v>
      </c>
      <c r="I212" s="79">
        <v>1120.0999999999999</v>
      </c>
      <c r="J212" s="79">
        <v>20161.8</v>
      </c>
    </row>
    <row r="213" spans="1:10" ht="15" thickBot="1">
      <c r="A213" s="98" t="s">
        <v>2459</v>
      </c>
      <c r="B213" s="80" t="s">
        <v>2686</v>
      </c>
      <c r="C213" s="80" t="s">
        <v>2649</v>
      </c>
      <c r="D213" s="80" t="s">
        <v>2645</v>
      </c>
      <c r="E213" s="80" t="s">
        <v>2642</v>
      </c>
      <c r="F213" s="80" t="s">
        <v>2374</v>
      </c>
      <c r="G213" s="80" t="s">
        <v>2704</v>
      </c>
      <c r="H213" s="79">
        <v>11</v>
      </c>
      <c r="I213" s="79">
        <v>1473.35</v>
      </c>
      <c r="J213" s="79">
        <v>16206.85</v>
      </c>
    </row>
    <row r="214" spans="1:10" ht="15" thickBot="1">
      <c r="A214" s="98" t="s">
        <v>2556</v>
      </c>
      <c r="B214" s="80" t="s">
        <v>2681</v>
      </c>
      <c r="C214" s="80" t="s">
        <v>2396</v>
      </c>
      <c r="D214" s="80" t="s">
        <v>2648</v>
      </c>
      <c r="E214" s="80" t="s">
        <v>2641</v>
      </c>
      <c r="F214" s="80" t="s">
        <v>2370</v>
      </c>
      <c r="G214" s="80" t="s">
        <v>1336</v>
      </c>
      <c r="H214" s="79">
        <v>6</v>
      </c>
      <c r="I214" s="79">
        <v>297.27</v>
      </c>
      <c r="J214" s="79">
        <v>1783.62</v>
      </c>
    </row>
    <row r="215" spans="1:10" ht="15" thickBot="1">
      <c r="A215" s="98" t="s">
        <v>2520</v>
      </c>
      <c r="B215" s="80" t="s">
        <v>2678</v>
      </c>
      <c r="C215" s="80" t="s">
        <v>2392</v>
      </c>
      <c r="D215" s="80" t="s">
        <v>2644</v>
      </c>
      <c r="E215" s="80" t="s">
        <v>2641</v>
      </c>
      <c r="F215" s="80" t="s">
        <v>2661</v>
      </c>
      <c r="G215" s="80" t="s">
        <v>2695</v>
      </c>
      <c r="H215" s="79">
        <v>5</v>
      </c>
      <c r="I215" s="79">
        <v>4872.8900000000003</v>
      </c>
      <c r="J215" s="79">
        <v>24364.45</v>
      </c>
    </row>
    <row r="216" spans="1:10" ht="15" thickBot="1">
      <c r="A216" s="98" t="s">
        <v>2623</v>
      </c>
      <c r="B216" s="80" t="s">
        <v>2683</v>
      </c>
      <c r="C216" s="80" t="s">
        <v>2660</v>
      </c>
      <c r="D216" s="80" t="s">
        <v>2647</v>
      </c>
      <c r="E216" s="80" t="s">
        <v>2643</v>
      </c>
      <c r="F216" s="80" t="s">
        <v>2661</v>
      </c>
      <c r="G216" s="80" t="s">
        <v>2696</v>
      </c>
      <c r="H216" s="79">
        <v>20</v>
      </c>
      <c r="I216" s="79">
        <v>4711.51</v>
      </c>
      <c r="J216" s="79">
        <v>94230.2</v>
      </c>
    </row>
    <row r="217" spans="1:10" ht="15" thickBot="1">
      <c r="A217" s="98" t="s">
        <v>2487</v>
      </c>
      <c r="B217" s="80" t="s">
        <v>2687</v>
      </c>
      <c r="C217" s="80" t="s">
        <v>2396</v>
      </c>
      <c r="D217" s="80" t="s">
        <v>2648</v>
      </c>
      <c r="E217" s="80" t="s">
        <v>2641</v>
      </c>
      <c r="F217" s="80" t="s">
        <v>2370</v>
      </c>
      <c r="G217" s="80" t="s">
        <v>1336</v>
      </c>
      <c r="H217" s="79">
        <v>5</v>
      </c>
      <c r="I217" s="79">
        <v>4096.54</v>
      </c>
      <c r="J217" s="79">
        <v>20482.7</v>
      </c>
    </row>
    <row r="218" spans="1:10" ht="15" thickBot="1">
      <c r="A218" s="98" t="s">
        <v>2499</v>
      </c>
      <c r="B218" s="80" t="s">
        <v>2684</v>
      </c>
      <c r="C218" s="80" t="s">
        <v>2660</v>
      </c>
      <c r="D218" s="80" t="s">
        <v>2647</v>
      </c>
      <c r="E218" s="80" t="s">
        <v>2643</v>
      </c>
      <c r="F218" s="80" t="s">
        <v>2661</v>
      </c>
      <c r="G218" s="80" t="s">
        <v>2696</v>
      </c>
      <c r="H218" s="79">
        <v>6</v>
      </c>
      <c r="I218" s="79">
        <v>830.82</v>
      </c>
      <c r="J218" s="79">
        <v>4984.92</v>
      </c>
    </row>
    <row r="219" spans="1:10" ht="15" thickBot="1">
      <c r="A219" s="98">
        <v>44992</v>
      </c>
      <c r="B219" s="80" t="s">
        <v>2685</v>
      </c>
      <c r="C219" s="80" t="s">
        <v>2659</v>
      </c>
      <c r="D219" s="80" t="s">
        <v>2647</v>
      </c>
      <c r="E219" s="80" t="s">
        <v>2643</v>
      </c>
      <c r="F219" s="80" t="s">
        <v>2661</v>
      </c>
      <c r="G219" s="80" t="s">
        <v>2691</v>
      </c>
      <c r="H219" s="79">
        <v>3</v>
      </c>
      <c r="I219" s="79">
        <v>4637.38</v>
      </c>
      <c r="J219" s="79">
        <v>13912.14</v>
      </c>
    </row>
    <row r="220" spans="1:10" ht="15" thickBot="1">
      <c r="A220" s="98">
        <v>44959</v>
      </c>
      <c r="B220" s="80" t="s">
        <v>2686</v>
      </c>
      <c r="C220" s="80" t="s">
        <v>2658</v>
      </c>
      <c r="D220" s="80" t="s">
        <v>2645</v>
      </c>
      <c r="E220" s="80" t="s">
        <v>2642</v>
      </c>
      <c r="F220" s="80" t="s">
        <v>2374</v>
      </c>
      <c r="G220" s="80" t="s">
        <v>2689</v>
      </c>
      <c r="H220" s="79">
        <v>5</v>
      </c>
      <c r="I220" s="79">
        <v>3770.1</v>
      </c>
      <c r="J220" s="79">
        <v>18850.5</v>
      </c>
    </row>
    <row r="221" spans="1:10" ht="15" thickBot="1">
      <c r="A221" s="98" t="s">
        <v>2435</v>
      </c>
      <c r="B221" s="80" t="s">
        <v>2682</v>
      </c>
      <c r="C221" s="80" t="s">
        <v>2655</v>
      </c>
      <c r="D221" s="80" t="s">
        <v>2645</v>
      </c>
      <c r="E221" s="80" t="s">
        <v>2642</v>
      </c>
      <c r="F221" s="80" t="s">
        <v>2661</v>
      </c>
      <c r="G221" s="80" t="s">
        <v>2695</v>
      </c>
      <c r="H221" s="79">
        <v>20</v>
      </c>
      <c r="I221" s="79">
        <v>285.95999999999998</v>
      </c>
      <c r="J221" s="79">
        <v>5719.2</v>
      </c>
    </row>
    <row r="222" spans="1:10" ht="15" thickBot="1">
      <c r="A222" s="98">
        <v>45142</v>
      </c>
      <c r="B222" s="80" t="s">
        <v>2683</v>
      </c>
      <c r="C222" s="80" t="s">
        <v>2659</v>
      </c>
      <c r="D222" s="80" t="s">
        <v>2647</v>
      </c>
      <c r="E222" s="80" t="s">
        <v>2643</v>
      </c>
      <c r="F222" s="80" t="s">
        <v>2373</v>
      </c>
      <c r="G222" s="80" t="s">
        <v>2705</v>
      </c>
      <c r="H222" s="79">
        <v>6</v>
      </c>
      <c r="I222" s="79">
        <v>1912.36</v>
      </c>
      <c r="J222" s="79">
        <v>11474.16</v>
      </c>
    </row>
    <row r="223" spans="1:10" ht="15" thickBot="1">
      <c r="A223" s="98" t="s">
        <v>2630</v>
      </c>
      <c r="B223" s="80" t="s">
        <v>2679</v>
      </c>
      <c r="C223" s="80" t="s">
        <v>2657</v>
      </c>
      <c r="D223" s="80" t="s">
        <v>2648</v>
      </c>
      <c r="E223" s="80" t="s">
        <v>2641</v>
      </c>
      <c r="F223" s="80" t="s">
        <v>2372</v>
      </c>
      <c r="G223" s="80" t="s">
        <v>2690</v>
      </c>
      <c r="H223" s="79">
        <v>19</v>
      </c>
      <c r="I223" s="79">
        <v>3648.27</v>
      </c>
      <c r="J223" s="79">
        <v>69317.13</v>
      </c>
    </row>
    <row r="224" spans="1:10" ht="15" thickBot="1">
      <c r="A224" s="98">
        <v>45022</v>
      </c>
      <c r="B224" s="80" t="s">
        <v>2680</v>
      </c>
      <c r="C224" s="80" t="s">
        <v>2658</v>
      </c>
      <c r="D224" s="80" t="s">
        <v>2645</v>
      </c>
      <c r="E224" s="80" t="s">
        <v>2642</v>
      </c>
      <c r="F224" s="80" t="s">
        <v>2373</v>
      </c>
      <c r="G224" s="80" t="s">
        <v>2703</v>
      </c>
      <c r="H224" s="79">
        <v>20</v>
      </c>
      <c r="I224" s="79">
        <v>473.23</v>
      </c>
      <c r="J224" s="79">
        <v>9464.6</v>
      </c>
    </row>
    <row r="225" spans="1:10" ht="15" thickBot="1">
      <c r="A225" s="98" t="s">
        <v>2547</v>
      </c>
      <c r="B225" s="80" t="s">
        <v>2678</v>
      </c>
      <c r="C225" s="80" t="s">
        <v>2651</v>
      </c>
      <c r="D225" s="80" t="s">
        <v>2646</v>
      </c>
      <c r="E225" s="80" t="s">
        <v>2642</v>
      </c>
      <c r="F225" s="80" t="s">
        <v>2370</v>
      </c>
      <c r="G225" s="80" t="s">
        <v>1335</v>
      </c>
      <c r="H225" s="79">
        <v>16</v>
      </c>
      <c r="I225" s="79">
        <v>1870.47</v>
      </c>
      <c r="J225" s="79">
        <v>29927.52</v>
      </c>
    </row>
    <row r="226" spans="1:10" ht="15" thickBot="1">
      <c r="A226" s="98" t="s">
        <v>2543</v>
      </c>
      <c r="B226" s="80" t="s">
        <v>2684</v>
      </c>
      <c r="C226" s="80" t="s">
        <v>2652</v>
      </c>
      <c r="D226" s="80" t="s">
        <v>2647</v>
      </c>
      <c r="E226" s="80" t="s">
        <v>2643</v>
      </c>
      <c r="F226" s="80" t="s">
        <v>2661</v>
      </c>
      <c r="G226" s="80" t="s">
        <v>2696</v>
      </c>
      <c r="H226" s="79">
        <v>18</v>
      </c>
      <c r="I226" s="79">
        <v>835.8</v>
      </c>
      <c r="J226" s="79">
        <v>15044.4</v>
      </c>
    </row>
    <row r="227" spans="1:10" ht="15" thickBot="1">
      <c r="A227" s="98">
        <v>44992</v>
      </c>
      <c r="B227" s="80" t="s">
        <v>2687</v>
      </c>
      <c r="C227" s="80" t="s">
        <v>2653</v>
      </c>
      <c r="D227" s="80" t="s">
        <v>2644</v>
      </c>
      <c r="E227" s="80" t="s">
        <v>2641</v>
      </c>
      <c r="F227" s="80" t="s">
        <v>2374</v>
      </c>
      <c r="G227" s="80" t="s">
        <v>2700</v>
      </c>
      <c r="H227" s="79">
        <v>18</v>
      </c>
      <c r="I227" s="79">
        <v>4850.91</v>
      </c>
      <c r="J227" s="79">
        <v>87316.38</v>
      </c>
    </row>
    <row r="228" spans="1:10" ht="15" thickBot="1">
      <c r="A228" s="98" t="s">
        <v>2537</v>
      </c>
      <c r="B228" s="80" t="s">
        <v>2680</v>
      </c>
      <c r="C228" s="80" t="s">
        <v>2393</v>
      </c>
      <c r="D228" s="80" t="s">
        <v>2644</v>
      </c>
      <c r="E228" s="80" t="s">
        <v>2641</v>
      </c>
      <c r="F228" s="80" t="s">
        <v>2373</v>
      </c>
      <c r="G228" s="80" t="s">
        <v>2688</v>
      </c>
      <c r="H228" s="79">
        <v>10</v>
      </c>
      <c r="I228" s="79">
        <v>2200.91</v>
      </c>
      <c r="J228" s="79">
        <v>22009.1</v>
      </c>
    </row>
    <row r="229" spans="1:10" ht="15" thickBot="1">
      <c r="A229" s="98">
        <v>45211</v>
      </c>
      <c r="B229" s="80" t="s">
        <v>2686</v>
      </c>
      <c r="C229" s="80" t="s">
        <v>2649</v>
      </c>
      <c r="D229" s="80" t="s">
        <v>2645</v>
      </c>
      <c r="E229" s="80" t="s">
        <v>2642</v>
      </c>
      <c r="F229" s="80" t="s">
        <v>2370</v>
      </c>
      <c r="G229" s="80" t="s">
        <v>1335</v>
      </c>
      <c r="H229" s="79">
        <v>9</v>
      </c>
      <c r="I229" s="79">
        <v>1694.83</v>
      </c>
      <c r="J229" s="79">
        <v>15253.47</v>
      </c>
    </row>
    <row r="230" spans="1:10" ht="15" thickBot="1">
      <c r="A230" s="98">
        <v>45079</v>
      </c>
      <c r="B230" s="80" t="s">
        <v>2687</v>
      </c>
      <c r="C230" s="80" t="s">
        <v>2654</v>
      </c>
      <c r="D230" s="80" t="s">
        <v>2646</v>
      </c>
      <c r="E230" s="80" t="s">
        <v>2642</v>
      </c>
      <c r="F230" s="80" t="s">
        <v>2373</v>
      </c>
      <c r="G230" s="80" t="s">
        <v>2703</v>
      </c>
      <c r="H230" s="79">
        <v>10</v>
      </c>
      <c r="I230" s="79">
        <v>1229.56</v>
      </c>
      <c r="J230" s="79">
        <v>12295.6</v>
      </c>
    </row>
    <row r="231" spans="1:10" ht="15" thickBot="1">
      <c r="A231" s="98" t="s">
        <v>2497</v>
      </c>
      <c r="B231" s="80" t="s">
        <v>2687</v>
      </c>
      <c r="C231" s="80" t="s">
        <v>2396</v>
      </c>
      <c r="D231" s="80" t="s">
        <v>2648</v>
      </c>
      <c r="E231" s="80" t="s">
        <v>2641</v>
      </c>
      <c r="F231" s="80" t="s">
        <v>2661</v>
      </c>
      <c r="G231" s="80" t="s">
        <v>2691</v>
      </c>
      <c r="H231" s="79">
        <v>14</v>
      </c>
      <c r="I231" s="79">
        <v>705.15</v>
      </c>
      <c r="J231" s="79">
        <v>9872.1</v>
      </c>
    </row>
    <row r="232" spans="1:10" ht="15" thickBot="1">
      <c r="A232" s="98" t="s">
        <v>2492</v>
      </c>
      <c r="B232" s="80" t="s">
        <v>2685</v>
      </c>
      <c r="C232" s="80" t="s">
        <v>2659</v>
      </c>
      <c r="D232" s="80" t="s">
        <v>2647</v>
      </c>
      <c r="E232" s="80" t="s">
        <v>2643</v>
      </c>
      <c r="F232" s="80" t="s">
        <v>2372</v>
      </c>
      <c r="G232" s="80" t="s">
        <v>2693</v>
      </c>
      <c r="H232" s="79">
        <v>19</v>
      </c>
      <c r="I232" s="79">
        <v>3485.85</v>
      </c>
      <c r="J232" s="79">
        <v>66231.149999999994</v>
      </c>
    </row>
    <row r="233" spans="1:10" ht="15" thickBot="1">
      <c r="A233" s="98" t="s">
        <v>2449</v>
      </c>
      <c r="B233" s="80" t="s">
        <v>2679</v>
      </c>
      <c r="C233" s="80" t="s">
        <v>2660</v>
      </c>
      <c r="D233" s="80" t="s">
        <v>2647</v>
      </c>
      <c r="E233" s="80" t="s">
        <v>2643</v>
      </c>
      <c r="F233" s="80" t="s">
        <v>2370</v>
      </c>
      <c r="G233" s="80" t="s">
        <v>1335</v>
      </c>
      <c r="H233" s="79">
        <v>10</v>
      </c>
      <c r="I233" s="79">
        <v>3633.26</v>
      </c>
      <c r="J233" s="79">
        <v>36332.6</v>
      </c>
    </row>
    <row r="234" spans="1:10" ht="15" thickBot="1">
      <c r="A234" s="98">
        <v>45208</v>
      </c>
      <c r="B234" s="80" t="s">
        <v>2685</v>
      </c>
      <c r="C234" s="80" t="s">
        <v>2653</v>
      </c>
      <c r="D234" s="80" t="s">
        <v>2644</v>
      </c>
      <c r="E234" s="80" t="s">
        <v>2641</v>
      </c>
      <c r="F234" s="80" t="s">
        <v>2661</v>
      </c>
      <c r="G234" s="80" t="s">
        <v>2698</v>
      </c>
      <c r="H234" s="79">
        <v>14</v>
      </c>
      <c r="I234" s="79">
        <v>1245.9000000000001</v>
      </c>
      <c r="J234" s="79">
        <v>17442.599999999999</v>
      </c>
    </row>
    <row r="235" spans="1:10" ht="15" thickBot="1">
      <c r="A235" s="98" t="s">
        <v>2455</v>
      </c>
      <c r="B235" s="80" t="s">
        <v>2681</v>
      </c>
      <c r="C235" s="80" t="s">
        <v>2660</v>
      </c>
      <c r="D235" s="80" t="s">
        <v>2647</v>
      </c>
      <c r="E235" s="80" t="s">
        <v>2643</v>
      </c>
      <c r="F235" s="80" t="s">
        <v>2373</v>
      </c>
      <c r="G235" s="80" t="s">
        <v>2688</v>
      </c>
      <c r="H235" s="79">
        <v>4</v>
      </c>
      <c r="I235" s="79">
        <v>4553.5200000000004</v>
      </c>
      <c r="J235" s="79">
        <v>18214.080000000002</v>
      </c>
    </row>
    <row r="236" spans="1:10" ht="15" thickBot="1">
      <c r="A236" s="98">
        <v>45146</v>
      </c>
      <c r="B236" s="80" t="s">
        <v>2679</v>
      </c>
      <c r="C236" s="80" t="s">
        <v>2393</v>
      </c>
      <c r="D236" s="80" t="s">
        <v>2644</v>
      </c>
      <c r="E236" s="80" t="s">
        <v>2641</v>
      </c>
      <c r="F236" s="80" t="s">
        <v>2373</v>
      </c>
      <c r="G236" s="80" t="s">
        <v>2697</v>
      </c>
      <c r="H236" s="79">
        <v>3</v>
      </c>
      <c r="I236" s="79">
        <v>1417.18</v>
      </c>
      <c r="J236" s="79">
        <v>4251.54</v>
      </c>
    </row>
    <row r="237" spans="1:10" ht="15" thickBot="1">
      <c r="A237" s="98" t="s">
        <v>2465</v>
      </c>
      <c r="B237" s="80" t="s">
        <v>2683</v>
      </c>
      <c r="C237" s="80" t="s">
        <v>2653</v>
      </c>
      <c r="D237" s="80" t="s">
        <v>2644</v>
      </c>
      <c r="E237" s="80" t="s">
        <v>2641</v>
      </c>
      <c r="F237" s="80" t="s">
        <v>2370</v>
      </c>
      <c r="G237" s="80" t="s">
        <v>2702</v>
      </c>
      <c r="H237" s="79">
        <v>7</v>
      </c>
      <c r="I237" s="79">
        <v>1249.3599999999999</v>
      </c>
      <c r="J237" s="79">
        <v>8745.52</v>
      </c>
    </row>
    <row r="238" spans="1:10" ht="15" thickBot="1">
      <c r="A238" s="98" t="s">
        <v>2609</v>
      </c>
      <c r="B238" s="80" t="s">
        <v>2682</v>
      </c>
      <c r="C238" s="80" t="s">
        <v>2654</v>
      </c>
      <c r="D238" s="80" t="s">
        <v>2646</v>
      </c>
      <c r="E238" s="80" t="s">
        <v>2642</v>
      </c>
      <c r="F238" s="80" t="s">
        <v>2372</v>
      </c>
      <c r="G238" s="80" t="s">
        <v>2699</v>
      </c>
      <c r="H238" s="79">
        <v>7</v>
      </c>
      <c r="I238" s="79">
        <v>3911.96</v>
      </c>
      <c r="J238" s="79">
        <v>27383.72</v>
      </c>
    </row>
    <row r="239" spans="1:10" ht="15" thickBot="1">
      <c r="A239" s="98" t="s">
        <v>2600</v>
      </c>
      <c r="B239" s="80" t="s">
        <v>2681</v>
      </c>
      <c r="C239" s="80" t="s">
        <v>2649</v>
      </c>
      <c r="D239" s="80" t="s">
        <v>2645</v>
      </c>
      <c r="E239" s="80" t="s">
        <v>2642</v>
      </c>
      <c r="F239" s="80" t="s">
        <v>2372</v>
      </c>
      <c r="G239" s="80" t="s">
        <v>2693</v>
      </c>
      <c r="H239" s="79">
        <v>4</v>
      </c>
      <c r="I239" s="79">
        <v>3087.87</v>
      </c>
      <c r="J239" s="79">
        <v>12351.48</v>
      </c>
    </row>
    <row r="240" spans="1:10" ht="15" thickBot="1">
      <c r="A240" s="98">
        <v>45241</v>
      </c>
      <c r="B240" s="80" t="s">
        <v>2681</v>
      </c>
      <c r="C240" s="80" t="s">
        <v>2653</v>
      </c>
      <c r="D240" s="80" t="s">
        <v>2644</v>
      </c>
      <c r="E240" s="80" t="s">
        <v>2641</v>
      </c>
      <c r="F240" s="80" t="s">
        <v>2370</v>
      </c>
      <c r="G240" s="80" t="s">
        <v>2702</v>
      </c>
      <c r="H240" s="79">
        <v>16</v>
      </c>
      <c r="I240" s="79">
        <v>628.15</v>
      </c>
      <c r="J240" s="79">
        <v>10050.4</v>
      </c>
    </row>
    <row r="241" spans="1:10" ht="15" thickBot="1">
      <c r="A241" s="98" t="s">
        <v>2479</v>
      </c>
      <c r="B241" s="80" t="s">
        <v>2683</v>
      </c>
      <c r="C241" s="80" t="s">
        <v>2658</v>
      </c>
      <c r="D241" s="80" t="s">
        <v>2645</v>
      </c>
      <c r="E241" s="80" t="s">
        <v>2642</v>
      </c>
      <c r="F241" s="80" t="s">
        <v>2661</v>
      </c>
      <c r="G241" s="80" t="s">
        <v>2698</v>
      </c>
      <c r="H241" s="79">
        <v>15</v>
      </c>
      <c r="I241" s="79">
        <v>3100.61</v>
      </c>
      <c r="J241" s="79">
        <v>46509.15</v>
      </c>
    </row>
    <row r="242" spans="1:10" ht="15" thickBot="1">
      <c r="A242" s="98" t="s">
        <v>2588</v>
      </c>
      <c r="B242" s="80" t="s">
        <v>2679</v>
      </c>
      <c r="C242" s="80" t="s">
        <v>2649</v>
      </c>
      <c r="D242" s="80" t="s">
        <v>2645</v>
      </c>
      <c r="E242" s="80" t="s">
        <v>2642</v>
      </c>
      <c r="F242" s="80" t="s">
        <v>2372</v>
      </c>
      <c r="G242" s="80" t="s">
        <v>2693</v>
      </c>
      <c r="H242" s="79">
        <v>10</v>
      </c>
      <c r="I242" s="79">
        <v>4017.66</v>
      </c>
      <c r="J242" s="79">
        <v>40176.6</v>
      </c>
    </row>
    <row r="243" spans="1:10" ht="15" thickBot="1">
      <c r="A243" s="98" t="s">
        <v>2544</v>
      </c>
      <c r="B243" s="80" t="s">
        <v>2679</v>
      </c>
      <c r="C243" s="80" t="s">
        <v>2655</v>
      </c>
      <c r="D243" s="80" t="s">
        <v>2645</v>
      </c>
      <c r="E243" s="80" t="s">
        <v>2642</v>
      </c>
      <c r="F243" s="80" t="s">
        <v>2373</v>
      </c>
      <c r="G243" s="80" t="s">
        <v>2697</v>
      </c>
      <c r="H243" s="79">
        <v>3</v>
      </c>
      <c r="I243" s="79">
        <v>3389.2</v>
      </c>
      <c r="J243" s="79">
        <v>10167.6</v>
      </c>
    </row>
    <row r="244" spans="1:10" ht="15" thickBot="1">
      <c r="A244" s="98" t="s">
        <v>2621</v>
      </c>
      <c r="B244" s="80" t="s">
        <v>2680</v>
      </c>
      <c r="C244" s="80" t="s">
        <v>2653</v>
      </c>
      <c r="D244" s="80" t="s">
        <v>2644</v>
      </c>
      <c r="E244" s="80" t="s">
        <v>2641</v>
      </c>
      <c r="F244" s="80" t="s">
        <v>2661</v>
      </c>
      <c r="G244" s="80" t="s">
        <v>2691</v>
      </c>
      <c r="H244" s="79">
        <v>20</v>
      </c>
      <c r="I244" s="79">
        <v>2441.83</v>
      </c>
      <c r="J244" s="79">
        <v>48836.6</v>
      </c>
    </row>
    <row r="245" spans="1:10" ht="15" thickBot="1">
      <c r="A245" s="98">
        <v>45181</v>
      </c>
      <c r="B245" s="80" t="s">
        <v>2679</v>
      </c>
      <c r="C245" s="80" t="s">
        <v>2652</v>
      </c>
      <c r="D245" s="80" t="s">
        <v>2647</v>
      </c>
      <c r="E245" s="80" t="s">
        <v>2643</v>
      </c>
      <c r="F245" s="80" t="s">
        <v>2373</v>
      </c>
      <c r="G245" s="80" t="s">
        <v>2703</v>
      </c>
      <c r="H245" s="79">
        <v>17</v>
      </c>
      <c r="I245" s="79">
        <v>2655.98</v>
      </c>
      <c r="J245" s="79">
        <v>45151.66</v>
      </c>
    </row>
    <row r="246" spans="1:10" ht="15" thickBot="1">
      <c r="A246" s="98">
        <v>44986</v>
      </c>
      <c r="B246" s="80" t="s">
        <v>2679</v>
      </c>
      <c r="C246" s="80" t="s">
        <v>2649</v>
      </c>
      <c r="D246" s="80" t="s">
        <v>2645</v>
      </c>
      <c r="E246" s="80" t="s">
        <v>2642</v>
      </c>
      <c r="F246" s="80" t="s">
        <v>2370</v>
      </c>
      <c r="G246" s="80" t="s">
        <v>2702</v>
      </c>
      <c r="H246" s="79">
        <v>3</v>
      </c>
      <c r="I246" s="79">
        <v>4908.74</v>
      </c>
      <c r="J246" s="79">
        <v>14726.22</v>
      </c>
    </row>
    <row r="247" spans="1:10" ht="15" thickBot="1">
      <c r="A247" s="98" t="s">
        <v>2587</v>
      </c>
      <c r="B247" s="80" t="s">
        <v>2685</v>
      </c>
      <c r="C247" s="80" t="s">
        <v>2659</v>
      </c>
      <c r="D247" s="80" t="s">
        <v>2647</v>
      </c>
      <c r="E247" s="80" t="s">
        <v>2643</v>
      </c>
      <c r="F247" s="80" t="s">
        <v>2370</v>
      </c>
      <c r="G247" s="80" t="s">
        <v>2702</v>
      </c>
      <c r="H247" s="79">
        <v>13</v>
      </c>
      <c r="I247" s="79">
        <v>4121.8</v>
      </c>
      <c r="J247" s="79">
        <v>53583.4</v>
      </c>
    </row>
    <row r="248" spans="1:10" ht="15" thickBot="1">
      <c r="A248" s="98">
        <v>45080</v>
      </c>
      <c r="B248" s="80" t="s">
        <v>2687</v>
      </c>
      <c r="C248" s="80" t="s">
        <v>2653</v>
      </c>
      <c r="D248" s="80" t="s">
        <v>2644</v>
      </c>
      <c r="E248" s="80" t="s">
        <v>2641</v>
      </c>
      <c r="F248" s="80" t="s">
        <v>2370</v>
      </c>
      <c r="G248" s="80" t="s">
        <v>2702</v>
      </c>
      <c r="H248" s="79">
        <v>7</v>
      </c>
      <c r="I248" s="79">
        <v>2083.7800000000002</v>
      </c>
      <c r="J248" s="79">
        <v>14586.46</v>
      </c>
    </row>
    <row r="249" spans="1:10" ht="15" thickBot="1">
      <c r="A249" s="98">
        <v>45201</v>
      </c>
      <c r="B249" s="80" t="s">
        <v>2683</v>
      </c>
      <c r="C249" s="80" t="s">
        <v>2393</v>
      </c>
      <c r="D249" s="80" t="s">
        <v>2644</v>
      </c>
      <c r="E249" s="80" t="s">
        <v>2641</v>
      </c>
      <c r="F249" s="80" t="s">
        <v>2372</v>
      </c>
      <c r="G249" s="80" t="s">
        <v>2699</v>
      </c>
      <c r="H249" s="79">
        <v>4</v>
      </c>
      <c r="I249" s="79">
        <v>697.88</v>
      </c>
      <c r="J249" s="79">
        <v>2791.52</v>
      </c>
    </row>
    <row r="250" spans="1:10" ht="15" thickBot="1">
      <c r="A250" s="98">
        <v>44930</v>
      </c>
      <c r="B250" s="80" t="s">
        <v>2687</v>
      </c>
      <c r="C250" s="80" t="s">
        <v>2660</v>
      </c>
      <c r="D250" s="80" t="s">
        <v>2647</v>
      </c>
      <c r="E250" s="80" t="s">
        <v>2643</v>
      </c>
      <c r="F250" s="80" t="s">
        <v>2370</v>
      </c>
      <c r="G250" s="80" t="s">
        <v>2701</v>
      </c>
      <c r="H250" s="79">
        <v>3</v>
      </c>
      <c r="I250" s="79">
        <v>3754.7</v>
      </c>
      <c r="J250" s="79">
        <v>11264.1</v>
      </c>
    </row>
    <row r="251" spans="1:10" ht="15" thickBot="1">
      <c r="A251" s="98" t="s">
        <v>2450</v>
      </c>
      <c r="B251" s="80" t="s">
        <v>2680</v>
      </c>
      <c r="C251" s="80" t="s">
        <v>2654</v>
      </c>
      <c r="D251" s="80" t="s">
        <v>2646</v>
      </c>
      <c r="E251" s="80" t="s">
        <v>2642</v>
      </c>
      <c r="F251" s="80" t="s">
        <v>2373</v>
      </c>
      <c r="G251" s="80" t="s">
        <v>2705</v>
      </c>
      <c r="H251" s="79">
        <v>20</v>
      </c>
      <c r="I251" s="79">
        <v>2449.44</v>
      </c>
      <c r="J251" s="79">
        <v>48988.800000000003</v>
      </c>
    </row>
    <row r="252" spans="1:10" ht="15" thickBot="1">
      <c r="A252" s="98">
        <v>44964</v>
      </c>
      <c r="B252" s="80" t="s">
        <v>2681</v>
      </c>
      <c r="C252" s="80" t="s">
        <v>2650</v>
      </c>
      <c r="D252" s="80" t="s">
        <v>2646</v>
      </c>
      <c r="E252" s="80" t="s">
        <v>2642</v>
      </c>
      <c r="F252" s="80" t="s">
        <v>2370</v>
      </c>
      <c r="G252" s="80" t="s">
        <v>1336</v>
      </c>
      <c r="H252" s="79">
        <v>6</v>
      </c>
      <c r="I252" s="79">
        <v>2862.86</v>
      </c>
      <c r="J252" s="79">
        <v>17177.16</v>
      </c>
    </row>
    <row r="253" spans="1:10" ht="15" thickBot="1">
      <c r="A253" s="98" t="s">
        <v>2494</v>
      </c>
      <c r="B253" s="80" t="s">
        <v>2684</v>
      </c>
      <c r="C253" s="80" t="s">
        <v>2650</v>
      </c>
      <c r="D253" s="80" t="s">
        <v>2646</v>
      </c>
      <c r="E253" s="80" t="s">
        <v>2642</v>
      </c>
      <c r="F253" s="80" t="s">
        <v>2374</v>
      </c>
      <c r="G253" s="80" t="s">
        <v>2689</v>
      </c>
      <c r="H253" s="79">
        <v>4</v>
      </c>
      <c r="I253" s="79">
        <v>4795.3999999999996</v>
      </c>
      <c r="J253" s="79">
        <v>19181.599999999999</v>
      </c>
    </row>
    <row r="254" spans="1:10" ht="15" thickBot="1">
      <c r="A254" s="98">
        <v>45271</v>
      </c>
      <c r="B254" s="80" t="s">
        <v>2684</v>
      </c>
      <c r="C254" s="80" t="s">
        <v>2660</v>
      </c>
      <c r="D254" s="80" t="s">
        <v>2647</v>
      </c>
      <c r="E254" s="80" t="s">
        <v>2643</v>
      </c>
      <c r="F254" s="80" t="s">
        <v>2373</v>
      </c>
      <c r="G254" s="80" t="s">
        <v>2703</v>
      </c>
      <c r="H254" s="79">
        <v>3</v>
      </c>
      <c r="I254" s="79">
        <v>672.84</v>
      </c>
      <c r="J254" s="79">
        <v>2018.52</v>
      </c>
    </row>
    <row r="255" spans="1:10" ht="15" thickBot="1">
      <c r="A255" s="98">
        <v>45086</v>
      </c>
      <c r="B255" s="80" t="s">
        <v>2687</v>
      </c>
      <c r="C255" s="80" t="s">
        <v>2655</v>
      </c>
      <c r="D255" s="80" t="s">
        <v>2645</v>
      </c>
      <c r="E255" s="80" t="s">
        <v>2642</v>
      </c>
      <c r="F255" s="80" t="s">
        <v>2373</v>
      </c>
      <c r="G255" s="80" t="s">
        <v>2705</v>
      </c>
      <c r="H255" s="79">
        <v>5</v>
      </c>
      <c r="I255" s="79">
        <v>4423.53</v>
      </c>
      <c r="J255" s="79">
        <v>22117.65</v>
      </c>
    </row>
    <row r="256" spans="1:10" ht="15" thickBot="1">
      <c r="A256" s="98">
        <v>44990</v>
      </c>
      <c r="B256" s="80" t="s">
        <v>2684</v>
      </c>
      <c r="C256" s="80" t="s">
        <v>2650</v>
      </c>
      <c r="D256" s="80" t="s">
        <v>2646</v>
      </c>
      <c r="E256" s="80" t="s">
        <v>2642</v>
      </c>
      <c r="F256" s="80" t="s">
        <v>2373</v>
      </c>
      <c r="G256" s="80" t="s">
        <v>2705</v>
      </c>
      <c r="H256" s="79">
        <v>13</v>
      </c>
      <c r="I256" s="79">
        <v>1330.85</v>
      </c>
      <c r="J256" s="79">
        <v>17301.05</v>
      </c>
    </row>
    <row r="257" spans="1:10" ht="15" thickBot="1">
      <c r="A257" s="98" t="s">
        <v>2596</v>
      </c>
      <c r="B257" s="80" t="s">
        <v>2687</v>
      </c>
      <c r="C257" s="80" t="s">
        <v>2653</v>
      </c>
      <c r="D257" s="80" t="s">
        <v>2644</v>
      </c>
      <c r="E257" s="80" t="s">
        <v>2641</v>
      </c>
      <c r="F257" s="80" t="s">
        <v>2374</v>
      </c>
      <c r="G257" s="80" t="s">
        <v>2700</v>
      </c>
      <c r="H257" s="79">
        <v>2</v>
      </c>
      <c r="I257" s="79">
        <v>1785.76</v>
      </c>
      <c r="J257" s="79">
        <v>3571.52</v>
      </c>
    </row>
    <row r="258" spans="1:10" ht="15" thickBot="1">
      <c r="A258" s="98" t="s">
        <v>2615</v>
      </c>
      <c r="B258" s="80" t="s">
        <v>2680</v>
      </c>
      <c r="C258" s="80" t="s">
        <v>2660</v>
      </c>
      <c r="D258" s="80" t="s">
        <v>2647</v>
      </c>
      <c r="E258" s="80" t="s">
        <v>2643</v>
      </c>
      <c r="F258" s="80" t="s">
        <v>2373</v>
      </c>
      <c r="G258" s="80" t="s">
        <v>2703</v>
      </c>
      <c r="H258" s="79">
        <v>10</v>
      </c>
      <c r="I258" s="79">
        <v>505.39</v>
      </c>
      <c r="J258" s="79">
        <v>5053.8999999999996</v>
      </c>
    </row>
    <row r="259" spans="1:10" ht="15" thickBot="1">
      <c r="A259" s="98" t="s">
        <v>2512</v>
      </c>
      <c r="B259" s="80" t="s">
        <v>2682</v>
      </c>
      <c r="C259" s="80" t="s">
        <v>2658</v>
      </c>
      <c r="D259" s="80" t="s">
        <v>2645</v>
      </c>
      <c r="E259" s="80" t="s">
        <v>2642</v>
      </c>
      <c r="F259" s="80" t="s">
        <v>2370</v>
      </c>
      <c r="G259" s="80" t="s">
        <v>2701</v>
      </c>
      <c r="H259" s="79">
        <v>1</v>
      </c>
      <c r="I259" s="79">
        <v>4966.8599999999997</v>
      </c>
      <c r="J259" s="79">
        <v>4966.8599999999997</v>
      </c>
    </row>
    <row r="260" spans="1:10" ht="15" thickBot="1">
      <c r="A260" s="98" t="s">
        <v>2613</v>
      </c>
      <c r="B260" s="80" t="s">
        <v>2680</v>
      </c>
      <c r="C260" s="80" t="s">
        <v>2657</v>
      </c>
      <c r="D260" s="80" t="s">
        <v>2648</v>
      </c>
      <c r="E260" s="80" t="s">
        <v>2641</v>
      </c>
      <c r="F260" s="80" t="s">
        <v>2373</v>
      </c>
      <c r="G260" s="80" t="s">
        <v>2697</v>
      </c>
      <c r="H260" s="79">
        <v>5</v>
      </c>
      <c r="I260" s="79">
        <v>4988.76</v>
      </c>
      <c r="J260" s="79">
        <v>24943.8</v>
      </c>
    </row>
    <row r="261" spans="1:10" ht="15" thickBot="1">
      <c r="A261" s="98" t="s">
        <v>2629</v>
      </c>
      <c r="B261" s="80" t="s">
        <v>2683</v>
      </c>
      <c r="C261" s="80" t="s">
        <v>2649</v>
      </c>
      <c r="D261" s="80" t="s">
        <v>2645</v>
      </c>
      <c r="E261" s="80" t="s">
        <v>2642</v>
      </c>
      <c r="F261" s="80" t="s">
        <v>2370</v>
      </c>
      <c r="G261" s="80" t="s">
        <v>2701</v>
      </c>
      <c r="H261" s="79">
        <v>18</v>
      </c>
      <c r="I261" s="79">
        <v>1745.63</v>
      </c>
      <c r="J261" s="79">
        <v>31421.34</v>
      </c>
    </row>
    <row r="262" spans="1:10" ht="15" thickBot="1">
      <c r="A262" s="98" t="s">
        <v>2491</v>
      </c>
      <c r="B262" s="80" t="s">
        <v>2680</v>
      </c>
      <c r="C262" s="80" t="s">
        <v>2392</v>
      </c>
      <c r="D262" s="80" t="s">
        <v>2644</v>
      </c>
      <c r="E262" s="80" t="s">
        <v>2641</v>
      </c>
      <c r="F262" s="80" t="s">
        <v>2372</v>
      </c>
      <c r="G262" s="80" t="s">
        <v>2699</v>
      </c>
      <c r="H262" s="79">
        <v>2</v>
      </c>
      <c r="I262" s="79">
        <v>3024.56</v>
      </c>
      <c r="J262" s="79">
        <v>6049.12</v>
      </c>
    </row>
    <row r="263" spans="1:10" ht="15" thickBot="1">
      <c r="A263" s="98">
        <v>45083</v>
      </c>
      <c r="B263" s="80" t="s">
        <v>2685</v>
      </c>
      <c r="C263" s="80" t="s">
        <v>2654</v>
      </c>
      <c r="D263" s="80" t="s">
        <v>2646</v>
      </c>
      <c r="E263" s="80" t="s">
        <v>2642</v>
      </c>
      <c r="F263" s="80" t="s">
        <v>2374</v>
      </c>
      <c r="G263" s="80" t="s">
        <v>2692</v>
      </c>
      <c r="H263" s="79">
        <v>15</v>
      </c>
      <c r="I263" s="79">
        <v>4599.74</v>
      </c>
      <c r="J263" s="79">
        <v>68996.100000000006</v>
      </c>
    </row>
    <row r="264" spans="1:10" ht="15" thickBot="1">
      <c r="A264" s="98" t="s">
        <v>2515</v>
      </c>
      <c r="B264" s="80" t="s">
        <v>2680</v>
      </c>
      <c r="C264" s="80" t="s">
        <v>2660</v>
      </c>
      <c r="D264" s="80" t="s">
        <v>2647</v>
      </c>
      <c r="E264" s="80" t="s">
        <v>2643</v>
      </c>
      <c r="F264" s="80" t="s">
        <v>2661</v>
      </c>
      <c r="G264" s="80" t="s">
        <v>2698</v>
      </c>
      <c r="H264" s="79">
        <v>18</v>
      </c>
      <c r="I264" s="79">
        <v>330.49</v>
      </c>
      <c r="J264" s="79">
        <v>5948.82</v>
      </c>
    </row>
    <row r="265" spans="1:10" ht="15" thickBot="1">
      <c r="A265" s="98" t="s">
        <v>2534</v>
      </c>
      <c r="B265" s="80" t="s">
        <v>2681</v>
      </c>
      <c r="C265" s="80" t="s">
        <v>2655</v>
      </c>
      <c r="D265" s="80" t="s">
        <v>2645</v>
      </c>
      <c r="E265" s="80" t="s">
        <v>2642</v>
      </c>
      <c r="F265" s="80" t="s">
        <v>2372</v>
      </c>
      <c r="G265" s="80" t="s">
        <v>2690</v>
      </c>
      <c r="H265" s="79">
        <v>8</v>
      </c>
      <c r="I265" s="79">
        <v>4775.74</v>
      </c>
      <c r="J265" s="79">
        <v>38205.919999999998</v>
      </c>
    </row>
    <row r="266" spans="1:10" ht="15" thickBot="1">
      <c r="A266" s="98" t="s">
        <v>2442</v>
      </c>
      <c r="B266" s="80" t="s">
        <v>2687</v>
      </c>
      <c r="C266" s="80" t="s">
        <v>2657</v>
      </c>
      <c r="D266" s="80" t="s">
        <v>2648</v>
      </c>
      <c r="E266" s="80" t="s">
        <v>2641</v>
      </c>
      <c r="F266" s="80" t="s">
        <v>2374</v>
      </c>
      <c r="G266" s="80" t="s">
        <v>2692</v>
      </c>
      <c r="H266" s="79">
        <v>16</v>
      </c>
      <c r="I266" s="79">
        <v>2329.86</v>
      </c>
      <c r="J266" s="79">
        <v>37277.760000000002</v>
      </c>
    </row>
    <row r="267" spans="1:10" ht="15" thickBot="1">
      <c r="A267" s="98" t="s">
        <v>2609</v>
      </c>
      <c r="B267" s="80" t="s">
        <v>2679</v>
      </c>
      <c r="C267" s="80" t="s">
        <v>2656</v>
      </c>
      <c r="D267" s="80" t="s">
        <v>2648</v>
      </c>
      <c r="E267" s="80" t="s">
        <v>2641</v>
      </c>
      <c r="F267" s="80" t="s">
        <v>2370</v>
      </c>
      <c r="G267" s="80" t="s">
        <v>1335</v>
      </c>
      <c r="H267" s="79">
        <v>16</v>
      </c>
      <c r="I267" s="79">
        <v>1426.64</v>
      </c>
      <c r="J267" s="79">
        <v>22826.240000000002</v>
      </c>
    </row>
    <row r="268" spans="1:10" ht="15" thickBot="1">
      <c r="A268" s="98" t="s">
        <v>2441</v>
      </c>
      <c r="B268" s="80" t="s">
        <v>2682</v>
      </c>
      <c r="C268" s="80" t="s">
        <v>2657</v>
      </c>
      <c r="D268" s="80" t="s">
        <v>2648</v>
      </c>
      <c r="E268" s="80" t="s">
        <v>2641</v>
      </c>
      <c r="F268" s="80" t="s">
        <v>2372</v>
      </c>
      <c r="G268" s="80" t="s">
        <v>2694</v>
      </c>
      <c r="H268" s="79">
        <v>8</v>
      </c>
      <c r="I268" s="79">
        <v>2663.16</v>
      </c>
      <c r="J268" s="79">
        <v>21305.279999999999</v>
      </c>
    </row>
    <row r="269" spans="1:10" ht="15" thickBot="1">
      <c r="A269" s="98">
        <v>45233</v>
      </c>
      <c r="B269" s="80" t="s">
        <v>2686</v>
      </c>
      <c r="C269" s="80" t="s">
        <v>2656</v>
      </c>
      <c r="D269" s="80" t="s">
        <v>2648</v>
      </c>
      <c r="E269" s="80" t="s">
        <v>2641</v>
      </c>
      <c r="F269" s="80" t="s">
        <v>2372</v>
      </c>
      <c r="G269" s="80" t="s">
        <v>2690</v>
      </c>
      <c r="H269" s="79">
        <v>20</v>
      </c>
      <c r="I269" s="79">
        <v>1690.56</v>
      </c>
      <c r="J269" s="79">
        <v>33811.199999999997</v>
      </c>
    </row>
    <row r="270" spans="1:10" ht="15" thickBot="1">
      <c r="A270" s="98" t="s">
        <v>2625</v>
      </c>
      <c r="B270" s="80" t="s">
        <v>2686</v>
      </c>
      <c r="C270" s="80" t="s">
        <v>2393</v>
      </c>
      <c r="D270" s="80" t="s">
        <v>2644</v>
      </c>
      <c r="E270" s="80" t="s">
        <v>2641</v>
      </c>
      <c r="F270" s="80" t="s">
        <v>2372</v>
      </c>
      <c r="G270" s="80" t="s">
        <v>2690</v>
      </c>
      <c r="H270" s="79">
        <v>1</v>
      </c>
      <c r="I270" s="79">
        <v>776.08</v>
      </c>
      <c r="J270" s="79">
        <v>776.08</v>
      </c>
    </row>
    <row r="271" spans="1:10" ht="15" thickBot="1">
      <c r="A271" s="98">
        <v>44961</v>
      </c>
      <c r="B271" s="80" t="s">
        <v>2679</v>
      </c>
      <c r="C271" s="80" t="s">
        <v>2658</v>
      </c>
      <c r="D271" s="80" t="s">
        <v>2645</v>
      </c>
      <c r="E271" s="80" t="s">
        <v>2642</v>
      </c>
      <c r="F271" s="80" t="s">
        <v>2661</v>
      </c>
      <c r="G271" s="80" t="s">
        <v>2696</v>
      </c>
      <c r="H271" s="79">
        <v>3</v>
      </c>
      <c r="I271" s="79">
        <v>1435.01</v>
      </c>
      <c r="J271" s="79">
        <v>4305.03</v>
      </c>
    </row>
    <row r="272" spans="1:10" ht="15" thickBot="1">
      <c r="A272" s="98">
        <v>45116</v>
      </c>
      <c r="B272" s="80" t="s">
        <v>2681</v>
      </c>
      <c r="C272" s="80" t="s">
        <v>2396</v>
      </c>
      <c r="D272" s="80" t="s">
        <v>2648</v>
      </c>
      <c r="E272" s="80" t="s">
        <v>2641</v>
      </c>
      <c r="F272" s="80" t="s">
        <v>2374</v>
      </c>
      <c r="G272" s="80" t="s">
        <v>2700</v>
      </c>
      <c r="H272" s="79">
        <v>16</v>
      </c>
      <c r="I272" s="79">
        <v>1473.98</v>
      </c>
      <c r="J272" s="79">
        <v>23583.68</v>
      </c>
    </row>
    <row r="273" spans="1:10" ht="15" thickBot="1">
      <c r="A273" s="98">
        <v>45057</v>
      </c>
      <c r="B273" s="80" t="s">
        <v>2686</v>
      </c>
      <c r="C273" s="80" t="s">
        <v>2652</v>
      </c>
      <c r="D273" s="80" t="s">
        <v>2647</v>
      </c>
      <c r="E273" s="80" t="s">
        <v>2643</v>
      </c>
      <c r="F273" s="80" t="s">
        <v>2373</v>
      </c>
      <c r="G273" s="80" t="s">
        <v>2697</v>
      </c>
      <c r="H273" s="79">
        <v>6</v>
      </c>
      <c r="I273" s="79">
        <v>1822.86</v>
      </c>
      <c r="J273" s="79">
        <v>10937.16</v>
      </c>
    </row>
    <row r="274" spans="1:10" ht="15" thickBot="1">
      <c r="A274" s="98">
        <v>45079</v>
      </c>
      <c r="B274" s="80" t="s">
        <v>2686</v>
      </c>
      <c r="C274" s="80" t="s">
        <v>2651</v>
      </c>
      <c r="D274" s="80" t="s">
        <v>2646</v>
      </c>
      <c r="E274" s="80" t="s">
        <v>2642</v>
      </c>
      <c r="F274" s="80" t="s">
        <v>2372</v>
      </c>
      <c r="G274" s="80" t="s">
        <v>2693</v>
      </c>
      <c r="H274" s="79">
        <v>13</v>
      </c>
      <c r="I274" s="79">
        <v>739.6</v>
      </c>
      <c r="J274" s="79">
        <v>9614.7999999999993</v>
      </c>
    </row>
    <row r="275" spans="1:10" ht="15" thickBot="1">
      <c r="A275" s="98">
        <v>45172</v>
      </c>
      <c r="B275" s="80" t="s">
        <v>2683</v>
      </c>
      <c r="C275" s="80" t="s">
        <v>2656</v>
      </c>
      <c r="D275" s="80" t="s">
        <v>2648</v>
      </c>
      <c r="E275" s="80" t="s">
        <v>2641</v>
      </c>
      <c r="F275" s="80" t="s">
        <v>2661</v>
      </c>
      <c r="G275" s="80" t="s">
        <v>2698</v>
      </c>
      <c r="H275" s="79">
        <v>11</v>
      </c>
      <c r="I275" s="79">
        <v>4209.66</v>
      </c>
      <c r="J275" s="79">
        <v>46306.26</v>
      </c>
    </row>
    <row r="276" spans="1:10" ht="15" thickBot="1">
      <c r="A276" s="98">
        <v>44929</v>
      </c>
      <c r="B276" s="80" t="s">
        <v>2679</v>
      </c>
      <c r="C276" s="80" t="s">
        <v>2655</v>
      </c>
      <c r="D276" s="80" t="s">
        <v>2645</v>
      </c>
      <c r="E276" s="80" t="s">
        <v>2642</v>
      </c>
      <c r="F276" s="80" t="s">
        <v>2370</v>
      </c>
      <c r="G276" s="80" t="s">
        <v>1336</v>
      </c>
      <c r="H276" s="79">
        <v>8</v>
      </c>
      <c r="I276" s="79">
        <v>4105.17</v>
      </c>
      <c r="J276" s="79">
        <v>32841.360000000001</v>
      </c>
    </row>
    <row r="277" spans="1:10" ht="15" thickBot="1">
      <c r="A277" s="98" t="s">
        <v>2621</v>
      </c>
      <c r="B277" s="80" t="s">
        <v>2683</v>
      </c>
      <c r="C277" s="80" t="s">
        <v>2660</v>
      </c>
      <c r="D277" s="80" t="s">
        <v>2647</v>
      </c>
      <c r="E277" s="80" t="s">
        <v>2643</v>
      </c>
      <c r="F277" s="80" t="s">
        <v>2373</v>
      </c>
      <c r="G277" s="80" t="s">
        <v>2688</v>
      </c>
      <c r="H277" s="79">
        <v>2</v>
      </c>
      <c r="I277" s="79">
        <v>4100.3999999999996</v>
      </c>
      <c r="J277" s="79">
        <v>8200.7999999999993</v>
      </c>
    </row>
    <row r="278" spans="1:10" ht="15" thickBot="1">
      <c r="A278" s="98" t="s">
        <v>2670</v>
      </c>
      <c r="B278" s="80" t="s">
        <v>2679</v>
      </c>
      <c r="C278" s="80" t="s">
        <v>2654</v>
      </c>
      <c r="D278" s="80" t="s">
        <v>2646</v>
      </c>
      <c r="E278" s="80" t="s">
        <v>2642</v>
      </c>
      <c r="F278" s="80" t="s">
        <v>2661</v>
      </c>
      <c r="G278" s="80" t="s">
        <v>2691</v>
      </c>
      <c r="H278" s="79">
        <v>20</v>
      </c>
      <c r="I278" s="79">
        <v>2295.08</v>
      </c>
      <c r="J278" s="79">
        <v>45901.599999999999</v>
      </c>
    </row>
    <row r="279" spans="1:10" ht="15" thickBot="1">
      <c r="A279" s="98">
        <v>45241</v>
      </c>
      <c r="B279" s="80" t="s">
        <v>2686</v>
      </c>
      <c r="C279" s="80" t="s">
        <v>2392</v>
      </c>
      <c r="D279" s="80" t="s">
        <v>2644</v>
      </c>
      <c r="E279" s="80" t="s">
        <v>2641</v>
      </c>
      <c r="F279" s="80" t="s">
        <v>2661</v>
      </c>
      <c r="G279" s="80" t="s">
        <v>2695</v>
      </c>
      <c r="H279" s="79">
        <v>20</v>
      </c>
      <c r="I279" s="79">
        <v>4970.33</v>
      </c>
      <c r="J279" s="79">
        <v>99406.6</v>
      </c>
    </row>
    <row r="280" spans="1:10" ht="15" thickBot="1">
      <c r="A280" s="98">
        <v>45272</v>
      </c>
      <c r="B280" s="80" t="s">
        <v>2683</v>
      </c>
      <c r="C280" s="80" t="s">
        <v>2657</v>
      </c>
      <c r="D280" s="80" t="s">
        <v>2648</v>
      </c>
      <c r="E280" s="80" t="s">
        <v>2641</v>
      </c>
      <c r="F280" s="80" t="s">
        <v>2373</v>
      </c>
      <c r="G280" s="80" t="s">
        <v>2697</v>
      </c>
      <c r="H280" s="79">
        <v>12</v>
      </c>
      <c r="I280" s="79">
        <v>3939.5</v>
      </c>
      <c r="J280" s="79">
        <v>47274</v>
      </c>
    </row>
    <row r="281" spans="1:10" ht="15" thickBot="1">
      <c r="A281" s="98" t="s">
        <v>2482</v>
      </c>
      <c r="B281" s="80" t="s">
        <v>2684</v>
      </c>
      <c r="C281" s="80" t="s">
        <v>2649</v>
      </c>
      <c r="D281" s="80" t="s">
        <v>2645</v>
      </c>
      <c r="E281" s="80" t="s">
        <v>2642</v>
      </c>
      <c r="F281" s="80" t="s">
        <v>2370</v>
      </c>
      <c r="G281" s="80" t="s">
        <v>2701</v>
      </c>
      <c r="H281" s="79">
        <v>15</v>
      </c>
      <c r="I281" s="79">
        <v>1450.75</v>
      </c>
      <c r="J281" s="79">
        <v>21761.25</v>
      </c>
    </row>
    <row r="282" spans="1:10" ht="15" thickBot="1">
      <c r="A282" s="98">
        <v>45057</v>
      </c>
      <c r="B282" s="80" t="s">
        <v>2684</v>
      </c>
      <c r="C282" s="80" t="s">
        <v>2651</v>
      </c>
      <c r="D282" s="80" t="s">
        <v>2646</v>
      </c>
      <c r="E282" s="80" t="s">
        <v>2642</v>
      </c>
      <c r="F282" s="80" t="s">
        <v>2373</v>
      </c>
      <c r="G282" s="80" t="s">
        <v>2688</v>
      </c>
      <c r="H282" s="79">
        <v>8</v>
      </c>
      <c r="I282" s="79">
        <v>3279.33</v>
      </c>
      <c r="J282" s="79">
        <v>26234.639999999999</v>
      </c>
    </row>
    <row r="283" spans="1:10" ht="15" thickBot="1">
      <c r="A283" s="98" t="s">
        <v>2489</v>
      </c>
      <c r="B283" s="80" t="s">
        <v>2686</v>
      </c>
      <c r="C283" s="80" t="s">
        <v>2393</v>
      </c>
      <c r="D283" s="80" t="s">
        <v>2644</v>
      </c>
      <c r="E283" s="80" t="s">
        <v>2641</v>
      </c>
      <c r="F283" s="80" t="s">
        <v>2372</v>
      </c>
      <c r="G283" s="80" t="s">
        <v>2694</v>
      </c>
      <c r="H283" s="79">
        <v>7</v>
      </c>
      <c r="I283" s="79">
        <v>579.91999999999996</v>
      </c>
      <c r="J283" s="79">
        <v>4059.44</v>
      </c>
    </row>
    <row r="284" spans="1:10" ht="15" thickBot="1">
      <c r="A284" s="98">
        <v>45048</v>
      </c>
      <c r="B284" s="80" t="s">
        <v>2684</v>
      </c>
      <c r="C284" s="80" t="s">
        <v>2651</v>
      </c>
      <c r="D284" s="80" t="s">
        <v>2646</v>
      </c>
      <c r="E284" s="80" t="s">
        <v>2642</v>
      </c>
      <c r="F284" s="80" t="s">
        <v>2370</v>
      </c>
      <c r="G284" s="80" t="s">
        <v>1335</v>
      </c>
      <c r="H284" s="79">
        <v>10</v>
      </c>
      <c r="I284" s="79">
        <v>2515.54</v>
      </c>
      <c r="J284" s="79">
        <v>25155.4</v>
      </c>
    </row>
    <row r="285" spans="1:10" ht="15" thickBot="1">
      <c r="A285" s="98" t="s">
        <v>2672</v>
      </c>
      <c r="B285" s="80" t="s">
        <v>2681</v>
      </c>
      <c r="C285" s="80" t="s">
        <v>2393</v>
      </c>
      <c r="D285" s="80" t="s">
        <v>2644</v>
      </c>
      <c r="E285" s="80" t="s">
        <v>2641</v>
      </c>
      <c r="F285" s="80" t="s">
        <v>2661</v>
      </c>
      <c r="G285" s="80" t="s">
        <v>2695</v>
      </c>
      <c r="H285" s="79">
        <v>10</v>
      </c>
      <c r="I285" s="79">
        <v>2976.69</v>
      </c>
      <c r="J285" s="79">
        <v>29766.9</v>
      </c>
    </row>
    <row r="286" spans="1:10" ht="15" thickBot="1">
      <c r="A286" s="98" t="s">
        <v>2580</v>
      </c>
      <c r="B286" s="80" t="s">
        <v>2681</v>
      </c>
      <c r="C286" s="80" t="s">
        <v>2654</v>
      </c>
      <c r="D286" s="80" t="s">
        <v>2646</v>
      </c>
      <c r="E286" s="80" t="s">
        <v>2642</v>
      </c>
      <c r="F286" s="80" t="s">
        <v>2661</v>
      </c>
      <c r="G286" s="80" t="s">
        <v>2698</v>
      </c>
      <c r="H286" s="79">
        <v>16</v>
      </c>
      <c r="I286" s="79">
        <v>4047.21</v>
      </c>
      <c r="J286" s="79">
        <v>64755.360000000001</v>
      </c>
    </row>
    <row r="287" spans="1:10" ht="15" thickBot="1">
      <c r="A287" s="98">
        <v>45203</v>
      </c>
      <c r="B287" s="80" t="s">
        <v>2682</v>
      </c>
      <c r="C287" s="80" t="s">
        <v>2396</v>
      </c>
      <c r="D287" s="80" t="s">
        <v>2648</v>
      </c>
      <c r="E287" s="80" t="s">
        <v>2641</v>
      </c>
      <c r="F287" s="80" t="s">
        <v>2661</v>
      </c>
      <c r="G287" s="80" t="s">
        <v>2696</v>
      </c>
      <c r="H287" s="79">
        <v>18</v>
      </c>
      <c r="I287" s="79">
        <v>2825.07</v>
      </c>
      <c r="J287" s="79">
        <v>50851.26</v>
      </c>
    </row>
    <row r="288" spans="1:10" ht="15" thickBot="1">
      <c r="A288" s="98" t="s">
        <v>2629</v>
      </c>
      <c r="B288" s="80" t="s">
        <v>2683</v>
      </c>
      <c r="C288" s="80" t="s">
        <v>2650</v>
      </c>
      <c r="D288" s="80" t="s">
        <v>2646</v>
      </c>
      <c r="E288" s="80" t="s">
        <v>2642</v>
      </c>
      <c r="F288" s="80" t="s">
        <v>2372</v>
      </c>
      <c r="G288" s="80" t="s">
        <v>2699</v>
      </c>
      <c r="H288" s="79">
        <v>13</v>
      </c>
      <c r="I288" s="79">
        <v>1406.82</v>
      </c>
      <c r="J288" s="79">
        <v>18288.66</v>
      </c>
    </row>
    <row r="289" spans="1:10" ht="15" thickBot="1">
      <c r="A289" s="98" t="s">
        <v>2591</v>
      </c>
      <c r="B289" s="80" t="s">
        <v>2687</v>
      </c>
      <c r="C289" s="80" t="s">
        <v>2653</v>
      </c>
      <c r="D289" s="80" t="s">
        <v>2644</v>
      </c>
      <c r="E289" s="80" t="s">
        <v>2641</v>
      </c>
      <c r="F289" s="80" t="s">
        <v>2374</v>
      </c>
      <c r="G289" s="80" t="s">
        <v>2704</v>
      </c>
      <c r="H289" s="79">
        <v>16</v>
      </c>
      <c r="I289" s="79">
        <v>1090.18</v>
      </c>
      <c r="J289" s="79">
        <v>17442.88</v>
      </c>
    </row>
    <row r="290" spans="1:10" ht="15" thickBot="1">
      <c r="A290" s="98">
        <v>44987</v>
      </c>
      <c r="B290" s="80" t="s">
        <v>2685</v>
      </c>
      <c r="C290" s="80" t="s">
        <v>2652</v>
      </c>
      <c r="D290" s="80" t="s">
        <v>2647</v>
      </c>
      <c r="E290" s="80" t="s">
        <v>2643</v>
      </c>
      <c r="F290" s="80" t="s">
        <v>2370</v>
      </c>
      <c r="G290" s="80" t="s">
        <v>2701</v>
      </c>
      <c r="H290" s="79">
        <v>12</v>
      </c>
      <c r="I290" s="79">
        <v>3696.43</v>
      </c>
      <c r="J290" s="79">
        <v>44357.16</v>
      </c>
    </row>
    <row r="291" spans="1:10" ht="15" thickBot="1">
      <c r="A291" s="98">
        <v>45180</v>
      </c>
      <c r="B291" s="80" t="s">
        <v>2681</v>
      </c>
      <c r="C291" s="80" t="s">
        <v>2655</v>
      </c>
      <c r="D291" s="80" t="s">
        <v>2645</v>
      </c>
      <c r="E291" s="80" t="s">
        <v>2642</v>
      </c>
      <c r="F291" s="80" t="s">
        <v>2370</v>
      </c>
      <c r="G291" s="80" t="s">
        <v>2701</v>
      </c>
      <c r="H291" s="79">
        <v>7</v>
      </c>
      <c r="I291" s="79">
        <v>4535.1400000000003</v>
      </c>
      <c r="J291" s="79">
        <v>31745.98</v>
      </c>
    </row>
    <row r="292" spans="1:10" ht="15" thickBot="1">
      <c r="A292" s="98">
        <v>44968</v>
      </c>
      <c r="B292" s="80" t="s">
        <v>2682</v>
      </c>
      <c r="C292" s="80" t="s">
        <v>2654</v>
      </c>
      <c r="D292" s="80" t="s">
        <v>2646</v>
      </c>
      <c r="E292" s="80" t="s">
        <v>2642</v>
      </c>
      <c r="F292" s="80" t="s">
        <v>2661</v>
      </c>
      <c r="G292" s="80" t="s">
        <v>2698</v>
      </c>
      <c r="H292" s="79">
        <v>3</v>
      </c>
      <c r="I292" s="79">
        <v>4931.6899999999996</v>
      </c>
      <c r="J292" s="79">
        <v>14795.07</v>
      </c>
    </row>
    <row r="293" spans="1:10" ht="15" thickBot="1">
      <c r="A293" s="98" t="s">
        <v>2537</v>
      </c>
      <c r="B293" s="80" t="s">
        <v>2687</v>
      </c>
      <c r="C293" s="80" t="s">
        <v>2659</v>
      </c>
      <c r="D293" s="80" t="s">
        <v>2647</v>
      </c>
      <c r="E293" s="80" t="s">
        <v>2643</v>
      </c>
      <c r="F293" s="80" t="s">
        <v>2661</v>
      </c>
      <c r="G293" s="80" t="s">
        <v>2691</v>
      </c>
      <c r="H293" s="79">
        <v>16</v>
      </c>
      <c r="I293" s="79">
        <v>3263.65</v>
      </c>
      <c r="J293" s="79">
        <v>52218.400000000001</v>
      </c>
    </row>
    <row r="294" spans="1:10" ht="15" thickBot="1">
      <c r="A294" s="98" t="s">
        <v>2488</v>
      </c>
      <c r="B294" s="80" t="s">
        <v>2680</v>
      </c>
      <c r="C294" s="80" t="s">
        <v>2392</v>
      </c>
      <c r="D294" s="80" t="s">
        <v>2644</v>
      </c>
      <c r="E294" s="80" t="s">
        <v>2641</v>
      </c>
      <c r="F294" s="80" t="s">
        <v>2374</v>
      </c>
      <c r="G294" s="80" t="s">
        <v>2700</v>
      </c>
      <c r="H294" s="79">
        <v>17</v>
      </c>
      <c r="I294" s="79">
        <v>4083.07</v>
      </c>
      <c r="J294" s="79">
        <v>69412.19</v>
      </c>
    </row>
    <row r="295" spans="1:10" ht="15" thickBot="1">
      <c r="A295" s="98" t="s">
        <v>2536</v>
      </c>
      <c r="B295" s="80" t="s">
        <v>2684</v>
      </c>
      <c r="C295" s="80" t="s">
        <v>2393</v>
      </c>
      <c r="D295" s="80" t="s">
        <v>2644</v>
      </c>
      <c r="E295" s="80" t="s">
        <v>2641</v>
      </c>
      <c r="F295" s="80" t="s">
        <v>2374</v>
      </c>
      <c r="G295" s="80" t="s">
        <v>2689</v>
      </c>
      <c r="H295" s="79">
        <v>12</v>
      </c>
      <c r="I295" s="79">
        <v>528.69000000000005</v>
      </c>
      <c r="J295" s="79">
        <v>6344.28</v>
      </c>
    </row>
    <row r="296" spans="1:10" ht="15" thickBot="1">
      <c r="A296" s="98">
        <v>45024</v>
      </c>
      <c r="B296" s="80" t="s">
        <v>2686</v>
      </c>
      <c r="C296" s="80" t="s">
        <v>2651</v>
      </c>
      <c r="D296" s="80" t="s">
        <v>2646</v>
      </c>
      <c r="E296" s="80" t="s">
        <v>2642</v>
      </c>
      <c r="F296" s="80" t="s">
        <v>2370</v>
      </c>
      <c r="G296" s="80" t="s">
        <v>2702</v>
      </c>
      <c r="H296" s="79">
        <v>8</v>
      </c>
      <c r="I296" s="79">
        <v>528.92999999999995</v>
      </c>
      <c r="J296" s="79">
        <v>4231.4399999999996</v>
      </c>
    </row>
    <row r="297" spans="1:10" ht="15" thickBot="1">
      <c r="A297" s="98">
        <v>45268</v>
      </c>
      <c r="B297" s="80" t="s">
        <v>2678</v>
      </c>
      <c r="C297" s="80" t="s">
        <v>2392</v>
      </c>
      <c r="D297" s="80" t="s">
        <v>2644</v>
      </c>
      <c r="E297" s="80" t="s">
        <v>2641</v>
      </c>
      <c r="F297" s="80" t="s">
        <v>2661</v>
      </c>
      <c r="G297" s="80" t="s">
        <v>2691</v>
      </c>
      <c r="H297" s="79">
        <v>11</v>
      </c>
      <c r="I297" s="79">
        <v>1749.31</v>
      </c>
      <c r="J297" s="79">
        <v>19242.41</v>
      </c>
    </row>
    <row r="298" spans="1:10" ht="15" thickBot="1">
      <c r="A298" s="98">
        <v>44969</v>
      </c>
      <c r="B298" s="80" t="s">
        <v>2678</v>
      </c>
      <c r="C298" s="80" t="s">
        <v>2653</v>
      </c>
      <c r="D298" s="80" t="s">
        <v>2644</v>
      </c>
      <c r="E298" s="80" t="s">
        <v>2641</v>
      </c>
      <c r="F298" s="80" t="s">
        <v>2374</v>
      </c>
      <c r="G298" s="80" t="s">
        <v>2689</v>
      </c>
      <c r="H298" s="79">
        <v>11</v>
      </c>
      <c r="I298" s="79">
        <v>2635.95</v>
      </c>
      <c r="J298" s="79">
        <v>28995.45</v>
      </c>
    </row>
    <row r="299" spans="1:10" ht="15" thickBot="1">
      <c r="A299" s="98" t="s">
        <v>2509</v>
      </c>
      <c r="B299" s="80" t="s">
        <v>2683</v>
      </c>
      <c r="C299" s="80" t="s">
        <v>2653</v>
      </c>
      <c r="D299" s="80" t="s">
        <v>2644</v>
      </c>
      <c r="E299" s="80" t="s">
        <v>2641</v>
      </c>
      <c r="F299" s="80" t="s">
        <v>2661</v>
      </c>
      <c r="G299" s="80" t="s">
        <v>2691</v>
      </c>
      <c r="H299" s="79">
        <v>6</v>
      </c>
      <c r="I299" s="79">
        <v>2850.31</v>
      </c>
      <c r="J299" s="79">
        <v>17101.86</v>
      </c>
    </row>
    <row r="300" spans="1:10" ht="15" thickBot="1">
      <c r="A300" s="98" t="s">
        <v>2493</v>
      </c>
      <c r="B300" s="80" t="s">
        <v>2687</v>
      </c>
      <c r="C300" s="80" t="s">
        <v>2658</v>
      </c>
      <c r="D300" s="80" t="s">
        <v>2645</v>
      </c>
      <c r="E300" s="80" t="s">
        <v>2642</v>
      </c>
      <c r="F300" s="80" t="s">
        <v>2370</v>
      </c>
      <c r="G300" s="80" t="s">
        <v>1336</v>
      </c>
      <c r="H300" s="79">
        <v>5</v>
      </c>
      <c r="I300" s="79">
        <v>1413.03</v>
      </c>
      <c r="J300" s="79">
        <v>7065.15</v>
      </c>
    </row>
    <row r="301" spans="1:10" ht="15" thickBot="1">
      <c r="A301" s="98" t="s">
        <v>2581</v>
      </c>
      <c r="B301" s="80" t="s">
        <v>2682</v>
      </c>
      <c r="C301" s="80" t="s">
        <v>2393</v>
      </c>
      <c r="D301" s="80" t="s">
        <v>2644</v>
      </c>
      <c r="E301" s="80" t="s">
        <v>2641</v>
      </c>
      <c r="F301" s="80" t="s">
        <v>2370</v>
      </c>
      <c r="G301" s="80" t="s">
        <v>2701</v>
      </c>
      <c r="H301" s="79">
        <v>14</v>
      </c>
      <c r="I301" s="79">
        <v>4541.87</v>
      </c>
      <c r="J301" s="79">
        <v>63586.18</v>
      </c>
    </row>
    <row r="302" spans="1:10" ht="15" thickBot="1">
      <c r="A302" s="98" t="s">
        <v>2575</v>
      </c>
      <c r="B302" s="80" t="s">
        <v>2682</v>
      </c>
      <c r="C302" s="80" t="s">
        <v>2660</v>
      </c>
      <c r="D302" s="80" t="s">
        <v>2647</v>
      </c>
      <c r="E302" s="80" t="s">
        <v>2643</v>
      </c>
      <c r="F302" s="80" t="s">
        <v>2372</v>
      </c>
      <c r="G302" s="80" t="s">
        <v>2694</v>
      </c>
      <c r="H302" s="79">
        <v>5</v>
      </c>
      <c r="I302" s="79">
        <v>3395.71</v>
      </c>
      <c r="J302" s="79">
        <v>16978.55</v>
      </c>
    </row>
    <row r="303" spans="1:10" ht="15" thickBot="1">
      <c r="A303" s="98">
        <v>45118</v>
      </c>
      <c r="B303" s="80" t="s">
        <v>2681</v>
      </c>
      <c r="C303" s="80" t="s">
        <v>2656</v>
      </c>
      <c r="D303" s="80" t="s">
        <v>2648</v>
      </c>
      <c r="E303" s="80" t="s">
        <v>2641</v>
      </c>
      <c r="F303" s="80" t="s">
        <v>2374</v>
      </c>
      <c r="G303" s="80" t="s">
        <v>2700</v>
      </c>
      <c r="H303" s="79">
        <v>2</v>
      </c>
      <c r="I303" s="79">
        <v>4050.46</v>
      </c>
      <c r="J303" s="79">
        <v>8100.92</v>
      </c>
    </row>
    <row r="304" spans="1:10" ht="15" thickBot="1">
      <c r="A304" s="98">
        <v>44993</v>
      </c>
      <c r="B304" s="80" t="s">
        <v>2685</v>
      </c>
      <c r="C304" s="80" t="s">
        <v>2657</v>
      </c>
      <c r="D304" s="80" t="s">
        <v>2648</v>
      </c>
      <c r="E304" s="80" t="s">
        <v>2641</v>
      </c>
      <c r="F304" s="80" t="s">
        <v>2372</v>
      </c>
      <c r="G304" s="80" t="s">
        <v>2690</v>
      </c>
      <c r="H304" s="79">
        <v>6</v>
      </c>
      <c r="I304" s="79">
        <v>3617.81</v>
      </c>
      <c r="J304" s="79">
        <v>21706.86</v>
      </c>
    </row>
    <row r="305" spans="1:10" ht="15" thickBot="1">
      <c r="A305" s="98" t="s">
        <v>2539</v>
      </c>
      <c r="B305" s="80" t="s">
        <v>2681</v>
      </c>
      <c r="C305" s="80" t="s">
        <v>2654</v>
      </c>
      <c r="D305" s="80" t="s">
        <v>2646</v>
      </c>
      <c r="E305" s="80" t="s">
        <v>2642</v>
      </c>
      <c r="F305" s="80" t="s">
        <v>2661</v>
      </c>
      <c r="G305" s="80" t="s">
        <v>2695</v>
      </c>
      <c r="H305" s="79">
        <v>11</v>
      </c>
      <c r="I305" s="79">
        <v>1527.71</v>
      </c>
      <c r="J305" s="79">
        <v>16804.810000000001</v>
      </c>
    </row>
    <row r="306" spans="1:10" ht="15" thickBot="1">
      <c r="A306" s="98">
        <v>45079</v>
      </c>
      <c r="B306" s="80" t="s">
        <v>2685</v>
      </c>
      <c r="C306" s="80" t="s">
        <v>2652</v>
      </c>
      <c r="D306" s="80" t="s">
        <v>2647</v>
      </c>
      <c r="E306" s="80" t="s">
        <v>2643</v>
      </c>
      <c r="F306" s="80" t="s">
        <v>2370</v>
      </c>
      <c r="G306" s="80" t="s">
        <v>2702</v>
      </c>
      <c r="H306" s="79">
        <v>7</v>
      </c>
      <c r="I306" s="79">
        <v>1420.32</v>
      </c>
      <c r="J306" s="79">
        <v>9942.24</v>
      </c>
    </row>
    <row r="307" spans="1:10" ht="15" thickBot="1">
      <c r="A307" s="98" t="s">
        <v>2497</v>
      </c>
      <c r="B307" s="80" t="s">
        <v>2682</v>
      </c>
      <c r="C307" s="80" t="s">
        <v>2651</v>
      </c>
      <c r="D307" s="80" t="s">
        <v>2646</v>
      </c>
      <c r="E307" s="80" t="s">
        <v>2642</v>
      </c>
      <c r="F307" s="80" t="s">
        <v>2370</v>
      </c>
      <c r="G307" s="80" t="s">
        <v>1335</v>
      </c>
      <c r="H307" s="79">
        <v>17</v>
      </c>
      <c r="I307" s="79">
        <v>1336.86</v>
      </c>
      <c r="J307" s="79">
        <v>22726.62</v>
      </c>
    </row>
    <row r="308" spans="1:10" ht="15" thickBot="1">
      <c r="A308" s="98">
        <v>45200</v>
      </c>
      <c r="B308" s="80" t="s">
        <v>2678</v>
      </c>
      <c r="C308" s="80" t="s">
        <v>2657</v>
      </c>
      <c r="D308" s="80" t="s">
        <v>2648</v>
      </c>
      <c r="E308" s="80" t="s">
        <v>2641</v>
      </c>
      <c r="F308" s="80" t="s">
        <v>2372</v>
      </c>
      <c r="G308" s="80" t="s">
        <v>2690</v>
      </c>
      <c r="H308" s="79">
        <v>15</v>
      </c>
      <c r="I308" s="79">
        <v>359.4</v>
      </c>
      <c r="J308" s="79">
        <v>5391</v>
      </c>
    </row>
    <row r="309" spans="1:10" ht="15" thickBot="1">
      <c r="A309" s="98" t="s">
        <v>2587</v>
      </c>
      <c r="B309" s="80" t="s">
        <v>2686</v>
      </c>
      <c r="C309" s="80" t="s">
        <v>2652</v>
      </c>
      <c r="D309" s="80" t="s">
        <v>2647</v>
      </c>
      <c r="E309" s="80" t="s">
        <v>2643</v>
      </c>
      <c r="F309" s="80" t="s">
        <v>2373</v>
      </c>
      <c r="G309" s="80" t="s">
        <v>2705</v>
      </c>
      <c r="H309" s="79">
        <v>6</v>
      </c>
      <c r="I309" s="79">
        <v>4109.0200000000004</v>
      </c>
      <c r="J309" s="79">
        <v>24654.12</v>
      </c>
    </row>
    <row r="310" spans="1:10" ht="15" thickBot="1">
      <c r="A310" s="98">
        <v>45140</v>
      </c>
      <c r="B310" s="80" t="s">
        <v>2680</v>
      </c>
      <c r="C310" s="80" t="s">
        <v>2658</v>
      </c>
      <c r="D310" s="80" t="s">
        <v>2645</v>
      </c>
      <c r="E310" s="80" t="s">
        <v>2642</v>
      </c>
      <c r="F310" s="80" t="s">
        <v>2373</v>
      </c>
      <c r="G310" s="80" t="s">
        <v>2688</v>
      </c>
      <c r="H310" s="79">
        <v>12</v>
      </c>
      <c r="I310" s="79">
        <v>3700.23</v>
      </c>
      <c r="J310" s="79">
        <v>44402.76</v>
      </c>
    </row>
    <row r="311" spans="1:10" ht="15" thickBot="1">
      <c r="A311" s="98" t="s">
        <v>2543</v>
      </c>
      <c r="B311" s="80" t="s">
        <v>2681</v>
      </c>
      <c r="C311" s="80" t="s">
        <v>2651</v>
      </c>
      <c r="D311" s="80" t="s">
        <v>2646</v>
      </c>
      <c r="E311" s="80" t="s">
        <v>2642</v>
      </c>
      <c r="F311" s="80" t="s">
        <v>2373</v>
      </c>
      <c r="G311" s="80" t="s">
        <v>2705</v>
      </c>
      <c r="H311" s="79">
        <v>5</v>
      </c>
      <c r="I311" s="79">
        <v>221.41</v>
      </c>
      <c r="J311" s="79">
        <v>1107.05</v>
      </c>
    </row>
    <row r="312" spans="1:10" ht="15" thickBot="1">
      <c r="A312" s="98" t="s">
        <v>2632</v>
      </c>
      <c r="B312" s="80" t="s">
        <v>2686</v>
      </c>
      <c r="C312" s="80" t="s">
        <v>2655</v>
      </c>
      <c r="D312" s="80" t="s">
        <v>2645</v>
      </c>
      <c r="E312" s="80" t="s">
        <v>2642</v>
      </c>
      <c r="F312" s="80" t="s">
        <v>2372</v>
      </c>
      <c r="G312" s="80" t="s">
        <v>2690</v>
      </c>
      <c r="H312" s="79">
        <v>12</v>
      </c>
      <c r="I312" s="79">
        <v>4446.1499999999996</v>
      </c>
      <c r="J312" s="79">
        <v>53353.8</v>
      </c>
    </row>
    <row r="313" spans="1:10" ht="15" thickBot="1">
      <c r="A313" s="98">
        <v>45145</v>
      </c>
      <c r="B313" s="80" t="s">
        <v>2682</v>
      </c>
      <c r="C313" s="80" t="s">
        <v>2655</v>
      </c>
      <c r="D313" s="80" t="s">
        <v>2645</v>
      </c>
      <c r="E313" s="80" t="s">
        <v>2642</v>
      </c>
      <c r="F313" s="80" t="s">
        <v>2661</v>
      </c>
      <c r="G313" s="80" t="s">
        <v>2691</v>
      </c>
      <c r="H313" s="79">
        <v>12</v>
      </c>
      <c r="I313" s="79">
        <v>2393.9699999999998</v>
      </c>
      <c r="J313" s="79">
        <v>28727.64</v>
      </c>
    </row>
    <row r="314" spans="1:10" ht="15" thickBot="1">
      <c r="A314" s="98">
        <v>45266</v>
      </c>
      <c r="B314" s="80" t="s">
        <v>2683</v>
      </c>
      <c r="C314" s="80" t="s">
        <v>2660</v>
      </c>
      <c r="D314" s="80" t="s">
        <v>2647</v>
      </c>
      <c r="E314" s="80" t="s">
        <v>2643</v>
      </c>
      <c r="F314" s="80" t="s">
        <v>2661</v>
      </c>
      <c r="G314" s="80" t="s">
        <v>2696</v>
      </c>
      <c r="H314" s="79">
        <v>7</v>
      </c>
      <c r="I314" s="79">
        <v>256.57</v>
      </c>
      <c r="J314" s="79">
        <v>1795.99</v>
      </c>
    </row>
    <row r="315" spans="1:10" ht="15" thickBot="1">
      <c r="A315" s="98" t="s">
        <v>2564</v>
      </c>
      <c r="B315" s="80" t="s">
        <v>2686</v>
      </c>
      <c r="C315" s="80" t="s">
        <v>2650</v>
      </c>
      <c r="D315" s="80" t="s">
        <v>2646</v>
      </c>
      <c r="E315" s="80" t="s">
        <v>2642</v>
      </c>
      <c r="F315" s="80" t="s">
        <v>2372</v>
      </c>
      <c r="G315" s="80" t="s">
        <v>2699</v>
      </c>
      <c r="H315" s="79">
        <v>9</v>
      </c>
      <c r="I315" s="79">
        <v>4218.3599999999997</v>
      </c>
      <c r="J315" s="79">
        <v>37965.24</v>
      </c>
    </row>
    <row r="316" spans="1:10" ht="15" thickBot="1">
      <c r="A316" s="98" t="s">
        <v>2555</v>
      </c>
      <c r="B316" s="80" t="s">
        <v>2682</v>
      </c>
      <c r="C316" s="80" t="s">
        <v>2660</v>
      </c>
      <c r="D316" s="80" t="s">
        <v>2647</v>
      </c>
      <c r="E316" s="80" t="s">
        <v>2643</v>
      </c>
      <c r="F316" s="80" t="s">
        <v>2372</v>
      </c>
      <c r="G316" s="80" t="s">
        <v>2693</v>
      </c>
      <c r="H316" s="79">
        <v>8</v>
      </c>
      <c r="I316" s="79">
        <v>4930.67</v>
      </c>
      <c r="J316" s="79">
        <v>39445.360000000001</v>
      </c>
    </row>
    <row r="317" spans="1:10" ht="15" thickBot="1">
      <c r="A317" s="98" t="s">
        <v>2513</v>
      </c>
      <c r="B317" s="80" t="s">
        <v>2679</v>
      </c>
      <c r="C317" s="80" t="s">
        <v>2651</v>
      </c>
      <c r="D317" s="80" t="s">
        <v>2646</v>
      </c>
      <c r="E317" s="80" t="s">
        <v>2642</v>
      </c>
      <c r="F317" s="80" t="s">
        <v>2372</v>
      </c>
      <c r="G317" s="80" t="s">
        <v>2693</v>
      </c>
      <c r="H317" s="79">
        <v>2</v>
      </c>
      <c r="I317" s="79">
        <v>1264.68</v>
      </c>
      <c r="J317" s="79">
        <v>2529.36</v>
      </c>
    </row>
    <row r="318" spans="1:10" ht="15" thickBot="1">
      <c r="A318" s="98">
        <v>45113</v>
      </c>
      <c r="B318" s="80" t="s">
        <v>2678</v>
      </c>
      <c r="C318" s="80" t="s">
        <v>2393</v>
      </c>
      <c r="D318" s="80" t="s">
        <v>2644</v>
      </c>
      <c r="E318" s="80" t="s">
        <v>2641</v>
      </c>
      <c r="F318" s="80" t="s">
        <v>2374</v>
      </c>
      <c r="G318" s="80" t="s">
        <v>2692</v>
      </c>
      <c r="H318" s="79">
        <v>16</v>
      </c>
      <c r="I318" s="79">
        <v>2192.7399999999998</v>
      </c>
      <c r="J318" s="79">
        <v>35083.839999999997</v>
      </c>
    </row>
    <row r="319" spans="1:10" ht="15" thickBot="1">
      <c r="A319" s="98" t="s">
        <v>2506</v>
      </c>
      <c r="B319" s="80" t="s">
        <v>2679</v>
      </c>
      <c r="C319" s="80" t="s">
        <v>2393</v>
      </c>
      <c r="D319" s="80" t="s">
        <v>2644</v>
      </c>
      <c r="E319" s="80" t="s">
        <v>2641</v>
      </c>
      <c r="F319" s="80" t="s">
        <v>2661</v>
      </c>
      <c r="G319" s="80" t="s">
        <v>2695</v>
      </c>
      <c r="H319" s="79">
        <v>14</v>
      </c>
      <c r="I319" s="79">
        <v>3943.42</v>
      </c>
      <c r="J319" s="79">
        <v>55207.88</v>
      </c>
    </row>
    <row r="320" spans="1:10" ht="15" thickBot="1">
      <c r="A320" s="98">
        <v>44994</v>
      </c>
      <c r="B320" s="80" t="s">
        <v>2685</v>
      </c>
      <c r="C320" s="80" t="s">
        <v>2396</v>
      </c>
      <c r="D320" s="80" t="s">
        <v>2648</v>
      </c>
      <c r="E320" s="80" t="s">
        <v>2641</v>
      </c>
      <c r="F320" s="80" t="s">
        <v>2661</v>
      </c>
      <c r="G320" s="80" t="s">
        <v>2698</v>
      </c>
      <c r="H320" s="79">
        <v>11</v>
      </c>
      <c r="I320" s="79">
        <v>2951.18</v>
      </c>
      <c r="J320" s="79">
        <v>32462.98</v>
      </c>
    </row>
    <row r="321" spans="1:10" ht="15" thickBot="1">
      <c r="A321" s="98" t="s">
        <v>2674</v>
      </c>
      <c r="B321" s="80" t="s">
        <v>2684</v>
      </c>
      <c r="C321" s="80" t="s">
        <v>2651</v>
      </c>
      <c r="D321" s="80" t="s">
        <v>2646</v>
      </c>
      <c r="E321" s="80" t="s">
        <v>2642</v>
      </c>
      <c r="F321" s="80" t="s">
        <v>2661</v>
      </c>
      <c r="G321" s="80" t="s">
        <v>2696</v>
      </c>
      <c r="H321" s="79">
        <v>11</v>
      </c>
      <c r="I321" s="79">
        <v>4325.83</v>
      </c>
      <c r="J321" s="79">
        <v>47584.13</v>
      </c>
    </row>
    <row r="322" spans="1:10" ht="15" thickBot="1">
      <c r="A322" s="98" t="s">
        <v>2505</v>
      </c>
      <c r="B322" s="80" t="s">
        <v>2684</v>
      </c>
      <c r="C322" s="80" t="s">
        <v>2396</v>
      </c>
      <c r="D322" s="80" t="s">
        <v>2648</v>
      </c>
      <c r="E322" s="80" t="s">
        <v>2641</v>
      </c>
      <c r="F322" s="80" t="s">
        <v>2370</v>
      </c>
      <c r="G322" s="80" t="s">
        <v>2702</v>
      </c>
      <c r="H322" s="79">
        <v>2</v>
      </c>
      <c r="I322" s="79">
        <v>1417.87</v>
      </c>
      <c r="J322" s="79">
        <v>2835.74</v>
      </c>
    </row>
    <row r="323" spans="1:10" ht="15" thickBot="1">
      <c r="A323" s="98" t="s">
        <v>2453</v>
      </c>
      <c r="B323" s="80" t="s">
        <v>2684</v>
      </c>
      <c r="C323" s="80" t="s">
        <v>2392</v>
      </c>
      <c r="D323" s="80" t="s">
        <v>2644</v>
      </c>
      <c r="E323" s="80" t="s">
        <v>2641</v>
      </c>
      <c r="F323" s="80" t="s">
        <v>2374</v>
      </c>
      <c r="G323" s="80" t="s">
        <v>2689</v>
      </c>
      <c r="H323" s="79">
        <v>13</v>
      </c>
      <c r="I323" s="79">
        <v>2511.64</v>
      </c>
      <c r="J323" s="79">
        <v>32651.32</v>
      </c>
    </row>
    <row r="324" spans="1:10" ht="15" thickBot="1">
      <c r="A324" s="98">
        <v>44931</v>
      </c>
      <c r="B324" s="80" t="s">
        <v>2685</v>
      </c>
      <c r="C324" s="80" t="s">
        <v>2392</v>
      </c>
      <c r="D324" s="80" t="s">
        <v>2644</v>
      </c>
      <c r="E324" s="80" t="s">
        <v>2641</v>
      </c>
      <c r="F324" s="80" t="s">
        <v>2373</v>
      </c>
      <c r="G324" s="80" t="s">
        <v>2688</v>
      </c>
      <c r="H324" s="79">
        <v>7</v>
      </c>
      <c r="I324" s="79">
        <v>862.76</v>
      </c>
      <c r="J324" s="79">
        <v>6039.32</v>
      </c>
    </row>
    <row r="325" spans="1:10" ht="15" thickBot="1">
      <c r="A325" s="98">
        <v>44936</v>
      </c>
      <c r="B325" s="80" t="s">
        <v>2679</v>
      </c>
      <c r="C325" s="80" t="s">
        <v>2649</v>
      </c>
      <c r="D325" s="80" t="s">
        <v>2645</v>
      </c>
      <c r="E325" s="80" t="s">
        <v>2642</v>
      </c>
      <c r="F325" s="80" t="s">
        <v>2372</v>
      </c>
      <c r="G325" s="80" t="s">
        <v>2699</v>
      </c>
      <c r="H325" s="79">
        <v>18</v>
      </c>
      <c r="I325" s="79">
        <v>1412.15</v>
      </c>
      <c r="J325" s="79">
        <v>25418.7</v>
      </c>
    </row>
    <row r="326" spans="1:10" ht="15" thickBot="1">
      <c r="A326" s="98">
        <v>45261</v>
      </c>
      <c r="B326" s="80" t="s">
        <v>2685</v>
      </c>
      <c r="C326" s="80" t="s">
        <v>2657</v>
      </c>
      <c r="D326" s="80" t="s">
        <v>2648</v>
      </c>
      <c r="E326" s="80" t="s">
        <v>2641</v>
      </c>
      <c r="F326" s="80" t="s">
        <v>2374</v>
      </c>
      <c r="G326" s="80" t="s">
        <v>2689</v>
      </c>
      <c r="H326" s="79">
        <v>6</v>
      </c>
      <c r="I326" s="79">
        <v>3295.29</v>
      </c>
      <c r="J326" s="79">
        <v>19771.740000000002</v>
      </c>
    </row>
    <row r="327" spans="1:10" ht="15" thickBot="1">
      <c r="A327" s="98" t="s">
        <v>2592</v>
      </c>
      <c r="B327" s="80" t="s">
        <v>2687</v>
      </c>
      <c r="C327" s="80" t="s">
        <v>2654</v>
      </c>
      <c r="D327" s="80" t="s">
        <v>2646</v>
      </c>
      <c r="E327" s="80" t="s">
        <v>2642</v>
      </c>
      <c r="F327" s="80" t="s">
        <v>2374</v>
      </c>
      <c r="G327" s="80" t="s">
        <v>2700</v>
      </c>
      <c r="H327" s="79">
        <v>18</v>
      </c>
      <c r="I327" s="79">
        <v>4132.6899999999996</v>
      </c>
      <c r="J327" s="79">
        <v>74388.42</v>
      </c>
    </row>
    <row r="328" spans="1:10" ht="15" thickBot="1">
      <c r="A328" s="98">
        <v>45179</v>
      </c>
      <c r="B328" s="80" t="s">
        <v>2680</v>
      </c>
      <c r="C328" s="80" t="s">
        <v>2651</v>
      </c>
      <c r="D328" s="80" t="s">
        <v>2646</v>
      </c>
      <c r="E328" s="80" t="s">
        <v>2642</v>
      </c>
      <c r="F328" s="80" t="s">
        <v>2370</v>
      </c>
      <c r="G328" s="80" t="s">
        <v>2701</v>
      </c>
      <c r="H328" s="79">
        <v>7</v>
      </c>
      <c r="I328" s="79">
        <v>1557.83</v>
      </c>
      <c r="J328" s="79">
        <v>10904.81</v>
      </c>
    </row>
    <row r="329" spans="1:10" ht="15" thickBot="1">
      <c r="A329" s="98" t="s">
        <v>2619</v>
      </c>
      <c r="B329" s="80" t="s">
        <v>2686</v>
      </c>
      <c r="C329" s="80" t="s">
        <v>2660</v>
      </c>
      <c r="D329" s="80" t="s">
        <v>2647</v>
      </c>
      <c r="E329" s="80" t="s">
        <v>2643</v>
      </c>
      <c r="F329" s="80" t="s">
        <v>2374</v>
      </c>
      <c r="G329" s="80" t="s">
        <v>2692</v>
      </c>
      <c r="H329" s="79">
        <v>7</v>
      </c>
      <c r="I329" s="79">
        <v>4673.3100000000004</v>
      </c>
      <c r="J329" s="79">
        <v>32713.17</v>
      </c>
    </row>
    <row r="330" spans="1:10" ht="15" thickBot="1">
      <c r="A330" s="98" t="s">
        <v>2469</v>
      </c>
      <c r="B330" s="80" t="s">
        <v>2680</v>
      </c>
      <c r="C330" s="80" t="s">
        <v>2392</v>
      </c>
      <c r="D330" s="80" t="s">
        <v>2644</v>
      </c>
      <c r="E330" s="80" t="s">
        <v>2641</v>
      </c>
      <c r="F330" s="80" t="s">
        <v>2661</v>
      </c>
      <c r="G330" s="80" t="s">
        <v>2698</v>
      </c>
      <c r="H330" s="79">
        <v>5</v>
      </c>
      <c r="I330" s="79">
        <v>3775.72</v>
      </c>
      <c r="J330" s="79">
        <v>18878.599999999999</v>
      </c>
    </row>
    <row r="331" spans="1:10" ht="15" thickBot="1">
      <c r="A331" s="98" t="s">
        <v>2550</v>
      </c>
      <c r="B331" s="80" t="s">
        <v>2685</v>
      </c>
      <c r="C331" s="80" t="s">
        <v>2392</v>
      </c>
      <c r="D331" s="80" t="s">
        <v>2644</v>
      </c>
      <c r="E331" s="80" t="s">
        <v>2641</v>
      </c>
      <c r="F331" s="80" t="s">
        <v>2373</v>
      </c>
      <c r="G331" s="80" t="s">
        <v>2697</v>
      </c>
      <c r="H331" s="79">
        <v>6</v>
      </c>
      <c r="I331" s="79">
        <v>3524.48</v>
      </c>
      <c r="J331" s="79">
        <v>21146.880000000001</v>
      </c>
    </row>
    <row r="332" spans="1:10" ht="15" thickBot="1">
      <c r="A332" s="98" t="s">
        <v>2529</v>
      </c>
      <c r="B332" s="80" t="s">
        <v>2681</v>
      </c>
      <c r="C332" s="80" t="s">
        <v>2396</v>
      </c>
      <c r="D332" s="80" t="s">
        <v>2648</v>
      </c>
      <c r="E332" s="80" t="s">
        <v>2641</v>
      </c>
      <c r="F332" s="80" t="s">
        <v>2370</v>
      </c>
      <c r="G332" s="80" t="s">
        <v>1336</v>
      </c>
      <c r="H332" s="79">
        <v>1</v>
      </c>
      <c r="I332" s="79">
        <v>2961.1</v>
      </c>
      <c r="J332" s="79">
        <v>2961.1</v>
      </c>
    </row>
    <row r="333" spans="1:10" ht="15" thickBot="1">
      <c r="A333" s="98">
        <v>44930</v>
      </c>
      <c r="B333" s="80" t="s">
        <v>2680</v>
      </c>
      <c r="C333" s="80" t="s">
        <v>2658</v>
      </c>
      <c r="D333" s="80" t="s">
        <v>2645</v>
      </c>
      <c r="E333" s="80" t="s">
        <v>2642</v>
      </c>
      <c r="F333" s="80" t="s">
        <v>2374</v>
      </c>
      <c r="G333" s="80" t="s">
        <v>2704</v>
      </c>
      <c r="H333" s="79">
        <v>13</v>
      </c>
      <c r="I333" s="79">
        <v>513.05999999999995</v>
      </c>
      <c r="J333" s="79">
        <v>6669.78</v>
      </c>
    </row>
    <row r="334" spans="1:10" ht="15" thickBot="1">
      <c r="A334" s="98" t="s">
        <v>2588</v>
      </c>
      <c r="B334" s="80" t="s">
        <v>2680</v>
      </c>
      <c r="C334" s="80" t="s">
        <v>2658</v>
      </c>
      <c r="D334" s="80" t="s">
        <v>2645</v>
      </c>
      <c r="E334" s="80" t="s">
        <v>2642</v>
      </c>
      <c r="F334" s="80" t="s">
        <v>2373</v>
      </c>
      <c r="G334" s="80" t="s">
        <v>2703</v>
      </c>
      <c r="H334" s="79">
        <v>3</v>
      </c>
      <c r="I334" s="79">
        <v>953.26</v>
      </c>
      <c r="J334" s="79">
        <v>2859.78</v>
      </c>
    </row>
    <row r="335" spans="1:10" ht="15" thickBot="1">
      <c r="A335" s="98" t="s">
        <v>2549</v>
      </c>
      <c r="B335" s="80" t="s">
        <v>2678</v>
      </c>
      <c r="C335" s="80" t="s">
        <v>2659</v>
      </c>
      <c r="D335" s="80" t="s">
        <v>2647</v>
      </c>
      <c r="E335" s="80" t="s">
        <v>2643</v>
      </c>
      <c r="F335" s="80" t="s">
        <v>2374</v>
      </c>
      <c r="G335" s="80" t="s">
        <v>2692</v>
      </c>
      <c r="H335" s="79">
        <v>2</v>
      </c>
      <c r="I335" s="79">
        <v>1189.6500000000001</v>
      </c>
      <c r="J335" s="79">
        <v>2379.3000000000002</v>
      </c>
    </row>
    <row r="336" spans="1:10" ht="15" thickBot="1">
      <c r="A336" s="98">
        <v>44933</v>
      </c>
      <c r="B336" s="80" t="s">
        <v>2686</v>
      </c>
      <c r="C336" s="80" t="s">
        <v>2658</v>
      </c>
      <c r="D336" s="80" t="s">
        <v>2645</v>
      </c>
      <c r="E336" s="80" t="s">
        <v>2642</v>
      </c>
      <c r="F336" s="80" t="s">
        <v>2374</v>
      </c>
      <c r="G336" s="80" t="s">
        <v>2692</v>
      </c>
      <c r="H336" s="79">
        <v>1</v>
      </c>
      <c r="I336" s="79">
        <v>1915.3</v>
      </c>
      <c r="J336" s="79">
        <v>1915.3</v>
      </c>
    </row>
    <row r="337" spans="1:10" ht="15" thickBot="1">
      <c r="A337" s="98">
        <v>45178</v>
      </c>
      <c r="B337" s="80" t="s">
        <v>2685</v>
      </c>
      <c r="C337" s="80" t="s">
        <v>2650</v>
      </c>
      <c r="D337" s="80" t="s">
        <v>2646</v>
      </c>
      <c r="E337" s="80" t="s">
        <v>2642</v>
      </c>
      <c r="F337" s="80" t="s">
        <v>2374</v>
      </c>
      <c r="G337" s="80" t="s">
        <v>2700</v>
      </c>
      <c r="H337" s="79">
        <v>8</v>
      </c>
      <c r="I337" s="79">
        <v>3927.74</v>
      </c>
      <c r="J337" s="79">
        <v>31421.919999999998</v>
      </c>
    </row>
    <row r="338" spans="1:10" ht="15" thickBot="1">
      <c r="A338" s="98" t="s">
        <v>2488</v>
      </c>
      <c r="B338" s="80" t="s">
        <v>2687</v>
      </c>
      <c r="C338" s="80" t="s">
        <v>2652</v>
      </c>
      <c r="D338" s="80" t="s">
        <v>2647</v>
      </c>
      <c r="E338" s="80" t="s">
        <v>2643</v>
      </c>
      <c r="F338" s="80" t="s">
        <v>2372</v>
      </c>
      <c r="G338" s="80" t="s">
        <v>2699</v>
      </c>
      <c r="H338" s="79">
        <v>10</v>
      </c>
      <c r="I338" s="79">
        <v>2682.33</v>
      </c>
      <c r="J338" s="79">
        <v>26823.3</v>
      </c>
    </row>
    <row r="339" spans="1:10" ht="15" thickBot="1">
      <c r="A339" s="98">
        <v>44995</v>
      </c>
      <c r="B339" s="80" t="s">
        <v>2686</v>
      </c>
      <c r="C339" s="80" t="s">
        <v>2651</v>
      </c>
      <c r="D339" s="80" t="s">
        <v>2646</v>
      </c>
      <c r="E339" s="80" t="s">
        <v>2642</v>
      </c>
      <c r="F339" s="80" t="s">
        <v>2370</v>
      </c>
      <c r="G339" s="80" t="s">
        <v>2701</v>
      </c>
      <c r="H339" s="79">
        <v>6</v>
      </c>
      <c r="I339" s="79">
        <v>4086.27</v>
      </c>
      <c r="J339" s="79">
        <v>24517.62</v>
      </c>
    </row>
    <row r="340" spans="1:10" ht="15" thickBot="1">
      <c r="A340" s="98" t="s">
        <v>2568</v>
      </c>
      <c r="B340" s="80" t="s">
        <v>2686</v>
      </c>
      <c r="C340" s="80" t="s">
        <v>2651</v>
      </c>
      <c r="D340" s="80" t="s">
        <v>2646</v>
      </c>
      <c r="E340" s="80" t="s">
        <v>2642</v>
      </c>
      <c r="F340" s="80" t="s">
        <v>2370</v>
      </c>
      <c r="G340" s="80" t="s">
        <v>1335</v>
      </c>
      <c r="H340" s="79">
        <v>8</v>
      </c>
      <c r="I340" s="79">
        <v>827.02</v>
      </c>
      <c r="J340" s="79">
        <v>6616.16</v>
      </c>
    </row>
    <row r="341" spans="1:10" ht="15" thickBot="1">
      <c r="A341" s="98">
        <v>45051</v>
      </c>
      <c r="B341" s="80" t="s">
        <v>2687</v>
      </c>
      <c r="C341" s="80" t="s">
        <v>2659</v>
      </c>
      <c r="D341" s="80" t="s">
        <v>2647</v>
      </c>
      <c r="E341" s="80" t="s">
        <v>2643</v>
      </c>
      <c r="F341" s="80" t="s">
        <v>2661</v>
      </c>
      <c r="G341" s="80" t="s">
        <v>2695</v>
      </c>
      <c r="H341" s="79">
        <v>14</v>
      </c>
      <c r="I341" s="79">
        <v>4728.4399999999996</v>
      </c>
      <c r="J341" s="79">
        <v>66198.16</v>
      </c>
    </row>
    <row r="342" spans="1:10" ht="15" thickBot="1">
      <c r="A342" s="98" t="s">
        <v>2510</v>
      </c>
      <c r="B342" s="80" t="s">
        <v>2681</v>
      </c>
      <c r="C342" s="80" t="s">
        <v>2656</v>
      </c>
      <c r="D342" s="80" t="s">
        <v>2648</v>
      </c>
      <c r="E342" s="80" t="s">
        <v>2641</v>
      </c>
      <c r="F342" s="80" t="s">
        <v>2373</v>
      </c>
      <c r="G342" s="80" t="s">
        <v>2697</v>
      </c>
      <c r="H342" s="79">
        <v>11</v>
      </c>
      <c r="I342" s="79">
        <v>575.73</v>
      </c>
      <c r="J342" s="79">
        <v>6333.03</v>
      </c>
    </row>
    <row r="343" spans="1:10" ht="15" thickBot="1">
      <c r="A343" s="98" t="s">
        <v>2675</v>
      </c>
      <c r="B343" s="80" t="s">
        <v>2680</v>
      </c>
      <c r="C343" s="80" t="s">
        <v>2393</v>
      </c>
      <c r="D343" s="80" t="s">
        <v>2644</v>
      </c>
      <c r="E343" s="80" t="s">
        <v>2641</v>
      </c>
      <c r="F343" s="80" t="s">
        <v>2373</v>
      </c>
      <c r="G343" s="80" t="s">
        <v>2697</v>
      </c>
      <c r="H343" s="79">
        <v>4</v>
      </c>
      <c r="I343" s="79">
        <v>578.35</v>
      </c>
      <c r="J343" s="79">
        <v>2313.4</v>
      </c>
    </row>
    <row r="344" spans="1:10" ht="15" thickBot="1">
      <c r="A344" s="98" t="s">
        <v>2528</v>
      </c>
      <c r="B344" s="80" t="s">
        <v>2685</v>
      </c>
      <c r="C344" s="80" t="s">
        <v>2651</v>
      </c>
      <c r="D344" s="80" t="s">
        <v>2646</v>
      </c>
      <c r="E344" s="80" t="s">
        <v>2642</v>
      </c>
      <c r="F344" s="80" t="s">
        <v>2374</v>
      </c>
      <c r="G344" s="80" t="s">
        <v>2689</v>
      </c>
      <c r="H344" s="79">
        <v>8</v>
      </c>
      <c r="I344" s="79">
        <v>3043.72</v>
      </c>
      <c r="J344" s="79">
        <v>24349.759999999998</v>
      </c>
    </row>
    <row r="345" spans="1:10" ht="15" thickBot="1">
      <c r="A345" s="98" t="s">
        <v>2564</v>
      </c>
      <c r="B345" s="80" t="s">
        <v>2682</v>
      </c>
      <c r="C345" s="80" t="s">
        <v>2649</v>
      </c>
      <c r="D345" s="80" t="s">
        <v>2645</v>
      </c>
      <c r="E345" s="80" t="s">
        <v>2642</v>
      </c>
      <c r="F345" s="80" t="s">
        <v>2373</v>
      </c>
      <c r="G345" s="80" t="s">
        <v>2688</v>
      </c>
      <c r="H345" s="79">
        <v>10</v>
      </c>
      <c r="I345" s="79">
        <v>3339.72</v>
      </c>
      <c r="J345" s="79">
        <v>33397.199999999997</v>
      </c>
    </row>
    <row r="346" spans="1:10" ht="15" thickBot="1">
      <c r="A346" s="98">
        <v>45269</v>
      </c>
      <c r="B346" s="80" t="s">
        <v>2678</v>
      </c>
      <c r="C346" s="80" t="s">
        <v>2659</v>
      </c>
      <c r="D346" s="80" t="s">
        <v>2647</v>
      </c>
      <c r="E346" s="80" t="s">
        <v>2643</v>
      </c>
      <c r="F346" s="80" t="s">
        <v>2373</v>
      </c>
      <c r="G346" s="80" t="s">
        <v>2688</v>
      </c>
      <c r="H346" s="79">
        <v>7</v>
      </c>
      <c r="I346" s="79">
        <v>2286.4</v>
      </c>
      <c r="J346" s="79">
        <v>16004.8</v>
      </c>
    </row>
    <row r="347" spans="1:10" ht="15" thickBot="1">
      <c r="A347" s="98" t="s">
        <v>2530</v>
      </c>
      <c r="B347" s="80" t="s">
        <v>2686</v>
      </c>
      <c r="C347" s="80" t="s">
        <v>2650</v>
      </c>
      <c r="D347" s="80" t="s">
        <v>2646</v>
      </c>
      <c r="E347" s="80" t="s">
        <v>2642</v>
      </c>
      <c r="F347" s="80" t="s">
        <v>2374</v>
      </c>
      <c r="G347" s="80" t="s">
        <v>2700</v>
      </c>
      <c r="H347" s="79">
        <v>6</v>
      </c>
      <c r="I347" s="79">
        <v>4862.26</v>
      </c>
      <c r="J347" s="79">
        <v>29173.56</v>
      </c>
    </row>
    <row r="348" spans="1:10" ht="15" thickBot="1">
      <c r="A348" s="98" t="s">
        <v>2455</v>
      </c>
      <c r="B348" s="80" t="s">
        <v>2684</v>
      </c>
      <c r="C348" s="80" t="s">
        <v>2655</v>
      </c>
      <c r="D348" s="80" t="s">
        <v>2645</v>
      </c>
      <c r="E348" s="80" t="s">
        <v>2642</v>
      </c>
      <c r="F348" s="80" t="s">
        <v>2370</v>
      </c>
      <c r="G348" s="80" t="s">
        <v>1336</v>
      </c>
      <c r="H348" s="79">
        <v>6</v>
      </c>
      <c r="I348" s="79">
        <v>3470.44</v>
      </c>
      <c r="J348" s="79">
        <v>20822.64</v>
      </c>
    </row>
    <row r="349" spans="1:10" ht="15" thickBot="1">
      <c r="A349" s="98" t="s">
        <v>2577</v>
      </c>
      <c r="B349" s="80" t="s">
        <v>2683</v>
      </c>
      <c r="C349" s="80" t="s">
        <v>2653</v>
      </c>
      <c r="D349" s="80" t="s">
        <v>2644</v>
      </c>
      <c r="E349" s="80" t="s">
        <v>2641</v>
      </c>
      <c r="F349" s="80" t="s">
        <v>2372</v>
      </c>
      <c r="G349" s="80" t="s">
        <v>2693</v>
      </c>
      <c r="H349" s="79">
        <v>5</v>
      </c>
      <c r="I349" s="79">
        <v>4175.13</v>
      </c>
      <c r="J349" s="79">
        <v>20875.650000000001</v>
      </c>
    </row>
    <row r="350" spans="1:10" ht="15" thickBot="1">
      <c r="A350" s="98">
        <v>45056</v>
      </c>
      <c r="B350" s="80" t="s">
        <v>2685</v>
      </c>
      <c r="C350" s="80" t="s">
        <v>2658</v>
      </c>
      <c r="D350" s="80" t="s">
        <v>2645</v>
      </c>
      <c r="E350" s="80" t="s">
        <v>2642</v>
      </c>
      <c r="F350" s="80" t="s">
        <v>2661</v>
      </c>
      <c r="G350" s="80" t="s">
        <v>2695</v>
      </c>
      <c r="H350" s="79">
        <v>16</v>
      </c>
      <c r="I350" s="79">
        <v>1880.67</v>
      </c>
      <c r="J350" s="79">
        <v>30090.720000000001</v>
      </c>
    </row>
    <row r="351" spans="1:10" ht="15" thickBot="1">
      <c r="A351" s="98">
        <v>45238</v>
      </c>
      <c r="B351" s="80" t="s">
        <v>2684</v>
      </c>
      <c r="C351" s="80" t="s">
        <v>2652</v>
      </c>
      <c r="D351" s="80" t="s">
        <v>2647</v>
      </c>
      <c r="E351" s="80" t="s">
        <v>2643</v>
      </c>
      <c r="F351" s="80" t="s">
        <v>2370</v>
      </c>
      <c r="G351" s="80" t="s">
        <v>2701</v>
      </c>
      <c r="H351" s="79">
        <v>7</v>
      </c>
      <c r="I351" s="79">
        <v>2187.71</v>
      </c>
      <c r="J351" s="79">
        <v>15313.97</v>
      </c>
    </row>
    <row r="352" spans="1:10" ht="15" thickBot="1">
      <c r="A352" s="98" t="s">
        <v>2667</v>
      </c>
      <c r="B352" s="80" t="s">
        <v>2680</v>
      </c>
      <c r="C352" s="80" t="s">
        <v>2655</v>
      </c>
      <c r="D352" s="80" t="s">
        <v>2645</v>
      </c>
      <c r="E352" s="80" t="s">
        <v>2642</v>
      </c>
      <c r="F352" s="80" t="s">
        <v>2372</v>
      </c>
      <c r="G352" s="80" t="s">
        <v>2694</v>
      </c>
      <c r="H352" s="79">
        <v>14</v>
      </c>
      <c r="I352" s="79">
        <v>1024.22</v>
      </c>
      <c r="J352" s="79">
        <v>14339.08</v>
      </c>
    </row>
    <row r="353" spans="1:10" ht="15" thickBot="1">
      <c r="A353" s="98" t="s">
        <v>2435</v>
      </c>
      <c r="B353" s="80" t="s">
        <v>2686</v>
      </c>
      <c r="C353" s="80" t="s">
        <v>2651</v>
      </c>
      <c r="D353" s="80" t="s">
        <v>2646</v>
      </c>
      <c r="E353" s="80" t="s">
        <v>2642</v>
      </c>
      <c r="F353" s="80" t="s">
        <v>2372</v>
      </c>
      <c r="G353" s="80" t="s">
        <v>2693</v>
      </c>
      <c r="H353" s="79">
        <v>17</v>
      </c>
      <c r="I353" s="79">
        <v>544.41999999999996</v>
      </c>
      <c r="J353" s="79">
        <v>9255.14</v>
      </c>
    </row>
    <row r="354" spans="1:10" ht="15" thickBot="1">
      <c r="A354" s="98" t="s">
        <v>2618</v>
      </c>
      <c r="B354" s="80" t="s">
        <v>2682</v>
      </c>
      <c r="C354" s="80" t="s">
        <v>2392</v>
      </c>
      <c r="D354" s="80" t="s">
        <v>2644</v>
      </c>
      <c r="E354" s="80" t="s">
        <v>2641</v>
      </c>
      <c r="F354" s="80" t="s">
        <v>2374</v>
      </c>
      <c r="G354" s="80" t="s">
        <v>2700</v>
      </c>
      <c r="H354" s="79">
        <v>4</v>
      </c>
      <c r="I354" s="79">
        <v>942.96</v>
      </c>
      <c r="J354" s="79">
        <v>3771.84</v>
      </c>
    </row>
    <row r="355" spans="1:10" ht="15" thickBot="1">
      <c r="A355" s="98">
        <v>45211</v>
      </c>
      <c r="B355" s="80" t="s">
        <v>2686</v>
      </c>
      <c r="C355" s="80" t="s">
        <v>2650</v>
      </c>
      <c r="D355" s="80" t="s">
        <v>2646</v>
      </c>
      <c r="E355" s="80" t="s">
        <v>2642</v>
      </c>
      <c r="F355" s="80" t="s">
        <v>2373</v>
      </c>
      <c r="G355" s="80" t="s">
        <v>2705</v>
      </c>
      <c r="H355" s="79">
        <v>12</v>
      </c>
      <c r="I355" s="79">
        <v>1799.38</v>
      </c>
      <c r="J355" s="79">
        <v>21592.560000000001</v>
      </c>
    </row>
    <row r="356" spans="1:10" ht="15" thickBot="1">
      <c r="A356" s="98" t="s">
        <v>2444</v>
      </c>
      <c r="B356" s="80" t="s">
        <v>2681</v>
      </c>
      <c r="C356" s="80" t="s">
        <v>2650</v>
      </c>
      <c r="D356" s="80" t="s">
        <v>2646</v>
      </c>
      <c r="E356" s="80" t="s">
        <v>2642</v>
      </c>
      <c r="F356" s="80" t="s">
        <v>2372</v>
      </c>
      <c r="G356" s="80" t="s">
        <v>2694</v>
      </c>
      <c r="H356" s="79">
        <v>11</v>
      </c>
      <c r="I356" s="79">
        <v>1634.39</v>
      </c>
      <c r="J356" s="79">
        <v>17978.29</v>
      </c>
    </row>
    <row r="357" spans="1:10" ht="15" thickBot="1">
      <c r="A357" s="98">
        <v>45148</v>
      </c>
      <c r="B357" s="80" t="s">
        <v>2687</v>
      </c>
      <c r="C357" s="80" t="s">
        <v>2392</v>
      </c>
      <c r="D357" s="80" t="s">
        <v>2644</v>
      </c>
      <c r="E357" s="80" t="s">
        <v>2641</v>
      </c>
      <c r="F357" s="80" t="s">
        <v>2373</v>
      </c>
      <c r="G357" s="80" t="s">
        <v>2703</v>
      </c>
      <c r="H357" s="79">
        <v>3</v>
      </c>
      <c r="I357" s="79">
        <v>2950.28</v>
      </c>
      <c r="J357" s="79">
        <v>8850.84</v>
      </c>
    </row>
    <row r="358" spans="1:10" ht="15" thickBot="1">
      <c r="A358" s="98" t="s">
        <v>2676</v>
      </c>
      <c r="B358" s="80" t="s">
        <v>2681</v>
      </c>
      <c r="C358" s="80" t="s">
        <v>2393</v>
      </c>
      <c r="D358" s="80" t="s">
        <v>2644</v>
      </c>
      <c r="E358" s="80" t="s">
        <v>2641</v>
      </c>
      <c r="F358" s="80" t="s">
        <v>2661</v>
      </c>
      <c r="G358" s="80" t="s">
        <v>2698</v>
      </c>
      <c r="H358" s="79">
        <v>10</v>
      </c>
      <c r="I358" s="79">
        <v>4788</v>
      </c>
      <c r="J358" s="79">
        <v>47880</v>
      </c>
    </row>
    <row r="359" spans="1:10" ht="15" thickBot="1">
      <c r="A359" s="98" t="s">
        <v>2618</v>
      </c>
      <c r="B359" s="80" t="s">
        <v>2679</v>
      </c>
      <c r="C359" s="80" t="s">
        <v>2654</v>
      </c>
      <c r="D359" s="80" t="s">
        <v>2646</v>
      </c>
      <c r="E359" s="80" t="s">
        <v>2642</v>
      </c>
      <c r="F359" s="80" t="s">
        <v>2373</v>
      </c>
      <c r="G359" s="80" t="s">
        <v>2697</v>
      </c>
      <c r="H359" s="79">
        <v>8</v>
      </c>
      <c r="I359" s="79">
        <v>1807.67</v>
      </c>
      <c r="J359" s="79">
        <v>14461.36</v>
      </c>
    </row>
    <row r="360" spans="1:10" ht="15" thickBot="1">
      <c r="A360" s="98">
        <v>44967</v>
      </c>
      <c r="B360" s="80" t="s">
        <v>2683</v>
      </c>
      <c r="C360" s="80" t="s">
        <v>2658</v>
      </c>
      <c r="D360" s="80" t="s">
        <v>2645</v>
      </c>
      <c r="E360" s="80" t="s">
        <v>2642</v>
      </c>
      <c r="F360" s="80" t="s">
        <v>2661</v>
      </c>
      <c r="G360" s="80" t="s">
        <v>2698</v>
      </c>
      <c r="H360" s="79">
        <v>19</v>
      </c>
      <c r="I360" s="79">
        <v>797.02</v>
      </c>
      <c r="J360" s="79">
        <v>15143.38</v>
      </c>
    </row>
    <row r="361" spans="1:10" ht="15" thickBot="1">
      <c r="A361" s="98" t="s">
        <v>2512</v>
      </c>
      <c r="B361" s="80" t="s">
        <v>2679</v>
      </c>
      <c r="C361" s="80" t="s">
        <v>2654</v>
      </c>
      <c r="D361" s="80" t="s">
        <v>2646</v>
      </c>
      <c r="E361" s="80" t="s">
        <v>2642</v>
      </c>
      <c r="F361" s="80" t="s">
        <v>2370</v>
      </c>
      <c r="G361" s="80" t="s">
        <v>2701</v>
      </c>
      <c r="H361" s="79">
        <v>2</v>
      </c>
      <c r="I361" s="79">
        <v>1195.99</v>
      </c>
      <c r="J361" s="79">
        <v>2391.98</v>
      </c>
    </row>
    <row r="362" spans="1:10" ht="15" thickBot="1">
      <c r="A362" s="98">
        <v>45082</v>
      </c>
      <c r="B362" s="80" t="s">
        <v>2685</v>
      </c>
      <c r="C362" s="80" t="s">
        <v>2396</v>
      </c>
      <c r="D362" s="80" t="s">
        <v>2648</v>
      </c>
      <c r="E362" s="80" t="s">
        <v>2641</v>
      </c>
      <c r="F362" s="80" t="s">
        <v>2372</v>
      </c>
      <c r="G362" s="80" t="s">
        <v>2699</v>
      </c>
      <c r="H362" s="79">
        <v>20</v>
      </c>
      <c r="I362" s="79">
        <v>2056.65</v>
      </c>
      <c r="J362" s="79">
        <v>41133</v>
      </c>
    </row>
    <row r="363" spans="1:10" ht="15" thickBot="1">
      <c r="A363" s="98">
        <v>45019</v>
      </c>
      <c r="B363" s="80" t="s">
        <v>2685</v>
      </c>
      <c r="C363" s="80" t="s">
        <v>2650</v>
      </c>
      <c r="D363" s="80" t="s">
        <v>2646</v>
      </c>
      <c r="E363" s="80" t="s">
        <v>2642</v>
      </c>
      <c r="F363" s="80" t="s">
        <v>2373</v>
      </c>
      <c r="G363" s="80" t="s">
        <v>2705</v>
      </c>
      <c r="H363" s="79">
        <v>16</v>
      </c>
      <c r="I363" s="79">
        <v>4817.63</v>
      </c>
      <c r="J363" s="79">
        <v>77082.080000000002</v>
      </c>
    </row>
    <row r="364" spans="1:10" ht="15" thickBot="1">
      <c r="A364" s="98" t="s">
        <v>2570</v>
      </c>
      <c r="B364" s="80" t="s">
        <v>2679</v>
      </c>
      <c r="C364" s="80" t="s">
        <v>2649</v>
      </c>
      <c r="D364" s="80" t="s">
        <v>2645</v>
      </c>
      <c r="E364" s="80" t="s">
        <v>2642</v>
      </c>
      <c r="F364" s="80" t="s">
        <v>2372</v>
      </c>
      <c r="G364" s="80" t="s">
        <v>2694</v>
      </c>
      <c r="H364" s="79">
        <v>7</v>
      </c>
      <c r="I364" s="79">
        <v>4950.24</v>
      </c>
      <c r="J364" s="79">
        <v>34651.68</v>
      </c>
    </row>
    <row r="365" spans="1:10" ht="15" thickBot="1">
      <c r="A365" s="98" t="s">
        <v>2606</v>
      </c>
      <c r="B365" s="80" t="s">
        <v>2685</v>
      </c>
      <c r="C365" s="80" t="s">
        <v>2392</v>
      </c>
      <c r="D365" s="80" t="s">
        <v>2644</v>
      </c>
      <c r="E365" s="80" t="s">
        <v>2641</v>
      </c>
      <c r="F365" s="80" t="s">
        <v>2372</v>
      </c>
      <c r="G365" s="80" t="s">
        <v>2694</v>
      </c>
      <c r="H365" s="79">
        <v>9</v>
      </c>
      <c r="I365" s="79">
        <v>2935.97</v>
      </c>
      <c r="J365" s="79">
        <v>26423.73</v>
      </c>
    </row>
    <row r="366" spans="1:10" ht="15" thickBot="1">
      <c r="A366" s="98">
        <v>45181</v>
      </c>
      <c r="B366" s="80" t="s">
        <v>2687</v>
      </c>
      <c r="C366" s="80" t="s">
        <v>2657</v>
      </c>
      <c r="D366" s="80" t="s">
        <v>2648</v>
      </c>
      <c r="E366" s="80" t="s">
        <v>2641</v>
      </c>
      <c r="F366" s="80" t="s">
        <v>2661</v>
      </c>
      <c r="G366" s="80" t="s">
        <v>2691</v>
      </c>
      <c r="H366" s="79">
        <v>9</v>
      </c>
      <c r="I366" s="79">
        <v>3560.8</v>
      </c>
      <c r="J366" s="79">
        <v>32047.200000000001</v>
      </c>
    </row>
    <row r="367" spans="1:10" ht="15" thickBot="1">
      <c r="A367" s="98">
        <v>45141</v>
      </c>
      <c r="B367" s="80" t="s">
        <v>2687</v>
      </c>
      <c r="C367" s="80" t="s">
        <v>2396</v>
      </c>
      <c r="D367" s="80" t="s">
        <v>2648</v>
      </c>
      <c r="E367" s="80" t="s">
        <v>2641</v>
      </c>
      <c r="F367" s="80" t="s">
        <v>2374</v>
      </c>
      <c r="G367" s="80" t="s">
        <v>2704</v>
      </c>
      <c r="H367" s="79">
        <v>11</v>
      </c>
      <c r="I367" s="79">
        <v>4890.92</v>
      </c>
      <c r="J367" s="79">
        <v>53800.12</v>
      </c>
    </row>
    <row r="368" spans="1:10" ht="15" thickBot="1">
      <c r="A368" s="98" t="s">
        <v>2449</v>
      </c>
      <c r="B368" s="80" t="s">
        <v>2682</v>
      </c>
      <c r="C368" s="80" t="s">
        <v>2649</v>
      </c>
      <c r="D368" s="80" t="s">
        <v>2645</v>
      </c>
      <c r="E368" s="80" t="s">
        <v>2642</v>
      </c>
      <c r="F368" s="80" t="s">
        <v>2372</v>
      </c>
      <c r="G368" s="80" t="s">
        <v>2690</v>
      </c>
      <c r="H368" s="79">
        <v>8</v>
      </c>
      <c r="I368" s="79">
        <v>4143.5600000000004</v>
      </c>
      <c r="J368" s="79">
        <v>33148.480000000003</v>
      </c>
    </row>
    <row r="369" spans="1:10" ht="15" thickBot="1">
      <c r="A369" s="98" t="s">
        <v>2633</v>
      </c>
      <c r="B369" s="80" t="s">
        <v>2686</v>
      </c>
      <c r="C369" s="80" t="s">
        <v>2650</v>
      </c>
      <c r="D369" s="80" t="s">
        <v>2646</v>
      </c>
      <c r="E369" s="80" t="s">
        <v>2642</v>
      </c>
      <c r="F369" s="80" t="s">
        <v>2661</v>
      </c>
      <c r="G369" s="80" t="s">
        <v>2698</v>
      </c>
      <c r="H369" s="79">
        <v>4</v>
      </c>
      <c r="I369" s="79">
        <v>2395.66</v>
      </c>
      <c r="J369" s="79">
        <v>9582.64</v>
      </c>
    </row>
    <row r="370" spans="1:10" ht="15" thickBot="1">
      <c r="A370" s="98">
        <v>45177</v>
      </c>
      <c r="B370" s="80" t="s">
        <v>2682</v>
      </c>
      <c r="C370" s="80" t="s">
        <v>2657</v>
      </c>
      <c r="D370" s="80" t="s">
        <v>2648</v>
      </c>
      <c r="E370" s="80" t="s">
        <v>2641</v>
      </c>
      <c r="F370" s="80" t="s">
        <v>2372</v>
      </c>
      <c r="G370" s="80" t="s">
        <v>2693</v>
      </c>
      <c r="H370" s="79">
        <v>18</v>
      </c>
      <c r="I370" s="79">
        <v>1582.02</v>
      </c>
      <c r="J370" s="79">
        <v>28476.36</v>
      </c>
    </row>
    <row r="371" spans="1:10" ht="15" thickBot="1">
      <c r="A371" s="98" t="s">
        <v>2567</v>
      </c>
      <c r="B371" s="80" t="s">
        <v>2678</v>
      </c>
      <c r="C371" s="80" t="s">
        <v>2396</v>
      </c>
      <c r="D371" s="80" t="s">
        <v>2648</v>
      </c>
      <c r="E371" s="80" t="s">
        <v>2641</v>
      </c>
      <c r="F371" s="80" t="s">
        <v>2372</v>
      </c>
      <c r="G371" s="80" t="s">
        <v>2694</v>
      </c>
      <c r="H371" s="79">
        <v>14</v>
      </c>
      <c r="I371" s="79">
        <v>3381.77</v>
      </c>
      <c r="J371" s="79">
        <v>47344.78</v>
      </c>
    </row>
    <row r="372" spans="1:10" ht="15" thickBot="1">
      <c r="A372" s="98" t="s">
        <v>2552</v>
      </c>
      <c r="B372" s="80" t="s">
        <v>2687</v>
      </c>
      <c r="C372" s="80" t="s">
        <v>2658</v>
      </c>
      <c r="D372" s="80" t="s">
        <v>2645</v>
      </c>
      <c r="E372" s="80" t="s">
        <v>2642</v>
      </c>
      <c r="F372" s="80" t="s">
        <v>2374</v>
      </c>
      <c r="G372" s="80" t="s">
        <v>2692</v>
      </c>
      <c r="H372" s="79">
        <v>16</v>
      </c>
      <c r="I372" s="79">
        <v>2580.42</v>
      </c>
      <c r="J372" s="79">
        <v>41286.720000000001</v>
      </c>
    </row>
    <row r="373" spans="1:10" ht="15" thickBot="1">
      <c r="A373" s="98" t="s">
        <v>2577</v>
      </c>
      <c r="B373" s="80" t="s">
        <v>2684</v>
      </c>
      <c r="C373" s="80" t="s">
        <v>2657</v>
      </c>
      <c r="D373" s="80" t="s">
        <v>2648</v>
      </c>
      <c r="E373" s="80" t="s">
        <v>2641</v>
      </c>
      <c r="F373" s="80" t="s">
        <v>2372</v>
      </c>
      <c r="G373" s="80" t="s">
        <v>2694</v>
      </c>
      <c r="H373" s="79">
        <v>3</v>
      </c>
      <c r="I373" s="79">
        <v>3838.25</v>
      </c>
      <c r="J373" s="79">
        <v>11514.75</v>
      </c>
    </row>
    <row r="374" spans="1:10" ht="15" thickBot="1">
      <c r="A374" s="98" t="s">
        <v>2518</v>
      </c>
      <c r="B374" s="80" t="s">
        <v>2684</v>
      </c>
      <c r="C374" s="80" t="s">
        <v>2650</v>
      </c>
      <c r="D374" s="80" t="s">
        <v>2646</v>
      </c>
      <c r="E374" s="80" t="s">
        <v>2642</v>
      </c>
      <c r="F374" s="80" t="s">
        <v>2661</v>
      </c>
      <c r="G374" s="80" t="s">
        <v>2695</v>
      </c>
      <c r="H374" s="79">
        <v>2</v>
      </c>
      <c r="I374" s="79">
        <v>591.6</v>
      </c>
      <c r="J374" s="79">
        <v>1183.2</v>
      </c>
    </row>
    <row r="375" spans="1:10" ht="15" thickBot="1">
      <c r="A375" s="98" t="s">
        <v>2617</v>
      </c>
      <c r="B375" s="80" t="s">
        <v>2680</v>
      </c>
      <c r="C375" s="80" t="s">
        <v>2652</v>
      </c>
      <c r="D375" s="80" t="s">
        <v>2647</v>
      </c>
      <c r="E375" s="80" t="s">
        <v>2643</v>
      </c>
      <c r="F375" s="80" t="s">
        <v>2372</v>
      </c>
      <c r="G375" s="80" t="s">
        <v>2694</v>
      </c>
      <c r="H375" s="79">
        <v>1</v>
      </c>
      <c r="I375" s="79">
        <v>2709.05</v>
      </c>
      <c r="J375" s="79">
        <v>2709.05</v>
      </c>
    </row>
    <row r="376" spans="1:10" ht="15" thickBot="1">
      <c r="A376" s="98">
        <v>45177</v>
      </c>
      <c r="B376" s="80" t="s">
        <v>2681</v>
      </c>
      <c r="C376" s="80" t="s">
        <v>2658</v>
      </c>
      <c r="D376" s="80" t="s">
        <v>2645</v>
      </c>
      <c r="E376" s="80" t="s">
        <v>2642</v>
      </c>
      <c r="F376" s="80" t="s">
        <v>2370</v>
      </c>
      <c r="G376" s="80" t="s">
        <v>2701</v>
      </c>
      <c r="H376" s="79">
        <v>5</v>
      </c>
      <c r="I376" s="79">
        <v>194.7</v>
      </c>
      <c r="J376" s="79">
        <v>973.5</v>
      </c>
    </row>
    <row r="377" spans="1:10" ht="15" thickBot="1">
      <c r="A377" s="98" t="s">
        <v>2442</v>
      </c>
      <c r="B377" s="80" t="s">
        <v>2680</v>
      </c>
      <c r="C377" s="80" t="s">
        <v>2396</v>
      </c>
      <c r="D377" s="80" t="s">
        <v>2648</v>
      </c>
      <c r="E377" s="80" t="s">
        <v>2641</v>
      </c>
      <c r="F377" s="80" t="s">
        <v>2374</v>
      </c>
      <c r="G377" s="80" t="s">
        <v>2692</v>
      </c>
      <c r="H377" s="79">
        <v>4</v>
      </c>
      <c r="I377" s="79">
        <v>900.33</v>
      </c>
      <c r="J377" s="79">
        <v>3601.32</v>
      </c>
    </row>
    <row r="378" spans="1:10" ht="15" thickBot="1">
      <c r="A378" s="98" t="s">
        <v>2542</v>
      </c>
      <c r="B378" s="80" t="s">
        <v>2682</v>
      </c>
      <c r="C378" s="80" t="s">
        <v>2651</v>
      </c>
      <c r="D378" s="80" t="s">
        <v>2646</v>
      </c>
      <c r="E378" s="80" t="s">
        <v>2642</v>
      </c>
      <c r="F378" s="80" t="s">
        <v>2661</v>
      </c>
      <c r="G378" s="80" t="s">
        <v>2691</v>
      </c>
      <c r="H378" s="79">
        <v>13</v>
      </c>
      <c r="I378" s="79">
        <v>3574.45</v>
      </c>
      <c r="J378" s="79">
        <v>46467.85</v>
      </c>
    </row>
    <row r="379" spans="1:10" ht="15" thickBot="1">
      <c r="A379" s="98" t="s">
        <v>2445</v>
      </c>
      <c r="B379" s="80" t="s">
        <v>2679</v>
      </c>
      <c r="C379" s="80" t="s">
        <v>2660</v>
      </c>
      <c r="D379" s="80" t="s">
        <v>2647</v>
      </c>
      <c r="E379" s="80" t="s">
        <v>2643</v>
      </c>
      <c r="F379" s="80" t="s">
        <v>2370</v>
      </c>
      <c r="G379" s="80" t="s">
        <v>1335</v>
      </c>
      <c r="H379" s="79">
        <v>20</v>
      </c>
      <c r="I379" s="79">
        <v>1637.44</v>
      </c>
      <c r="J379" s="79">
        <v>32748.799999999999</v>
      </c>
    </row>
    <row r="380" spans="1:10" ht="15" thickBot="1">
      <c r="A380" s="98" t="s">
        <v>2574</v>
      </c>
      <c r="B380" s="80" t="s">
        <v>2680</v>
      </c>
      <c r="C380" s="80" t="s">
        <v>2655</v>
      </c>
      <c r="D380" s="80" t="s">
        <v>2645</v>
      </c>
      <c r="E380" s="80" t="s">
        <v>2642</v>
      </c>
      <c r="F380" s="80" t="s">
        <v>2373</v>
      </c>
      <c r="G380" s="80" t="s">
        <v>2703</v>
      </c>
      <c r="H380" s="79">
        <v>14</v>
      </c>
      <c r="I380" s="79">
        <v>3177.8</v>
      </c>
      <c r="J380" s="79">
        <v>44489.2</v>
      </c>
    </row>
    <row r="381" spans="1:10" ht="15" thickBot="1">
      <c r="A381" s="98" t="s">
        <v>2441</v>
      </c>
      <c r="B381" s="80" t="s">
        <v>2683</v>
      </c>
      <c r="C381" s="80" t="s">
        <v>2649</v>
      </c>
      <c r="D381" s="80" t="s">
        <v>2645</v>
      </c>
      <c r="E381" s="80" t="s">
        <v>2642</v>
      </c>
      <c r="F381" s="80" t="s">
        <v>2370</v>
      </c>
      <c r="G381" s="80" t="s">
        <v>1336</v>
      </c>
      <c r="H381" s="79">
        <v>1</v>
      </c>
      <c r="I381" s="79">
        <v>3382.37</v>
      </c>
      <c r="J381" s="79">
        <v>3382.37</v>
      </c>
    </row>
    <row r="382" spans="1:10" ht="15" thickBot="1">
      <c r="A382" s="98" t="s">
        <v>2600</v>
      </c>
      <c r="B382" s="80" t="s">
        <v>2678</v>
      </c>
      <c r="C382" s="80" t="s">
        <v>2660</v>
      </c>
      <c r="D382" s="80" t="s">
        <v>2647</v>
      </c>
      <c r="E382" s="80" t="s">
        <v>2643</v>
      </c>
      <c r="F382" s="80" t="s">
        <v>2374</v>
      </c>
      <c r="G382" s="80" t="s">
        <v>2704</v>
      </c>
      <c r="H382" s="79">
        <v>19</v>
      </c>
      <c r="I382" s="79">
        <v>2816.52</v>
      </c>
      <c r="J382" s="79">
        <v>53513.88</v>
      </c>
    </row>
    <row r="383" spans="1:10" ht="15" thickBot="1">
      <c r="A383" s="98" t="s">
        <v>2506</v>
      </c>
      <c r="B383" s="80" t="s">
        <v>2678</v>
      </c>
      <c r="C383" s="80" t="s">
        <v>2652</v>
      </c>
      <c r="D383" s="80" t="s">
        <v>2647</v>
      </c>
      <c r="E383" s="80" t="s">
        <v>2643</v>
      </c>
      <c r="F383" s="80" t="s">
        <v>2661</v>
      </c>
      <c r="G383" s="80" t="s">
        <v>2696</v>
      </c>
      <c r="H383" s="79">
        <v>13</v>
      </c>
      <c r="I383" s="79">
        <v>3417.94</v>
      </c>
      <c r="J383" s="79">
        <v>44433.22</v>
      </c>
    </row>
    <row r="384" spans="1:10" ht="15" thickBot="1">
      <c r="A384" s="98" t="s">
        <v>2519</v>
      </c>
      <c r="B384" s="80" t="s">
        <v>2678</v>
      </c>
      <c r="C384" s="80" t="s">
        <v>2649</v>
      </c>
      <c r="D384" s="80" t="s">
        <v>2645</v>
      </c>
      <c r="E384" s="80" t="s">
        <v>2642</v>
      </c>
      <c r="F384" s="80" t="s">
        <v>2372</v>
      </c>
      <c r="G384" s="80" t="s">
        <v>2699</v>
      </c>
      <c r="H384" s="79">
        <v>14</v>
      </c>
      <c r="I384" s="79">
        <v>917.55</v>
      </c>
      <c r="J384" s="79">
        <v>12845.7</v>
      </c>
    </row>
    <row r="385" spans="1:10" ht="15" thickBot="1">
      <c r="A385" s="98">
        <v>45263</v>
      </c>
      <c r="B385" s="80" t="s">
        <v>2684</v>
      </c>
      <c r="C385" s="80" t="s">
        <v>2653</v>
      </c>
      <c r="D385" s="80" t="s">
        <v>2644</v>
      </c>
      <c r="E385" s="80" t="s">
        <v>2641</v>
      </c>
      <c r="F385" s="80" t="s">
        <v>2370</v>
      </c>
      <c r="G385" s="80" t="s">
        <v>1335</v>
      </c>
      <c r="H385" s="79">
        <v>1</v>
      </c>
      <c r="I385" s="79">
        <v>1598.87</v>
      </c>
      <c r="J385" s="79">
        <v>1598.87</v>
      </c>
    </row>
    <row r="386" spans="1:10" ht="15" thickBot="1">
      <c r="A386" s="98">
        <v>44936</v>
      </c>
      <c r="B386" s="80" t="s">
        <v>2684</v>
      </c>
      <c r="C386" s="80" t="s">
        <v>2660</v>
      </c>
      <c r="D386" s="80" t="s">
        <v>2647</v>
      </c>
      <c r="E386" s="80" t="s">
        <v>2643</v>
      </c>
      <c r="F386" s="80" t="s">
        <v>2373</v>
      </c>
      <c r="G386" s="80" t="s">
        <v>2688</v>
      </c>
      <c r="H386" s="79">
        <v>7</v>
      </c>
      <c r="I386" s="79">
        <v>405.27</v>
      </c>
      <c r="J386" s="79">
        <v>2836.89</v>
      </c>
    </row>
    <row r="387" spans="1:10" ht="15" thickBot="1">
      <c r="A387" s="98">
        <v>45270</v>
      </c>
      <c r="B387" s="80" t="s">
        <v>2684</v>
      </c>
      <c r="C387" s="80" t="s">
        <v>2392</v>
      </c>
      <c r="D387" s="80" t="s">
        <v>2644</v>
      </c>
      <c r="E387" s="80" t="s">
        <v>2641</v>
      </c>
      <c r="F387" s="80" t="s">
        <v>2661</v>
      </c>
      <c r="G387" s="80" t="s">
        <v>2695</v>
      </c>
      <c r="H387" s="79">
        <v>5</v>
      </c>
      <c r="I387" s="79">
        <v>2819.92</v>
      </c>
      <c r="J387" s="79">
        <v>14099.6</v>
      </c>
    </row>
    <row r="388" spans="1:10" ht="15" thickBot="1">
      <c r="A388" s="98" t="s">
        <v>2639</v>
      </c>
      <c r="B388" s="80" t="s">
        <v>2680</v>
      </c>
      <c r="C388" s="80" t="s">
        <v>2649</v>
      </c>
      <c r="D388" s="80" t="s">
        <v>2645</v>
      </c>
      <c r="E388" s="80" t="s">
        <v>2642</v>
      </c>
      <c r="F388" s="80" t="s">
        <v>2370</v>
      </c>
      <c r="G388" s="80" t="s">
        <v>1335</v>
      </c>
      <c r="H388" s="79">
        <v>7</v>
      </c>
      <c r="I388" s="79">
        <v>4023.6</v>
      </c>
      <c r="J388" s="79">
        <v>28165.200000000001</v>
      </c>
    </row>
    <row r="389" spans="1:10" ht="15" thickBot="1">
      <c r="A389" s="98" t="s">
        <v>2667</v>
      </c>
      <c r="B389" s="80" t="s">
        <v>2681</v>
      </c>
      <c r="C389" s="80" t="s">
        <v>2650</v>
      </c>
      <c r="D389" s="80" t="s">
        <v>2646</v>
      </c>
      <c r="E389" s="80" t="s">
        <v>2642</v>
      </c>
      <c r="F389" s="80" t="s">
        <v>2661</v>
      </c>
      <c r="G389" s="80" t="s">
        <v>2695</v>
      </c>
      <c r="H389" s="79">
        <v>6</v>
      </c>
      <c r="I389" s="79">
        <v>4911.79</v>
      </c>
      <c r="J389" s="79">
        <v>29470.74</v>
      </c>
    </row>
    <row r="390" spans="1:10" ht="15" thickBot="1">
      <c r="A390" s="98">
        <v>45210</v>
      </c>
      <c r="B390" s="80" t="s">
        <v>2683</v>
      </c>
      <c r="C390" s="80" t="s">
        <v>2655</v>
      </c>
      <c r="D390" s="80" t="s">
        <v>2645</v>
      </c>
      <c r="E390" s="80" t="s">
        <v>2642</v>
      </c>
      <c r="F390" s="80" t="s">
        <v>2373</v>
      </c>
      <c r="G390" s="80" t="s">
        <v>2697</v>
      </c>
      <c r="H390" s="79">
        <v>7</v>
      </c>
      <c r="I390" s="79">
        <v>2186.75</v>
      </c>
      <c r="J390" s="79">
        <v>15307.25</v>
      </c>
    </row>
    <row r="391" spans="1:10" ht="15" thickBot="1">
      <c r="A391" s="98" t="s">
        <v>2550</v>
      </c>
      <c r="B391" s="80" t="s">
        <v>2687</v>
      </c>
      <c r="C391" s="80" t="s">
        <v>2660</v>
      </c>
      <c r="D391" s="80" t="s">
        <v>2647</v>
      </c>
      <c r="E391" s="80" t="s">
        <v>2643</v>
      </c>
      <c r="F391" s="80" t="s">
        <v>2374</v>
      </c>
      <c r="G391" s="80" t="s">
        <v>2689</v>
      </c>
      <c r="H391" s="79">
        <v>9</v>
      </c>
      <c r="I391" s="79">
        <v>2304.23</v>
      </c>
      <c r="J391" s="79">
        <v>20738.07</v>
      </c>
    </row>
    <row r="392" spans="1:10" ht="15" thickBot="1">
      <c r="A392" s="98">
        <v>45021</v>
      </c>
      <c r="B392" s="80" t="s">
        <v>2683</v>
      </c>
      <c r="C392" s="80" t="s">
        <v>2392</v>
      </c>
      <c r="D392" s="80" t="s">
        <v>2644</v>
      </c>
      <c r="E392" s="80" t="s">
        <v>2641</v>
      </c>
      <c r="F392" s="80" t="s">
        <v>2370</v>
      </c>
      <c r="G392" s="80" t="s">
        <v>1336</v>
      </c>
      <c r="H392" s="79">
        <v>6</v>
      </c>
      <c r="I392" s="79">
        <v>2282.5500000000002</v>
      </c>
      <c r="J392" s="79">
        <v>13695.3</v>
      </c>
    </row>
    <row r="393" spans="1:10" ht="15" thickBot="1">
      <c r="A393" s="98" t="s">
        <v>2442</v>
      </c>
      <c r="B393" s="80" t="s">
        <v>2681</v>
      </c>
      <c r="C393" s="80" t="s">
        <v>2656</v>
      </c>
      <c r="D393" s="80" t="s">
        <v>2648</v>
      </c>
      <c r="E393" s="80" t="s">
        <v>2641</v>
      </c>
      <c r="F393" s="80" t="s">
        <v>2370</v>
      </c>
      <c r="G393" s="80" t="s">
        <v>2701</v>
      </c>
      <c r="H393" s="79">
        <v>4</v>
      </c>
      <c r="I393" s="79">
        <v>4778.2299999999996</v>
      </c>
      <c r="J393" s="79">
        <v>19112.919999999998</v>
      </c>
    </row>
    <row r="394" spans="1:10" ht="15" thickBot="1">
      <c r="A394" s="98">
        <v>44931</v>
      </c>
      <c r="B394" s="80" t="s">
        <v>2684</v>
      </c>
      <c r="C394" s="80" t="s">
        <v>2654</v>
      </c>
      <c r="D394" s="80" t="s">
        <v>2646</v>
      </c>
      <c r="E394" s="80" t="s">
        <v>2642</v>
      </c>
      <c r="F394" s="80" t="s">
        <v>2372</v>
      </c>
      <c r="G394" s="80" t="s">
        <v>2694</v>
      </c>
      <c r="H394" s="79">
        <v>11</v>
      </c>
      <c r="I394" s="79">
        <v>1286.08</v>
      </c>
      <c r="J394" s="79">
        <v>14146.88</v>
      </c>
    </row>
    <row r="395" spans="1:10" ht="15" thickBot="1">
      <c r="A395" s="98" t="s">
        <v>2553</v>
      </c>
      <c r="B395" s="80" t="s">
        <v>2685</v>
      </c>
      <c r="C395" s="80" t="s">
        <v>2393</v>
      </c>
      <c r="D395" s="80" t="s">
        <v>2644</v>
      </c>
      <c r="E395" s="80" t="s">
        <v>2641</v>
      </c>
      <c r="F395" s="80" t="s">
        <v>2370</v>
      </c>
      <c r="G395" s="80" t="s">
        <v>2702</v>
      </c>
      <c r="H395" s="79">
        <v>19</v>
      </c>
      <c r="I395" s="79">
        <v>1844.31</v>
      </c>
      <c r="J395" s="79">
        <v>35041.89</v>
      </c>
    </row>
    <row r="396" spans="1:10" ht="15" thickBot="1">
      <c r="A396" s="98">
        <v>44969</v>
      </c>
      <c r="B396" s="80" t="s">
        <v>2685</v>
      </c>
      <c r="C396" s="80" t="s">
        <v>2656</v>
      </c>
      <c r="D396" s="80" t="s">
        <v>2648</v>
      </c>
      <c r="E396" s="80" t="s">
        <v>2641</v>
      </c>
      <c r="F396" s="80" t="s">
        <v>2372</v>
      </c>
      <c r="G396" s="80" t="s">
        <v>2690</v>
      </c>
      <c r="H396" s="79">
        <v>14</v>
      </c>
      <c r="I396" s="79">
        <v>148.43</v>
      </c>
      <c r="J396" s="79">
        <v>2078.02</v>
      </c>
    </row>
    <row r="397" spans="1:10" ht="15" thickBot="1">
      <c r="A397" s="98">
        <v>45140</v>
      </c>
      <c r="B397" s="80" t="s">
        <v>2685</v>
      </c>
      <c r="C397" s="80" t="s">
        <v>2657</v>
      </c>
      <c r="D397" s="80" t="s">
        <v>2648</v>
      </c>
      <c r="E397" s="80" t="s">
        <v>2641</v>
      </c>
      <c r="F397" s="80" t="s">
        <v>2374</v>
      </c>
      <c r="G397" s="80" t="s">
        <v>2692</v>
      </c>
      <c r="H397" s="79">
        <v>3</v>
      </c>
      <c r="I397" s="79">
        <v>2502.81</v>
      </c>
      <c r="J397" s="79">
        <v>7508.43</v>
      </c>
    </row>
    <row r="398" spans="1:10" ht="15" thickBot="1">
      <c r="A398" s="98">
        <v>45082</v>
      </c>
      <c r="B398" s="80" t="s">
        <v>2687</v>
      </c>
      <c r="C398" s="80" t="s">
        <v>2656</v>
      </c>
      <c r="D398" s="80" t="s">
        <v>2648</v>
      </c>
      <c r="E398" s="80" t="s">
        <v>2641</v>
      </c>
      <c r="F398" s="80" t="s">
        <v>2373</v>
      </c>
      <c r="G398" s="80" t="s">
        <v>2697</v>
      </c>
      <c r="H398" s="79">
        <v>7</v>
      </c>
      <c r="I398" s="79">
        <v>3721.37</v>
      </c>
      <c r="J398" s="79">
        <v>26049.59</v>
      </c>
    </row>
    <row r="399" spans="1:10" ht="15" thickBot="1">
      <c r="A399" s="98" t="s">
        <v>2566</v>
      </c>
      <c r="B399" s="80" t="s">
        <v>2685</v>
      </c>
      <c r="C399" s="80" t="s">
        <v>2654</v>
      </c>
      <c r="D399" s="80" t="s">
        <v>2646</v>
      </c>
      <c r="E399" s="80" t="s">
        <v>2642</v>
      </c>
      <c r="F399" s="80" t="s">
        <v>2373</v>
      </c>
      <c r="G399" s="80" t="s">
        <v>2703</v>
      </c>
      <c r="H399" s="79">
        <v>2</v>
      </c>
      <c r="I399" s="79">
        <v>3719.83</v>
      </c>
      <c r="J399" s="79">
        <v>7439.66</v>
      </c>
    </row>
    <row r="400" spans="1:10" ht="15" thickBot="1">
      <c r="A400" s="98">
        <v>45148</v>
      </c>
      <c r="B400" s="80" t="s">
        <v>2680</v>
      </c>
      <c r="C400" s="80" t="s">
        <v>2659</v>
      </c>
      <c r="D400" s="80" t="s">
        <v>2647</v>
      </c>
      <c r="E400" s="80" t="s">
        <v>2643</v>
      </c>
      <c r="F400" s="80" t="s">
        <v>2372</v>
      </c>
      <c r="G400" s="80" t="s">
        <v>2690</v>
      </c>
      <c r="H400" s="79">
        <v>19</v>
      </c>
      <c r="I400" s="79">
        <v>2862.47</v>
      </c>
      <c r="J400" s="79">
        <v>54386.93</v>
      </c>
    </row>
    <row r="401" spans="1:10" ht="15" thickBot="1">
      <c r="A401" s="98" t="s">
        <v>2580</v>
      </c>
      <c r="B401" s="80" t="s">
        <v>2682</v>
      </c>
      <c r="C401" s="80" t="s">
        <v>2651</v>
      </c>
      <c r="D401" s="80" t="s">
        <v>2646</v>
      </c>
      <c r="E401" s="80" t="s">
        <v>2642</v>
      </c>
      <c r="F401" s="80" t="s">
        <v>2374</v>
      </c>
      <c r="G401" s="80" t="s">
        <v>2689</v>
      </c>
      <c r="H401" s="79">
        <v>5</v>
      </c>
      <c r="I401" s="79">
        <v>4715.05</v>
      </c>
      <c r="J401" s="79">
        <v>23575.25</v>
      </c>
    </row>
    <row r="402" spans="1:10" ht="15" thickBot="1">
      <c r="A402" s="98" t="s">
        <v>2581</v>
      </c>
      <c r="B402" s="80" t="s">
        <v>2680</v>
      </c>
      <c r="C402" s="80" t="s">
        <v>2652</v>
      </c>
      <c r="D402" s="80" t="s">
        <v>2647</v>
      </c>
      <c r="E402" s="80" t="s">
        <v>2643</v>
      </c>
      <c r="F402" s="80" t="s">
        <v>2661</v>
      </c>
      <c r="G402" s="80" t="s">
        <v>2696</v>
      </c>
      <c r="H402" s="79">
        <v>11</v>
      </c>
      <c r="I402" s="79">
        <v>3314</v>
      </c>
      <c r="J402" s="79">
        <v>36454</v>
      </c>
    </row>
    <row r="403" spans="1:10" ht="15" thickBot="1">
      <c r="A403" s="98">
        <v>45174</v>
      </c>
      <c r="B403" s="80" t="s">
        <v>2683</v>
      </c>
      <c r="C403" s="80" t="s">
        <v>2649</v>
      </c>
      <c r="D403" s="80" t="s">
        <v>2645</v>
      </c>
      <c r="E403" s="80" t="s">
        <v>2642</v>
      </c>
      <c r="F403" s="80" t="s">
        <v>2373</v>
      </c>
      <c r="G403" s="80" t="s">
        <v>2688</v>
      </c>
      <c r="H403" s="79">
        <v>3</v>
      </c>
      <c r="I403" s="79">
        <v>4146.75</v>
      </c>
      <c r="J403" s="79">
        <v>12440.25</v>
      </c>
    </row>
    <row r="404" spans="1:10" ht="15" thickBot="1">
      <c r="A404" s="98">
        <v>45054</v>
      </c>
      <c r="B404" s="80" t="s">
        <v>2685</v>
      </c>
      <c r="C404" s="80" t="s">
        <v>2650</v>
      </c>
      <c r="D404" s="80" t="s">
        <v>2646</v>
      </c>
      <c r="E404" s="80" t="s">
        <v>2642</v>
      </c>
      <c r="F404" s="80" t="s">
        <v>2370</v>
      </c>
      <c r="G404" s="80" t="s">
        <v>2702</v>
      </c>
      <c r="H404" s="79">
        <v>4</v>
      </c>
      <c r="I404" s="79">
        <v>4062.52</v>
      </c>
      <c r="J404" s="79">
        <v>16250.08</v>
      </c>
    </row>
    <row r="405" spans="1:10" ht="15" thickBot="1">
      <c r="A405" s="98">
        <v>45141</v>
      </c>
      <c r="B405" s="80" t="s">
        <v>2685</v>
      </c>
      <c r="C405" s="80" t="s">
        <v>2655</v>
      </c>
      <c r="D405" s="80" t="s">
        <v>2645</v>
      </c>
      <c r="E405" s="80" t="s">
        <v>2642</v>
      </c>
      <c r="F405" s="80" t="s">
        <v>2370</v>
      </c>
      <c r="G405" s="80" t="s">
        <v>2702</v>
      </c>
      <c r="H405" s="79">
        <v>4</v>
      </c>
      <c r="I405" s="79">
        <v>3022.21</v>
      </c>
      <c r="J405" s="79">
        <v>12088.84</v>
      </c>
    </row>
    <row r="406" spans="1:10" ht="15" thickBot="1">
      <c r="A406" s="98">
        <v>45019</v>
      </c>
      <c r="B406" s="80" t="s">
        <v>2680</v>
      </c>
      <c r="C406" s="80" t="s">
        <v>2659</v>
      </c>
      <c r="D406" s="80" t="s">
        <v>2647</v>
      </c>
      <c r="E406" s="80" t="s">
        <v>2643</v>
      </c>
      <c r="F406" s="80" t="s">
        <v>2661</v>
      </c>
      <c r="G406" s="80" t="s">
        <v>2695</v>
      </c>
      <c r="H406" s="79">
        <v>7</v>
      </c>
      <c r="I406" s="79">
        <v>217.04</v>
      </c>
      <c r="J406" s="79">
        <v>1519.28</v>
      </c>
    </row>
    <row r="407" spans="1:10" ht="15" thickBot="1">
      <c r="A407" s="98">
        <v>45115</v>
      </c>
      <c r="B407" s="80" t="s">
        <v>2685</v>
      </c>
      <c r="C407" s="80" t="s">
        <v>2655</v>
      </c>
      <c r="D407" s="80" t="s">
        <v>2645</v>
      </c>
      <c r="E407" s="80" t="s">
        <v>2642</v>
      </c>
      <c r="F407" s="80" t="s">
        <v>2661</v>
      </c>
      <c r="G407" s="80" t="s">
        <v>2695</v>
      </c>
      <c r="H407" s="79">
        <v>2</v>
      </c>
      <c r="I407" s="79">
        <v>4883.5600000000004</v>
      </c>
      <c r="J407" s="79">
        <v>9767.1200000000008</v>
      </c>
    </row>
    <row r="408" spans="1:10" ht="15" thickBot="1">
      <c r="A408" s="98" t="s">
        <v>2434</v>
      </c>
      <c r="B408" s="80" t="s">
        <v>2687</v>
      </c>
      <c r="C408" s="80" t="s">
        <v>2657</v>
      </c>
      <c r="D408" s="80" t="s">
        <v>2648</v>
      </c>
      <c r="E408" s="80" t="s">
        <v>2641</v>
      </c>
      <c r="F408" s="80" t="s">
        <v>2370</v>
      </c>
      <c r="G408" s="80" t="s">
        <v>2701</v>
      </c>
      <c r="H408" s="79">
        <v>16</v>
      </c>
      <c r="I408" s="79">
        <v>2015.76</v>
      </c>
      <c r="J408" s="79">
        <v>32252.16</v>
      </c>
    </row>
    <row r="409" spans="1:10" ht="15" thickBot="1">
      <c r="A409" s="98">
        <v>45236</v>
      </c>
      <c r="B409" s="80" t="s">
        <v>2686</v>
      </c>
      <c r="C409" s="80" t="s">
        <v>2658</v>
      </c>
      <c r="D409" s="80" t="s">
        <v>2645</v>
      </c>
      <c r="E409" s="80" t="s">
        <v>2642</v>
      </c>
      <c r="F409" s="80" t="s">
        <v>2661</v>
      </c>
      <c r="G409" s="80" t="s">
        <v>2691</v>
      </c>
      <c r="H409" s="79">
        <v>1</v>
      </c>
      <c r="I409" s="79">
        <v>2777.22</v>
      </c>
      <c r="J409" s="79">
        <v>2777.22</v>
      </c>
    </row>
    <row r="410" spans="1:10" ht="15" thickBot="1">
      <c r="A410" s="98" t="s">
        <v>2533</v>
      </c>
      <c r="B410" s="80" t="s">
        <v>2679</v>
      </c>
      <c r="C410" s="80" t="s">
        <v>2658</v>
      </c>
      <c r="D410" s="80" t="s">
        <v>2645</v>
      </c>
      <c r="E410" s="80" t="s">
        <v>2642</v>
      </c>
      <c r="F410" s="80" t="s">
        <v>2373</v>
      </c>
      <c r="G410" s="80" t="s">
        <v>2697</v>
      </c>
      <c r="H410" s="79">
        <v>13</v>
      </c>
      <c r="I410" s="79">
        <v>4318.62</v>
      </c>
      <c r="J410" s="79">
        <v>56142.06</v>
      </c>
    </row>
    <row r="411" spans="1:10" ht="15" thickBot="1">
      <c r="A411" s="98" t="s">
        <v>2517</v>
      </c>
      <c r="B411" s="80" t="s">
        <v>2687</v>
      </c>
      <c r="C411" s="80" t="s">
        <v>2653</v>
      </c>
      <c r="D411" s="80" t="s">
        <v>2644</v>
      </c>
      <c r="E411" s="80" t="s">
        <v>2641</v>
      </c>
      <c r="F411" s="80" t="s">
        <v>2370</v>
      </c>
      <c r="G411" s="80" t="s">
        <v>2701</v>
      </c>
      <c r="H411" s="79">
        <v>15</v>
      </c>
      <c r="I411" s="79">
        <v>3225.2</v>
      </c>
      <c r="J411" s="79">
        <v>48378</v>
      </c>
    </row>
    <row r="412" spans="1:10" ht="15" thickBot="1">
      <c r="A412" s="98" t="s">
        <v>2528</v>
      </c>
      <c r="B412" s="80" t="s">
        <v>2683</v>
      </c>
      <c r="C412" s="80" t="s">
        <v>2653</v>
      </c>
      <c r="D412" s="80" t="s">
        <v>2644</v>
      </c>
      <c r="E412" s="80" t="s">
        <v>2641</v>
      </c>
      <c r="F412" s="80" t="s">
        <v>2370</v>
      </c>
      <c r="G412" s="80" t="s">
        <v>2701</v>
      </c>
      <c r="H412" s="79">
        <v>9</v>
      </c>
      <c r="I412" s="79">
        <v>631.99</v>
      </c>
      <c r="J412" s="79">
        <v>5687.91</v>
      </c>
    </row>
    <row r="413" spans="1:10" ht="15" thickBot="1">
      <c r="A413" s="98">
        <v>45051</v>
      </c>
      <c r="B413" s="80" t="s">
        <v>2681</v>
      </c>
      <c r="C413" s="80" t="s">
        <v>2659</v>
      </c>
      <c r="D413" s="80" t="s">
        <v>2647</v>
      </c>
      <c r="E413" s="80" t="s">
        <v>2643</v>
      </c>
      <c r="F413" s="80" t="s">
        <v>2374</v>
      </c>
      <c r="G413" s="80" t="s">
        <v>2700</v>
      </c>
      <c r="H413" s="79">
        <v>16</v>
      </c>
      <c r="I413" s="79">
        <v>981</v>
      </c>
      <c r="J413" s="79">
        <v>15696</v>
      </c>
    </row>
    <row r="414" spans="1:10" ht="15" thickBot="1">
      <c r="A414" s="98">
        <v>45266</v>
      </c>
      <c r="B414" s="80" t="s">
        <v>2686</v>
      </c>
      <c r="C414" s="80" t="s">
        <v>2656</v>
      </c>
      <c r="D414" s="80" t="s">
        <v>2648</v>
      </c>
      <c r="E414" s="80" t="s">
        <v>2641</v>
      </c>
      <c r="F414" s="80" t="s">
        <v>2370</v>
      </c>
      <c r="G414" s="80" t="s">
        <v>1336</v>
      </c>
      <c r="H414" s="79">
        <v>14</v>
      </c>
      <c r="I414" s="79">
        <v>1049.21</v>
      </c>
      <c r="J414" s="79">
        <v>14688.94</v>
      </c>
    </row>
    <row r="415" spans="1:10" ht="15" thickBot="1">
      <c r="A415" s="98" t="s">
        <v>2566</v>
      </c>
      <c r="B415" s="80" t="s">
        <v>2687</v>
      </c>
      <c r="C415" s="80" t="s">
        <v>2654</v>
      </c>
      <c r="D415" s="80" t="s">
        <v>2646</v>
      </c>
      <c r="E415" s="80" t="s">
        <v>2642</v>
      </c>
      <c r="F415" s="80" t="s">
        <v>2373</v>
      </c>
      <c r="G415" s="80" t="s">
        <v>2688</v>
      </c>
      <c r="H415" s="79">
        <v>3</v>
      </c>
      <c r="I415" s="79">
        <v>3276.84</v>
      </c>
      <c r="J415" s="79">
        <v>9830.52</v>
      </c>
    </row>
    <row r="416" spans="1:10" ht="15" thickBot="1">
      <c r="A416" s="98">
        <v>45207</v>
      </c>
      <c r="B416" s="80" t="s">
        <v>2681</v>
      </c>
      <c r="C416" s="80" t="s">
        <v>2392</v>
      </c>
      <c r="D416" s="80" t="s">
        <v>2644</v>
      </c>
      <c r="E416" s="80" t="s">
        <v>2641</v>
      </c>
      <c r="F416" s="80" t="s">
        <v>2370</v>
      </c>
      <c r="G416" s="80" t="s">
        <v>1335</v>
      </c>
      <c r="H416" s="79">
        <v>10</v>
      </c>
      <c r="I416" s="79">
        <v>1693.46</v>
      </c>
      <c r="J416" s="79">
        <v>16934.599999999999</v>
      </c>
    </row>
    <row r="417" spans="1:10" ht="15" thickBot="1">
      <c r="A417" s="98" t="s">
        <v>2593</v>
      </c>
      <c r="B417" s="80" t="s">
        <v>2686</v>
      </c>
      <c r="C417" s="80" t="s">
        <v>2652</v>
      </c>
      <c r="D417" s="80" t="s">
        <v>2647</v>
      </c>
      <c r="E417" s="80" t="s">
        <v>2643</v>
      </c>
      <c r="F417" s="80" t="s">
        <v>2374</v>
      </c>
      <c r="G417" s="80" t="s">
        <v>2700</v>
      </c>
      <c r="H417" s="79">
        <v>15</v>
      </c>
      <c r="I417" s="79">
        <v>1790.58</v>
      </c>
      <c r="J417" s="79">
        <v>26858.7</v>
      </c>
    </row>
    <row r="418" spans="1:10" ht="15" thickBot="1">
      <c r="A418" s="98" t="s">
        <v>2672</v>
      </c>
      <c r="B418" s="80" t="s">
        <v>2682</v>
      </c>
      <c r="C418" s="80" t="s">
        <v>2656</v>
      </c>
      <c r="D418" s="80" t="s">
        <v>2648</v>
      </c>
      <c r="E418" s="80" t="s">
        <v>2641</v>
      </c>
      <c r="F418" s="80" t="s">
        <v>2373</v>
      </c>
      <c r="G418" s="80" t="s">
        <v>2697</v>
      </c>
      <c r="H418" s="79">
        <v>16</v>
      </c>
      <c r="I418" s="79">
        <v>1018.83</v>
      </c>
      <c r="J418" s="79">
        <v>16301.28</v>
      </c>
    </row>
    <row r="419" spans="1:10" ht="15" thickBot="1">
      <c r="A419" s="98">
        <v>45109</v>
      </c>
      <c r="B419" s="80" t="s">
        <v>2683</v>
      </c>
      <c r="C419" s="80" t="s">
        <v>2655</v>
      </c>
      <c r="D419" s="80" t="s">
        <v>2645</v>
      </c>
      <c r="E419" s="80" t="s">
        <v>2642</v>
      </c>
      <c r="F419" s="80" t="s">
        <v>2370</v>
      </c>
      <c r="G419" s="80" t="s">
        <v>2702</v>
      </c>
      <c r="H419" s="79">
        <v>6</v>
      </c>
      <c r="I419" s="79">
        <v>1246.5899999999999</v>
      </c>
      <c r="J419" s="79">
        <v>7479.54</v>
      </c>
    </row>
    <row r="420" spans="1:10" ht="15" thickBot="1">
      <c r="A420" s="98" t="s">
        <v>2484</v>
      </c>
      <c r="B420" s="80" t="s">
        <v>2685</v>
      </c>
      <c r="C420" s="80" t="s">
        <v>2654</v>
      </c>
      <c r="D420" s="80" t="s">
        <v>2646</v>
      </c>
      <c r="E420" s="80" t="s">
        <v>2642</v>
      </c>
      <c r="F420" s="80" t="s">
        <v>2661</v>
      </c>
      <c r="G420" s="80" t="s">
        <v>2696</v>
      </c>
      <c r="H420" s="79">
        <v>14</v>
      </c>
      <c r="I420" s="79">
        <v>859.79</v>
      </c>
      <c r="J420" s="79">
        <v>12037.06</v>
      </c>
    </row>
    <row r="421" spans="1:10" ht="15" thickBot="1">
      <c r="A421" s="98">
        <v>45180</v>
      </c>
      <c r="B421" s="80" t="s">
        <v>2678</v>
      </c>
      <c r="C421" s="80" t="s">
        <v>2652</v>
      </c>
      <c r="D421" s="80" t="s">
        <v>2647</v>
      </c>
      <c r="E421" s="80" t="s">
        <v>2643</v>
      </c>
      <c r="F421" s="80" t="s">
        <v>2372</v>
      </c>
      <c r="G421" s="80" t="s">
        <v>2693</v>
      </c>
      <c r="H421" s="79">
        <v>12</v>
      </c>
      <c r="I421" s="79">
        <v>149.16</v>
      </c>
      <c r="J421" s="79">
        <v>1789.92</v>
      </c>
    </row>
    <row r="422" spans="1:10" ht="15" thickBot="1">
      <c r="A422" s="98" t="s">
        <v>2438</v>
      </c>
      <c r="B422" s="80" t="s">
        <v>2682</v>
      </c>
      <c r="C422" s="80" t="s">
        <v>2653</v>
      </c>
      <c r="D422" s="80" t="s">
        <v>2644</v>
      </c>
      <c r="E422" s="80" t="s">
        <v>2641</v>
      </c>
      <c r="F422" s="80" t="s">
        <v>2373</v>
      </c>
      <c r="G422" s="80" t="s">
        <v>2697</v>
      </c>
      <c r="H422" s="79">
        <v>20</v>
      </c>
      <c r="I422" s="79">
        <v>1108.83</v>
      </c>
      <c r="J422" s="79">
        <v>22176.6</v>
      </c>
    </row>
    <row r="423" spans="1:10" ht="15" thickBot="1">
      <c r="A423" s="98" t="s">
        <v>2469</v>
      </c>
      <c r="B423" s="80" t="s">
        <v>2683</v>
      </c>
      <c r="C423" s="80" t="s">
        <v>2658</v>
      </c>
      <c r="D423" s="80" t="s">
        <v>2645</v>
      </c>
      <c r="E423" s="80" t="s">
        <v>2642</v>
      </c>
      <c r="F423" s="80" t="s">
        <v>2373</v>
      </c>
      <c r="G423" s="80" t="s">
        <v>2705</v>
      </c>
      <c r="H423" s="79">
        <v>8</v>
      </c>
      <c r="I423" s="79">
        <v>3628.65</v>
      </c>
      <c r="J423" s="79">
        <v>29029.200000000001</v>
      </c>
    </row>
    <row r="424" spans="1:10" ht="15" thickBot="1">
      <c r="A424" s="98" t="s">
        <v>2519</v>
      </c>
      <c r="B424" s="80" t="s">
        <v>2678</v>
      </c>
      <c r="C424" s="80" t="s">
        <v>2656</v>
      </c>
      <c r="D424" s="80" t="s">
        <v>2648</v>
      </c>
      <c r="E424" s="80" t="s">
        <v>2641</v>
      </c>
      <c r="F424" s="80" t="s">
        <v>2372</v>
      </c>
      <c r="G424" s="80" t="s">
        <v>2693</v>
      </c>
      <c r="H424" s="79">
        <v>19</v>
      </c>
      <c r="I424" s="79">
        <v>1317.72</v>
      </c>
      <c r="J424" s="79">
        <v>25036.68</v>
      </c>
    </row>
    <row r="425" spans="1:10" ht="15" thickBot="1">
      <c r="A425" s="98" t="s">
        <v>2582</v>
      </c>
      <c r="B425" s="80" t="s">
        <v>2682</v>
      </c>
      <c r="C425" s="80" t="s">
        <v>2659</v>
      </c>
      <c r="D425" s="80" t="s">
        <v>2647</v>
      </c>
      <c r="E425" s="80" t="s">
        <v>2643</v>
      </c>
      <c r="F425" s="80" t="s">
        <v>2372</v>
      </c>
      <c r="G425" s="80" t="s">
        <v>2699</v>
      </c>
      <c r="H425" s="79">
        <v>16</v>
      </c>
      <c r="I425" s="79">
        <v>2995.01</v>
      </c>
      <c r="J425" s="79">
        <v>47920.160000000003</v>
      </c>
    </row>
    <row r="426" spans="1:10" ht="15" thickBot="1">
      <c r="A426" s="98" t="s">
        <v>2564</v>
      </c>
      <c r="B426" s="80" t="s">
        <v>2683</v>
      </c>
      <c r="C426" s="80" t="s">
        <v>2393</v>
      </c>
      <c r="D426" s="80" t="s">
        <v>2644</v>
      </c>
      <c r="E426" s="80" t="s">
        <v>2641</v>
      </c>
      <c r="F426" s="80" t="s">
        <v>2373</v>
      </c>
      <c r="G426" s="80" t="s">
        <v>2705</v>
      </c>
      <c r="H426" s="79">
        <v>11</v>
      </c>
      <c r="I426" s="79">
        <v>2318.96</v>
      </c>
      <c r="J426" s="79">
        <v>25508.560000000001</v>
      </c>
    </row>
    <row r="427" spans="1:10" ht="15" thickBot="1">
      <c r="A427" s="98" t="s">
        <v>2435</v>
      </c>
      <c r="B427" s="80" t="s">
        <v>2680</v>
      </c>
      <c r="C427" s="80" t="s">
        <v>2649</v>
      </c>
      <c r="D427" s="80" t="s">
        <v>2645</v>
      </c>
      <c r="E427" s="80" t="s">
        <v>2642</v>
      </c>
      <c r="F427" s="80" t="s">
        <v>2661</v>
      </c>
      <c r="G427" s="80" t="s">
        <v>2696</v>
      </c>
      <c r="H427" s="79">
        <v>14</v>
      </c>
      <c r="I427" s="79">
        <v>4935.3</v>
      </c>
      <c r="J427" s="79">
        <v>69094.2</v>
      </c>
    </row>
    <row r="428" spans="1:10" ht="15" thickBot="1">
      <c r="A428" s="98" t="s">
        <v>2458</v>
      </c>
      <c r="B428" s="80" t="s">
        <v>2686</v>
      </c>
      <c r="C428" s="80" t="s">
        <v>2655</v>
      </c>
      <c r="D428" s="80" t="s">
        <v>2645</v>
      </c>
      <c r="E428" s="80" t="s">
        <v>2642</v>
      </c>
      <c r="F428" s="80" t="s">
        <v>2373</v>
      </c>
      <c r="G428" s="80" t="s">
        <v>2697</v>
      </c>
      <c r="H428" s="79">
        <v>1</v>
      </c>
      <c r="I428" s="79">
        <v>1083.26</v>
      </c>
      <c r="J428" s="79">
        <v>1083.26</v>
      </c>
    </row>
    <row r="429" spans="1:10" ht="15" thickBot="1">
      <c r="A429" s="98">
        <v>45056</v>
      </c>
      <c r="B429" s="80" t="s">
        <v>2685</v>
      </c>
      <c r="C429" s="80" t="s">
        <v>2651</v>
      </c>
      <c r="D429" s="80" t="s">
        <v>2646</v>
      </c>
      <c r="E429" s="80" t="s">
        <v>2642</v>
      </c>
      <c r="F429" s="80" t="s">
        <v>2373</v>
      </c>
      <c r="G429" s="80" t="s">
        <v>2697</v>
      </c>
      <c r="H429" s="79">
        <v>11</v>
      </c>
      <c r="I429" s="79">
        <v>1673.53</v>
      </c>
      <c r="J429" s="79">
        <v>18408.830000000002</v>
      </c>
    </row>
    <row r="430" spans="1:10" ht="15" thickBot="1">
      <c r="A430" s="98" t="s">
        <v>2556</v>
      </c>
      <c r="B430" s="80" t="s">
        <v>2681</v>
      </c>
      <c r="C430" s="80" t="s">
        <v>2656</v>
      </c>
      <c r="D430" s="80" t="s">
        <v>2648</v>
      </c>
      <c r="E430" s="80" t="s">
        <v>2641</v>
      </c>
      <c r="F430" s="80" t="s">
        <v>2370</v>
      </c>
      <c r="G430" s="80" t="s">
        <v>2701</v>
      </c>
      <c r="H430" s="79">
        <v>10</v>
      </c>
      <c r="I430" s="79">
        <v>3829.38</v>
      </c>
      <c r="J430" s="79">
        <v>38293.800000000003</v>
      </c>
    </row>
    <row r="431" spans="1:10" ht="15" thickBot="1">
      <c r="A431" s="98" t="s">
        <v>2667</v>
      </c>
      <c r="B431" s="80" t="s">
        <v>2685</v>
      </c>
      <c r="C431" s="80" t="s">
        <v>2658</v>
      </c>
      <c r="D431" s="80" t="s">
        <v>2645</v>
      </c>
      <c r="E431" s="80" t="s">
        <v>2642</v>
      </c>
      <c r="F431" s="80" t="s">
        <v>2372</v>
      </c>
      <c r="G431" s="80" t="s">
        <v>2690</v>
      </c>
      <c r="H431" s="79">
        <v>6</v>
      </c>
      <c r="I431" s="79">
        <v>470.36</v>
      </c>
      <c r="J431" s="79">
        <v>2822.16</v>
      </c>
    </row>
    <row r="432" spans="1:10" ht="15" thickBot="1">
      <c r="A432" s="98" t="s">
        <v>2493</v>
      </c>
      <c r="B432" s="80" t="s">
        <v>2687</v>
      </c>
      <c r="C432" s="80" t="s">
        <v>2393</v>
      </c>
      <c r="D432" s="80" t="s">
        <v>2644</v>
      </c>
      <c r="E432" s="80" t="s">
        <v>2641</v>
      </c>
      <c r="F432" s="80" t="s">
        <v>2370</v>
      </c>
      <c r="G432" s="80" t="s">
        <v>2701</v>
      </c>
      <c r="H432" s="79">
        <v>12</v>
      </c>
      <c r="I432" s="79">
        <v>2489.14</v>
      </c>
      <c r="J432" s="79">
        <v>29869.68</v>
      </c>
    </row>
    <row r="433" spans="1:10" ht="15" thickBot="1">
      <c r="A433" s="98" t="s">
        <v>2673</v>
      </c>
      <c r="B433" s="80" t="s">
        <v>2685</v>
      </c>
      <c r="C433" s="80" t="s">
        <v>2658</v>
      </c>
      <c r="D433" s="80" t="s">
        <v>2645</v>
      </c>
      <c r="E433" s="80" t="s">
        <v>2642</v>
      </c>
      <c r="F433" s="80" t="s">
        <v>2372</v>
      </c>
      <c r="G433" s="80" t="s">
        <v>2699</v>
      </c>
      <c r="H433" s="79">
        <v>14</v>
      </c>
      <c r="I433" s="79">
        <v>1729.16</v>
      </c>
      <c r="J433" s="79">
        <v>24208.240000000002</v>
      </c>
    </row>
    <row r="434" spans="1:10" ht="15" thickBot="1">
      <c r="A434" s="98" t="s">
        <v>2579</v>
      </c>
      <c r="B434" s="80" t="s">
        <v>2678</v>
      </c>
      <c r="C434" s="80" t="s">
        <v>2650</v>
      </c>
      <c r="D434" s="80" t="s">
        <v>2646</v>
      </c>
      <c r="E434" s="80" t="s">
        <v>2642</v>
      </c>
      <c r="F434" s="80" t="s">
        <v>2374</v>
      </c>
      <c r="G434" s="80" t="s">
        <v>2700</v>
      </c>
      <c r="H434" s="79">
        <v>2</v>
      </c>
      <c r="I434" s="79">
        <v>2789.92</v>
      </c>
      <c r="J434" s="79">
        <v>5579.84</v>
      </c>
    </row>
    <row r="435" spans="1:10" ht="15" thickBot="1">
      <c r="A435" s="98" t="s">
        <v>2621</v>
      </c>
      <c r="B435" s="80" t="s">
        <v>2684</v>
      </c>
      <c r="C435" s="80" t="s">
        <v>2649</v>
      </c>
      <c r="D435" s="80" t="s">
        <v>2645</v>
      </c>
      <c r="E435" s="80" t="s">
        <v>2642</v>
      </c>
      <c r="F435" s="80" t="s">
        <v>2372</v>
      </c>
      <c r="G435" s="80" t="s">
        <v>2690</v>
      </c>
      <c r="H435" s="79">
        <v>17</v>
      </c>
      <c r="I435" s="79">
        <v>3244.79</v>
      </c>
      <c r="J435" s="79">
        <v>55161.43</v>
      </c>
    </row>
    <row r="436" spans="1:10" ht="15" thickBot="1">
      <c r="A436" s="98" t="s">
        <v>2549</v>
      </c>
      <c r="B436" s="80" t="s">
        <v>2680</v>
      </c>
      <c r="C436" s="80" t="s">
        <v>2655</v>
      </c>
      <c r="D436" s="80" t="s">
        <v>2645</v>
      </c>
      <c r="E436" s="80" t="s">
        <v>2642</v>
      </c>
      <c r="F436" s="80" t="s">
        <v>2374</v>
      </c>
      <c r="G436" s="80" t="s">
        <v>2689</v>
      </c>
      <c r="H436" s="79">
        <v>20</v>
      </c>
      <c r="I436" s="79">
        <v>2155.17</v>
      </c>
      <c r="J436" s="79">
        <v>43103.4</v>
      </c>
    </row>
    <row r="437" spans="1:10" ht="15" thickBot="1">
      <c r="A437" s="98">
        <v>45145</v>
      </c>
      <c r="B437" s="80" t="s">
        <v>2686</v>
      </c>
      <c r="C437" s="80" t="s">
        <v>2654</v>
      </c>
      <c r="D437" s="80" t="s">
        <v>2646</v>
      </c>
      <c r="E437" s="80" t="s">
        <v>2642</v>
      </c>
      <c r="F437" s="80" t="s">
        <v>2661</v>
      </c>
      <c r="G437" s="80" t="s">
        <v>2696</v>
      </c>
      <c r="H437" s="79">
        <v>13</v>
      </c>
      <c r="I437" s="79">
        <v>2526.1999999999998</v>
      </c>
      <c r="J437" s="79">
        <v>32840.6</v>
      </c>
    </row>
    <row r="438" spans="1:10" ht="15" thickBot="1">
      <c r="A438" s="98" t="s">
        <v>2522</v>
      </c>
      <c r="B438" s="80" t="s">
        <v>2684</v>
      </c>
      <c r="C438" s="80" t="s">
        <v>2651</v>
      </c>
      <c r="D438" s="80" t="s">
        <v>2646</v>
      </c>
      <c r="E438" s="80" t="s">
        <v>2642</v>
      </c>
      <c r="F438" s="80" t="s">
        <v>2370</v>
      </c>
      <c r="G438" s="80" t="s">
        <v>1336</v>
      </c>
      <c r="H438" s="79">
        <v>11</v>
      </c>
      <c r="I438" s="79">
        <v>1995.21</v>
      </c>
      <c r="J438" s="79">
        <v>21947.31</v>
      </c>
    </row>
    <row r="439" spans="1:10" ht="15" thickBot="1">
      <c r="A439" s="98">
        <v>45232</v>
      </c>
      <c r="B439" s="80" t="s">
        <v>2686</v>
      </c>
      <c r="C439" s="80" t="s">
        <v>2656</v>
      </c>
      <c r="D439" s="80" t="s">
        <v>2648</v>
      </c>
      <c r="E439" s="80" t="s">
        <v>2641</v>
      </c>
      <c r="F439" s="80" t="s">
        <v>2374</v>
      </c>
      <c r="G439" s="80" t="s">
        <v>2689</v>
      </c>
      <c r="H439" s="79">
        <v>4</v>
      </c>
      <c r="I439" s="79">
        <v>1139.74</v>
      </c>
      <c r="J439" s="79">
        <v>4558.96</v>
      </c>
    </row>
    <row r="440" spans="1:10" ht="15" thickBot="1">
      <c r="A440" s="98" t="s">
        <v>2479</v>
      </c>
      <c r="B440" s="80" t="s">
        <v>2687</v>
      </c>
      <c r="C440" s="80" t="s">
        <v>2659</v>
      </c>
      <c r="D440" s="80" t="s">
        <v>2647</v>
      </c>
      <c r="E440" s="80" t="s">
        <v>2643</v>
      </c>
      <c r="F440" s="80" t="s">
        <v>2373</v>
      </c>
      <c r="G440" s="80" t="s">
        <v>2703</v>
      </c>
      <c r="H440" s="79">
        <v>4</v>
      </c>
      <c r="I440" s="79">
        <v>3015.93</v>
      </c>
      <c r="J440" s="79">
        <v>12063.72</v>
      </c>
    </row>
    <row r="441" spans="1:10" ht="15" thickBot="1">
      <c r="A441" s="98">
        <v>45203</v>
      </c>
      <c r="B441" s="80" t="s">
        <v>2686</v>
      </c>
      <c r="C441" s="80" t="s">
        <v>2650</v>
      </c>
      <c r="D441" s="80" t="s">
        <v>2646</v>
      </c>
      <c r="E441" s="80" t="s">
        <v>2642</v>
      </c>
      <c r="F441" s="80" t="s">
        <v>2372</v>
      </c>
      <c r="G441" s="80" t="s">
        <v>2693</v>
      </c>
      <c r="H441" s="79">
        <v>4</v>
      </c>
      <c r="I441" s="79">
        <v>3831.39</v>
      </c>
      <c r="J441" s="79">
        <v>15325.56</v>
      </c>
    </row>
    <row r="442" spans="1:10" ht="15" thickBot="1">
      <c r="A442" s="98" t="s">
        <v>2518</v>
      </c>
      <c r="B442" s="80" t="s">
        <v>2678</v>
      </c>
      <c r="C442" s="80" t="s">
        <v>2392</v>
      </c>
      <c r="D442" s="80" t="s">
        <v>2644</v>
      </c>
      <c r="E442" s="80" t="s">
        <v>2641</v>
      </c>
      <c r="F442" s="80" t="s">
        <v>2372</v>
      </c>
      <c r="G442" s="80" t="s">
        <v>2690</v>
      </c>
      <c r="H442" s="79">
        <v>7</v>
      </c>
      <c r="I442" s="79">
        <v>105.05</v>
      </c>
      <c r="J442" s="79">
        <v>735.35</v>
      </c>
    </row>
    <row r="443" spans="1:10" ht="15" thickBot="1">
      <c r="A443" s="98">
        <v>44992</v>
      </c>
      <c r="B443" s="80" t="s">
        <v>2679</v>
      </c>
      <c r="C443" s="80" t="s">
        <v>2656</v>
      </c>
      <c r="D443" s="80" t="s">
        <v>2648</v>
      </c>
      <c r="E443" s="80" t="s">
        <v>2641</v>
      </c>
      <c r="F443" s="80" t="s">
        <v>2374</v>
      </c>
      <c r="G443" s="80" t="s">
        <v>2700</v>
      </c>
      <c r="H443" s="79">
        <v>11</v>
      </c>
      <c r="I443" s="79">
        <v>2416.1799999999998</v>
      </c>
      <c r="J443" s="79">
        <v>26577.98</v>
      </c>
    </row>
    <row r="444" spans="1:10" ht="15" thickBot="1">
      <c r="A444" s="98" t="s">
        <v>2457</v>
      </c>
      <c r="B444" s="80" t="s">
        <v>2683</v>
      </c>
      <c r="C444" s="80" t="s">
        <v>2656</v>
      </c>
      <c r="D444" s="80" t="s">
        <v>2648</v>
      </c>
      <c r="E444" s="80" t="s">
        <v>2641</v>
      </c>
      <c r="F444" s="80" t="s">
        <v>2374</v>
      </c>
      <c r="G444" s="80" t="s">
        <v>2700</v>
      </c>
      <c r="H444" s="79">
        <v>1</v>
      </c>
      <c r="I444" s="79">
        <v>549.14</v>
      </c>
      <c r="J444" s="79">
        <v>549.14</v>
      </c>
    </row>
    <row r="445" spans="1:10" ht="15" thickBot="1">
      <c r="A445" s="98" t="s">
        <v>2575</v>
      </c>
      <c r="B445" s="80" t="s">
        <v>2683</v>
      </c>
      <c r="C445" s="80" t="s">
        <v>2651</v>
      </c>
      <c r="D445" s="80" t="s">
        <v>2646</v>
      </c>
      <c r="E445" s="80" t="s">
        <v>2642</v>
      </c>
      <c r="F445" s="80" t="s">
        <v>2661</v>
      </c>
      <c r="G445" s="80" t="s">
        <v>2691</v>
      </c>
      <c r="H445" s="79">
        <v>10</v>
      </c>
      <c r="I445" s="79">
        <v>3771.5</v>
      </c>
      <c r="J445" s="79">
        <v>37715</v>
      </c>
    </row>
    <row r="446" spans="1:10" ht="15" thickBot="1">
      <c r="A446" s="98" t="s">
        <v>2438</v>
      </c>
      <c r="B446" s="80" t="s">
        <v>2679</v>
      </c>
      <c r="C446" s="80" t="s">
        <v>2656</v>
      </c>
      <c r="D446" s="80" t="s">
        <v>2648</v>
      </c>
      <c r="E446" s="80" t="s">
        <v>2641</v>
      </c>
      <c r="F446" s="80" t="s">
        <v>2373</v>
      </c>
      <c r="G446" s="80" t="s">
        <v>2703</v>
      </c>
      <c r="H446" s="79">
        <v>13</v>
      </c>
      <c r="I446" s="79">
        <v>956.49</v>
      </c>
      <c r="J446" s="79">
        <v>12434.37</v>
      </c>
    </row>
    <row r="447" spans="1:10" ht="15" thickBot="1">
      <c r="A447" s="98" t="s">
        <v>2584</v>
      </c>
      <c r="B447" s="80" t="s">
        <v>2680</v>
      </c>
      <c r="C447" s="80" t="s">
        <v>2658</v>
      </c>
      <c r="D447" s="80" t="s">
        <v>2645</v>
      </c>
      <c r="E447" s="80" t="s">
        <v>2642</v>
      </c>
      <c r="F447" s="80" t="s">
        <v>2373</v>
      </c>
      <c r="G447" s="80" t="s">
        <v>2697</v>
      </c>
      <c r="H447" s="79">
        <v>19</v>
      </c>
      <c r="I447" s="79">
        <v>3575.92</v>
      </c>
      <c r="J447" s="79">
        <v>67942.48</v>
      </c>
    </row>
    <row r="448" spans="1:10" ht="15" thickBot="1">
      <c r="A448" s="98" t="s">
        <v>2446</v>
      </c>
      <c r="B448" s="80" t="s">
        <v>2686</v>
      </c>
      <c r="C448" s="80" t="s">
        <v>2396</v>
      </c>
      <c r="D448" s="80" t="s">
        <v>2648</v>
      </c>
      <c r="E448" s="80" t="s">
        <v>2641</v>
      </c>
      <c r="F448" s="80" t="s">
        <v>2370</v>
      </c>
      <c r="G448" s="80" t="s">
        <v>2701</v>
      </c>
      <c r="H448" s="79">
        <v>8</v>
      </c>
      <c r="I448" s="79">
        <v>3971.12</v>
      </c>
      <c r="J448" s="79">
        <v>31768.959999999999</v>
      </c>
    </row>
    <row r="449" spans="1:10" ht="15" thickBot="1">
      <c r="A449" s="98" t="s">
        <v>2528</v>
      </c>
      <c r="B449" s="80" t="s">
        <v>2682</v>
      </c>
      <c r="C449" s="80" t="s">
        <v>2651</v>
      </c>
      <c r="D449" s="80" t="s">
        <v>2646</v>
      </c>
      <c r="E449" s="80" t="s">
        <v>2642</v>
      </c>
      <c r="F449" s="80" t="s">
        <v>2372</v>
      </c>
      <c r="G449" s="80" t="s">
        <v>2694</v>
      </c>
      <c r="H449" s="79">
        <v>14</v>
      </c>
      <c r="I449" s="79">
        <v>3631.62</v>
      </c>
      <c r="J449" s="79">
        <v>50842.68</v>
      </c>
    </row>
    <row r="450" spans="1:10" ht="15" thickBot="1">
      <c r="A450" s="98">
        <v>44931</v>
      </c>
      <c r="B450" s="80" t="s">
        <v>2685</v>
      </c>
      <c r="C450" s="80" t="s">
        <v>2653</v>
      </c>
      <c r="D450" s="80" t="s">
        <v>2644</v>
      </c>
      <c r="E450" s="80" t="s">
        <v>2641</v>
      </c>
      <c r="F450" s="80" t="s">
        <v>2373</v>
      </c>
      <c r="G450" s="80" t="s">
        <v>2697</v>
      </c>
      <c r="H450" s="79">
        <v>18</v>
      </c>
      <c r="I450" s="79">
        <v>2589.64</v>
      </c>
      <c r="J450" s="79">
        <v>46613.52</v>
      </c>
    </row>
    <row r="451" spans="1:10" ht="15" thickBot="1">
      <c r="A451" s="98">
        <v>45025</v>
      </c>
      <c r="B451" s="80" t="s">
        <v>2682</v>
      </c>
      <c r="C451" s="80" t="s">
        <v>2396</v>
      </c>
      <c r="D451" s="80" t="s">
        <v>2648</v>
      </c>
      <c r="E451" s="80" t="s">
        <v>2641</v>
      </c>
      <c r="F451" s="80" t="s">
        <v>2661</v>
      </c>
      <c r="G451" s="80" t="s">
        <v>2696</v>
      </c>
      <c r="H451" s="79">
        <v>2</v>
      </c>
      <c r="I451" s="79">
        <v>2713.34</v>
      </c>
      <c r="J451" s="79">
        <v>5426.68</v>
      </c>
    </row>
    <row r="452" spans="1:10" ht="15" thickBot="1">
      <c r="A452" s="98" t="s">
        <v>2669</v>
      </c>
      <c r="B452" s="80" t="s">
        <v>2683</v>
      </c>
      <c r="C452" s="80" t="s">
        <v>2658</v>
      </c>
      <c r="D452" s="80" t="s">
        <v>2645</v>
      </c>
      <c r="E452" s="80" t="s">
        <v>2642</v>
      </c>
      <c r="F452" s="80" t="s">
        <v>2374</v>
      </c>
      <c r="G452" s="80" t="s">
        <v>2689</v>
      </c>
      <c r="H452" s="79">
        <v>17</v>
      </c>
      <c r="I452" s="79">
        <v>1294.56</v>
      </c>
      <c r="J452" s="79">
        <v>22007.52</v>
      </c>
    </row>
    <row r="453" spans="1:10" ht="15" thickBot="1">
      <c r="A453" s="98" t="s">
        <v>2461</v>
      </c>
      <c r="B453" s="80" t="s">
        <v>2682</v>
      </c>
      <c r="C453" s="80" t="s">
        <v>2652</v>
      </c>
      <c r="D453" s="80" t="s">
        <v>2647</v>
      </c>
      <c r="E453" s="80" t="s">
        <v>2643</v>
      </c>
      <c r="F453" s="80" t="s">
        <v>2374</v>
      </c>
      <c r="G453" s="80" t="s">
        <v>2689</v>
      </c>
      <c r="H453" s="79">
        <v>8</v>
      </c>
      <c r="I453" s="79">
        <v>1171.53</v>
      </c>
      <c r="J453" s="79">
        <v>9372.24</v>
      </c>
    </row>
    <row r="454" spans="1:10" ht="15" thickBot="1">
      <c r="A454" s="98" t="s">
        <v>2501</v>
      </c>
      <c r="B454" s="80" t="s">
        <v>2685</v>
      </c>
      <c r="C454" s="80" t="s">
        <v>2660</v>
      </c>
      <c r="D454" s="80" t="s">
        <v>2647</v>
      </c>
      <c r="E454" s="80" t="s">
        <v>2643</v>
      </c>
      <c r="F454" s="80" t="s">
        <v>2372</v>
      </c>
      <c r="G454" s="80" t="s">
        <v>2699</v>
      </c>
      <c r="H454" s="79">
        <v>15</v>
      </c>
      <c r="I454" s="79">
        <v>4060.63</v>
      </c>
      <c r="J454" s="79">
        <v>60909.45</v>
      </c>
    </row>
    <row r="455" spans="1:10" ht="15" thickBot="1">
      <c r="A455" s="98">
        <v>45264</v>
      </c>
      <c r="B455" s="80" t="s">
        <v>2683</v>
      </c>
      <c r="C455" s="80" t="s">
        <v>2653</v>
      </c>
      <c r="D455" s="80" t="s">
        <v>2644</v>
      </c>
      <c r="E455" s="80" t="s">
        <v>2641</v>
      </c>
      <c r="F455" s="80" t="s">
        <v>2661</v>
      </c>
      <c r="G455" s="80" t="s">
        <v>2691</v>
      </c>
      <c r="H455" s="79">
        <v>4</v>
      </c>
      <c r="I455" s="79">
        <v>442.23</v>
      </c>
      <c r="J455" s="79">
        <v>1768.92</v>
      </c>
    </row>
    <row r="456" spans="1:10" ht="15" thickBot="1">
      <c r="A456" s="98" t="s">
        <v>2435</v>
      </c>
      <c r="B456" s="80" t="s">
        <v>2685</v>
      </c>
      <c r="C456" s="80" t="s">
        <v>2653</v>
      </c>
      <c r="D456" s="80" t="s">
        <v>2644</v>
      </c>
      <c r="E456" s="80" t="s">
        <v>2641</v>
      </c>
      <c r="F456" s="80" t="s">
        <v>2374</v>
      </c>
      <c r="G456" s="80" t="s">
        <v>2692</v>
      </c>
      <c r="H456" s="79">
        <v>5</v>
      </c>
      <c r="I456" s="79">
        <v>3725.36</v>
      </c>
      <c r="J456" s="79">
        <v>18626.8</v>
      </c>
    </row>
    <row r="457" spans="1:10" ht="15" thickBot="1">
      <c r="A457" s="98" t="s">
        <v>2582</v>
      </c>
      <c r="B457" s="80" t="s">
        <v>2685</v>
      </c>
      <c r="C457" s="80" t="s">
        <v>2656</v>
      </c>
      <c r="D457" s="80" t="s">
        <v>2648</v>
      </c>
      <c r="E457" s="80" t="s">
        <v>2641</v>
      </c>
      <c r="F457" s="80" t="s">
        <v>2372</v>
      </c>
      <c r="G457" s="80" t="s">
        <v>2690</v>
      </c>
      <c r="H457" s="79">
        <v>20</v>
      </c>
      <c r="I457" s="79">
        <v>2974.89</v>
      </c>
      <c r="J457" s="79">
        <v>59497.8</v>
      </c>
    </row>
    <row r="458" spans="1:10" ht="15" thickBot="1">
      <c r="A458" s="98">
        <v>44992</v>
      </c>
      <c r="B458" s="80" t="s">
        <v>2685</v>
      </c>
      <c r="C458" s="80" t="s">
        <v>2651</v>
      </c>
      <c r="D458" s="80" t="s">
        <v>2646</v>
      </c>
      <c r="E458" s="80" t="s">
        <v>2642</v>
      </c>
      <c r="F458" s="80" t="s">
        <v>2372</v>
      </c>
      <c r="G458" s="80" t="s">
        <v>2699</v>
      </c>
      <c r="H458" s="79">
        <v>1</v>
      </c>
      <c r="I458" s="79">
        <v>1717.6</v>
      </c>
      <c r="J458" s="79">
        <v>1717.6</v>
      </c>
    </row>
    <row r="459" spans="1:10" ht="15" thickBot="1">
      <c r="A459" s="98">
        <v>45080</v>
      </c>
      <c r="B459" s="80" t="s">
        <v>2684</v>
      </c>
      <c r="C459" s="80" t="s">
        <v>2652</v>
      </c>
      <c r="D459" s="80" t="s">
        <v>2647</v>
      </c>
      <c r="E459" s="80" t="s">
        <v>2643</v>
      </c>
      <c r="F459" s="80" t="s">
        <v>2373</v>
      </c>
      <c r="G459" s="80" t="s">
        <v>2705</v>
      </c>
      <c r="H459" s="79">
        <v>5</v>
      </c>
      <c r="I459" s="79">
        <v>2849.56</v>
      </c>
      <c r="J459" s="79">
        <v>14247.8</v>
      </c>
    </row>
    <row r="460" spans="1:10" ht="15" thickBot="1">
      <c r="A460" s="98" t="s">
        <v>2667</v>
      </c>
      <c r="B460" s="80" t="s">
        <v>2678</v>
      </c>
      <c r="C460" s="80" t="s">
        <v>2396</v>
      </c>
      <c r="D460" s="80" t="s">
        <v>2648</v>
      </c>
      <c r="E460" s="80" t="s">
        <v>2641</v>
      </c>
      <c r="F460" s="80" t="s">
        <v>2374</v>
      </c>
      <c r="G460" s="80" t="s">
        <v>2689</v>
      </c>
      <c r="H460" s="79">
        <v>18</v>
      </c>
      <c r="I460" s="79">
        <v>4150.7700000000004</v>
      </c>
      <c r="J460" s="79">
        <v>74713.86</v>
      </c>
    </row>
    <row r="461" spans="1:10" ht="15" thickBot="1">
      <c r="A461" s="98" t="s">
        <v>2460</v>
      </c>
      <c r="B461" s="80" t="s">
        <v>2684</v>
      </c>
      <c r="C461" s="80" t="s">
        <v>2393</v>
      </c>
      <c r="D461" s="80" t="s">
        <v>2644</v>
      </c>
      <c r="E461" s="80" t="s">
        <v>2641</v>
      </c>
      <c r="F461" s="80" t="s">
        <v>2374</v>
      </c>
      <c r="G461" s="80" t="s">
        <v>2704</v>
      </c>
      <c r="H461" s="79">
        <v>18</v>
      </c>
      <c r="I461" s="79">
        <v>2490.14</v>
      </c>
      <c r="J461" s="79">
        <v>44822.52</v>
      </c>
    </row>
    <row r="462" spans="1:10" ht="15" thickBot="1">
      <c r="A462" s="98" t="s">
        <v>2545</v>
      </c>
      <c r="B462" s="80" t="s">
        <v>2684</v>
      </c>
      <c r="C462" s="80" t="s">
        <v>2659</v>
      </c>
      <c r="D462" s="80" t="s">
        <v>2647</v>
      </c>
      <c r="E462" s="80" t="s">
        <v>2643</v>
      </c>
      <c r="F462" s="80" t="s">
        <v>2374</v>
      </c>
      <c r="G462" s="80" t="s">
        <v>2689</v>
      </c>
      <c r="H462" s="79">
        <v>17</v>
      </c>
      <c r="I462" s="79">
        <v>500.54</v>
      </c>
      <c r="J462" s="79">
        <v>8509.18</v>
      </c>
    </row>
    <row r="463" spans="1:10" ht="15" thickBot="1">
      <c r="A463" s="98" t="s">
        <v>2627</v>
      </c>
      <c r="B463" s="80" t="s">
        <v>2687</v>
      </c>
      <c r="C463" s="80" t="s">
        <v>2660</v>
      </c>
      <c r="D463" s="80" t="s">
        <v>2647</v>
      </c>
      <c r="E463" s="80" t="s">
        <v>2643</v>
      </c>
      <c r="F463" s="80" t="s">
        <v>2370</v>
      </c>
      <c r="G463" s="80" t="s">
        <v>2701</v>
      </c>
      <c r="H463" s="79">
        <v>19</v>
      </c>
      <c r="I463" s="79">
        <v>1067.94</v>
      </c>
      <c r="J463" s="79">
        <v>20290.86</v>
      </c>
    </row>
    <row r="464" spans="1:10" ht="15" thickBot="1">
      <c r="A464" s="98" t="s">
        <v>2487</v>
      </c>
      <c r="B464" s="80" t="s">
        <v>2687</v>
      </c>
      <c r="C464" s="80" t="s">
        <v>2655</v>
      </c>
      <c r="D464" s="80" t="s">
        <v>2645</v>
      </c>
      <c r="E464" s="80" t="s">
        <v>2642</v>
      </c>
      <c r="F464" s="80" t="s">
        <v>2661</v>
      </c>
      <c r="G464" s="80" t="s">
        <v>2696</v>
      </c>
      <c r="H464" s="79">
        <v>7</v>
      </c>
      <c r="I464" s="79">
        <v>2264.87</v>
      </c>
      <c r="J464" s="79">
        <v>15854.09</v>
      </c>
    </row>
    <row r="465" spans="1:10" ht="15" thickBot="1">
      <c r="A465" s="98">
        <v>45262</v>
      </c>
      <c r="B465" s="80" t="s">
        <v>2679</v>
      </c>
      <c r="C465" s="80" t="s">
        <v>2659</v>
      </c>
      <c r="D465" s="80" t="s">
        <v>2647</v>
      </c>
      <c r="E465" s="80" t="s">
        <v>2643</v>
      </c>
      <c r="F465" s="80" t="s">
        <v>2661</v>
      </c>
      <c r="G465" s="80" t="s">
        <v>2695</v>
      </c>
      <c r="H465" s="79">
        <v>18</v>
      </c>
      <c r="I465" s="79">
        <v>2584.0700000000002</v>
      </c>
      <c r="J465" s="79">
        <v>46513.26</v>
      </c>
    </row>
    <row r="466" spans="1:10" ht="15" thickBot="1">
      <c r="A466" s="98" t="s">
        <v>2627</v>
      </c>
      <c r="B466" s="80" t="s">
        <v>2687</v>
      </c>
      <c r="C466" s="80" t="s">
        <v>2658</v>
      </c>
      <c r="D466" s="80" t="s">
        <v>2645</v>
      </c>
      <c r="E466" s="80" t="s">
        <v>2642</v>
      </c>
      <c r="F466" s="80" t="s">
        <v>2374</v>
      </c>
      <c r="G466" s="80" t="s">
        <v>2700</v>
      </c>
      <c r="H466" s="79">
        <v>13</v>
      </c>
      <c r="I466" s="79">
        <v>4621.13</v>
      </c>
      <c r="J466" s="79">
        <v>60074.69</v>
      </c>
    </row>
    <row r="467" spans="1:10" ht="15" thickBot="1">
      <c r="A467" s="98">
        <v>45269</v>
      </c>
      <c r="B467" s="80" t="s">
        <v>2679</v>
      </c>
      <c r="C467" s="80" t="s">
        <v>2659</v>
      </c>
      <c r="D467" s="80" t="s">
        <v>2647</v>
      </c>
      <c r="E467" s="80" t="s">
        <v>2643</v>
      </c>
      <c r="F467" s="80" t="s">
        <v>2661</v>
      </c>
      <c r="G467" s="80" t="s">
        <v>2691</v>
      </c>
      <c r="H467" s="79">
        <v>16</v>
      </c>
      <c r="I467" s="79">
        <v>4826.2</v>
      </c>
      <c r="J467" s="79">
        <v>77219.199999999997</v>
      </c>
    </row>
    <row r="468" spans="1:10" ht="15" thickBot="1">
      <c r="A468" s="98">
        <v>45052</v>
      </c>
      <c r="B468" s="80" t="s">
        <v>2682</v>
      </c>
      <c r="C468" s="80" t="s">
        <v>2649</v>
      </c>
      <c r="D468" s="80" t="s">
        <v>2645</v>
      </c>
      <c r="E468" s="80" t="s">
        <v>2642</v>
      </c>
      <c r="F468" s="80" t="s">
        <v>2370</v>
      </c>
      <c r="G468" s="80" t="s">
        <v>1336</v>
      </c>
      <c r="H468" s="79">
        <v>5</v>
      </c>
      <c r="I468" s="79">
        <v>4773.5600000000004</v>
      </c>
      <c r="J468" s="79">
        <v>23867.8</v>
      </c>
    </row>
    <row r="469" spans="1:10" ht="15" thickBot="1">
      <c r="A469" s="98" t="s">
        <v>2632</v>
      </c>
      <c r="B469" s="80" t="s">
        <v>2687</v>
      </c>
      <c r="C469" s="80" t="s">
        <v>2651</v>
      </c>
      <c r="D469" s="80" t="s">
        <v>2646</v>
      </c>
      <c r="E469" s="80" t="s">
        <v>2642</v>
      </c>
      <c r="F469" s="80" t="s">
        <v>2661</v>
      </c>
      <c r="G469" s="80" t="s">
        <v>2696</v>
      </c>
      <c r="H469" s="79">
        <v>9</v>
      </c>
      <c r="I469" s="79">
        <v>3220.44</v>
      </c>
      <c r="J469" s="79">
        <v>28983.96</v>
      </c>
    </row>
    <row r="470" spans="1:10" ht="15" thickBot="1">
      <c r="A470" s="98" t="s">
        <v>2489</v>
      </c>
      <c r="B470" s="80" t="s">
        <v>2687</v>
      </c>
      <c r="C470" s="80" t="s">
        <v>2650</v>
      </c>
      <c r="D470" s="80" t="s">
        <v>2646</v>
      </c>
      <c r="E470" s="80" t="s">
        <v>2642</v>
      </c>
      <c r="F470" s="80" t="s">
        <v>2661</v>
      </c>
      <c r="G470" s="80" t="s">
        <v>2695</v>
      </c>
      <c r="H470" s="79">
        <v>15</v>
      </c>
      <c r="I470" s="79">
        <v>4945.79</v>
      </c>
      <c r="J470" s="79">
        <v>74186.850000000006</v>
      </c>
    </row>
    <row r="471" spans="1:10" ht="15" thickBot="1">
      <c r="A471" s="98">
        <v>45140</v>
      </c>
      <c r="B471" s="80" t="s">
        <v>2681</v>
      </c>
      <c r="C471" s="80" t="s">
        <v>2654</v>
      </c>
      <c r="D471" s="80" t="s">
        <v>2646</v>
      </c>
      <c r="E471" s="80" t="s">
        <v>2642</v>
      </c>
      <c r="F471" s="80" t="s">
        <v>2372</v>
      </c>
      <c r="G471" s="80" t="s">
        <v>2699</v>
      </c>
      <c r="H471" s="79">
        <v>14</v>
      </c>
      <c r="I471" s="79">
        <v>2355.56</v>
      </c>
      <c r="J471" s="79">
        <v>32977.839999999997</v>
      </c>
    </row>
    <row r="472" spans="1:10" ht="15" thickBot="1">
      <c r="A472" s="98" t="s">
        <v>2666</v>
      </c>
      <c r="B472" s="80" t="s">
        <v>2679</v>
      </c>
      <c r="C472" s="80" t="s">
        <v>2656</v>
      </c>
      <c r="D472" s="80" t="s">
        <v>2648</v>
      </c>
      <c r="E472" s="80" t="s">
        <v>2641</v>
      </c>
      <c r="F472" s="80" t="s">
        <v>2372</v>
      </c>
      <c r="G472" s="80" t="s">
        <v>2693</v>
      </c>
      <c r="H472" s="79">
        <v>4</v>
      </c>
      <c r="I472" s="79">
        <v>4412.41</v>
      </c>
      <c r="J472" s="79">
        <v>17649.64</v>
      </c>
    </row>
    <row r="473" spans="1:10" ht="15" thickBot="1">
      <c r="A473" s="98" t="s">
        <v>2472</v>
      </c>
      <c r="B473" s="80" t="s">
        <v>2685</v>
      </c>
      <c r="C473" s="80" t="s">
        <v>2660</v>
      </c>
      <c r="D473" s="80" t="s">
        <v>2647</v>
      </c>
      <c r="E473" s="80" t="s">
        <v>2643</v>
      </c>
      <c r="F473" s="80" t="s">
        <v>2374</v>
      </c>
      <c r="G473" s="80" t="s">
        <v>2700</v>
      </c>
      <c r="H473" s="79">
        <v>5</v>
      </c>
      <c r="I473" s="79">
        <v>355.6</v>
      </c>
      <c r="J473" s="79">
        <v>1778</v>
      </c>
    </row>
    <row r="474" spans="1:10" ht="15" thickBot="1">
      <c r="A474" s="98" t="s">
        <v>2596</v>
      </c>
      <c r="B474" s="80" t="s">
        <v>2681</v>
      </c>
      <c r="C474" s="80" t="s">
        <v>2653</v>
      </c>
      <c r="D474" s="80" t="s">
        <v>2644</v>
      </c>
      <c r="E474" s="80" t="s">
        <v>2641</v>
      </c>
      <c r="F474" s="80" t="s">
        <v>2370</v>
      </c>
      <c r="G474" s="80" t="s">
        <v>1335</v>
      </c>
      <c r="H474" s="79">
        <v>12</v>
      </c>
      <c r="I474" s="79">
        <v>4405.1899999999996</v>
      </c>
      <c r="J474" s="79">
        <v>52862.28</v>
      </c>
    </row>
    <row r="475" spans="1:10" ht="15" thickBot="1">
      <c r="A475" s="98" t="s">
        <v>2634</v>
      </c>
      <c r="B475" s="80" t="s">
        <v>2679</v>
      </c>
      <c r="C475" s="80" t="s">
        <v>2652</v>
      </c>
      <c r="D475" s="80" t="s">
        <v>2647</v>
      </c>
      <c r="E475" s="80" t="s">
        <v>2643</v>
      </c>
      <c r="F475" s="80" t="s">
        <v>2661</v>
      </c>
      <c r="G475" s="80" t="s">
        <v>2695</v>
      </c>
      <c r="H475" s="79">
        <v>9</v>
      </c>
      <c r="I475" s="79">
        <v>877.89</v>
      </c>
      <c r="J475" s="79">
        <v>7901.01</v>
      </c>
    </row>
    <row r="476" spans="1:10" ht="15" thickBot="1">
      <c r="A476" s="98" t="s">
        <v>2486</v>
      </c>
      <c r="B476" s="80" t="s">
        <v>2679</v>
      </c>
      <c r="C476" s="80" t="s">
        <v>2657</v>
      </c>
      <c r="D476" s="80" t="s">
        <v>2648</v>
      </c>
      <c r="E476" s="80" t="s">
        <v>2641</v>
      </c>
      <c r="F476" s="80" t="s">
        <v>2372</v>
      </c>
      <c r="G476" s="80" t="s">
        <v>2693</v>
      </c>
      <c r="H476" s="79">
        <v>1</v>
      </c>
      <c r="I476" s="79">
        <v>2970.66</v>
      </c>
      <c r="J476" s="79">
        <v>2970.66</v>
      </c>
    </row>
    <row r="477" spans="1:10" ht="15" thickBot="1">
      <c r="A477" s="98" t="s">
        <v>2582</v>
      </c>
      <c r="B477" s="80" t="s">
        <v>2684</v>
      </c>
      <c r="C477" s="80" t="s">
        <v>2653</v>
      </c>
      <c r="D477" s="80" t="s">
        <v>2644</v>
      </c>
      <c r="E477" s="80" t="s">
        <v>2641</v>
      </c>
      <c r="F477" s="80" t="s">
        <v>2373</v>
      </c>
      <c r="G477" s="80" t="s">
        <v>2703</v>
      </c>
      <c r="H477" s="79">
        <v>15</v>
      </c>
      <c r="I477" s="79">
        <v>3579.98</v>
      </c>
      <c r="J477" s="79">
        <v>53699.7</v>
      </c>
    </row>
    <row r="478" spans="1:10" ht="15" thickBot="1">
      <c r="A478" s="98">
        <v>45056</v>
      </c>
      <c r="B478" s="80" t="s">
        <v>2687</v>
      </c>
      <c r="C478" s="80" t="s">
        <v>2657</v>
      </c>
      <c r="D478" s="80" t="s">
        <v>2648</v>
      </c>
      <c r="E478" s="80" t="s">
        <v>2641</v>
      </c>
      <c r="F478" s="80" t="s">
        <v>2370</v>
      </c>
      <c r="G478" s="80" t="s">
        <v>1336</v>
      </c>
      <c r="H478" s="79">
        <v>9</v>
      </c>
      <c r="I478" s="79">
        <v>1605.02</v>
      </c>
      <c r="J478" s="79">
        <v>14445.18</v>
      </c>
    </row>
    <row r="479" spans="1:10" ht="15" thickBot="1">
      <c r="A479" s="98" t="s">
        <v>2456</v>
      </c>
      <c r="B479" s="80" t="s">
        <v>2678</v>
      </c>
      <c r="C479" s="80" t="s">
        <v>2650</v>
      </c>
      <c r="D479" s="80" t="s">
        <v>2646</v>
      </c>
      <c r="E479" s="80" t="s">
        <v>2642</v>
      </c>
      <c r="F479" s="80" t="s">
        <v>2370</v>
      </c>
      <c r="G479" s="80" t="s">
        <v>1335</v>
      </c>
      <c r="H479" s="79">
        <v>12</v>
      </c>
      <c r="I479" s="79">
        <v>1982.64</v>
      </c>
      <c r="J479" s="79">
        <v>23791.68</v>
      </c>
    </row>
    <row r="480" spans="1:10" ht="15" thickBot="1">
      <c r="A480" s="98" t="s">
        <v>2589</v>
      </c>
      <c r="B480" s="80" t="s">
        <v>2686</v>
      </c>
      <c r="C480" s="80" t="s">
        <v>2657</v>
      </c>
      <c r="D480" s="80" t="s">
        <v>2648</v>
      </c>
      <c r="E480" s="80" t="s">
        <v>2641</v>
      </c>
      <c r="F480" s="80" t="s">
        <v>2374</v>
      </c>
      <c r="G480" s="80" t="s">
        <v>2704</v>
      </c>
      <c r="H480" s="79">
        <v>20</v>
      </c>
      <c r="I480" s="79">
        <v>3195.53</v>
      </c>
      <c r="J480" s="79">
        <v>63910.6</v>
      </c>
    </row>
    <row r="481" spans="1:10" ht="15" thickBot="1">
      <c r="A481" s="98">
        <v>45176</v>
      </c>
      <c r="B481" s="80" t="s">
        <v>2687</v>
      </c>
      <c r="C481" s="80" t="s">
        <v>2656</v>
      </c>
      <c r="D481" s="80" t="s">
        <v>2648</v>
      </c>
      <c r="E481" s="80" t="s">
        <v>2641</v>
      </c>
      <c r="F481" s="80" t="s">
        <v>2661</v>
      </c>
      <c r="G481" s="80" t="s">
        <v>2696</v>
      </c>
      <c r="H481" s="79">
        <v>20</v>
      </c>
      <c r="I481" s="79">
        <v>1580.59</v>
      </c>
      <c r="J481" s="79">
        <v>31611.8</v>
      </c>
    </row>
    <row r="482" spans="1:10" ht="15" thickBot="1">
      <c r="A482" s="98" t="s">
        <v>2482</v>
      </c>
      <c r="B482" s="80" t="s">
        <v>2681</v>
      </c>
      <c r="C482" s="80" t="s">
        <v>2655</v>
      </c>
      <c r="D482" s="80" t="s">
        <v>2645</v>
      </c>
      <c r="E482" s="80" t="s">
        <v>2642</v>
      </c>
      <c r="F482" s="80" t="s">
        <v>2370</v>
      </c>
      <c r="G482" s="80" t="s">
        <v>2701</v>
      </c>
      <c r="H482" s="79">
        <v>6</v>
      </c>
      <c r="I482" s="79">
        <v>809.57</v>
      </c>
      <c r="J482" s="79">
        <v>4857.42</v>
      </c>
    </row>
    <row r="483" spans="1:10" ht="15" thickBot="1">
      <c r="A483" s="98" t="s">
        <v>2467</v>
      </c>
      <c r="B483" s="80" t="s">
        <v>2684</v>
      </c>
      <c r="C483" s="80" t="s">
        <v>2393</v>
      </c>
      <c r="D483" s="80" t="s">
        <v>2644</v>
      </c>
      <c r="E483" s="80" t="s">
        <v>2641</v>
      </c>
      <c r="F483" s="80" t="s">
        <v>2374</v>
      </c>
      <c r="G483" s="80" t="s">
        <v>2692</v>
      </c>
      <c r="H483" s="79">
        <v>6</v>
      </c>
      <c r="I483" s="79">
        <v>1221.52</v>
      </c>
      <c r="J483" s="79">
        <v>7329.12</v>
      </c>
    </row>
    <row r="484" spans="1:10" ht="15" thickBot="1">
      <c r="A484" s="98">
        <v>45054</v>
      </c>
      <c r="B484" s="80" t="s">
        <v>2680</v>
      </c>
      <c r="C484" s="80" t="s">
        <v>2649</v>
      </c>
      <c r="D484" s="80" t="s">
        <v>2645</v>
      </c>
      <c r="E484" s="80" t="s">
        <v>2642</v>
      </c>
      <c r="F484" s="80" t="s">
        <v>2373</v>
      </c>
      <c r="G484" s="80" t="s">
        <v>2688</v>
      </c>
      <c r="H484" s="79">
        <v>4</v>
      </c>
      <c r="I484" s="79">
        <v>2457.5</v>
      </c>
      <c r="J484" s="79">
        <v>9830</v>
      </c>
    </row>
    <row r="485" spans="1:10" ht="15" thickBot="1">
      <c r="A485" s="98">
        <v>45115</v>
      </c>
      <c r="B485" s="80" t="s">
        <v>2680</v>
      </c>
      <c r="C485" s="80" t="s">
        <v>2655</v>
      </c>
      <c r="D485" s="80" t="s">
        <v>2645</v>
      </c>
      <c r="E485" s="80" t="s">
        <v>2642</v>
      </c>
      <c r="F485" s="80" t="s">
        <v>2374</v>
      </c>
      <c r="G485" s="80" t="s">
        <v>2704</v>
      </c>
      <c r="H485" s="79">
        <v>12</v>
      </c>
      <c r="I485" s="79">
        <v>2820.88</v>
      </c>
      <c r="J485" s="79">
        <v>33850.559999999998</v>
      </c>
    </row>
    <row r="486" spans="1:10" ht="15" thickBot="1">
      <c r="A486" s="98">
        <v>45143</v>
      </c>
      <c r="B486" s="80" t="s">
        <v>2686</v>
      </c>
      <c r="C486" s="80" t="s">
        <v>2392</v>
      </c>
      <c r="D486" s="80" t="s">
        <v>2644</v>
      </c>
      <c r="E486" s="80" t="s">
        <v>2641</v>
      </c>
      <c r="F486" s="80" t="s">
        <v>2374</v>
      </c>
      <c r="G486" s="80" t="s">
        <v>2689</v>
      </c>
      <c r="H486" s="79">
        <v>10</v>
      </c>
      <c r="I486" s="79">
        <v>1512.64</v>
      </c>
      <c r="J486" s="79">
        <v>15126.4</v>
      </c>
    </row>
    <row r="487" spans="1:10" ht="15" thickBot="1">
      <c r="A487" s="98" t="s">
        <v>2589</v>
      </c>
      <c r="B487" s="80" t="s">
        <v>2683</v>
      </c>
      <c r="C487" s="80" t="s">
        <v>2660</v>
      </c>
      <c r="D487" s="80" t="s">
        <v>2647</v>
      </c>
      <c r="E487" s="80" t="s">
        <v>2643</v>
      </c>
      <c r="F487" s="80" t="s">
        <v>2661</v>
      </c>
      <c r="G487" s="80" t="s">
        <v>2691</v>
      </c>
      <c r="H487" s="79">
        <v>5</v>
      </c>
      <c r="I487" s="79">
        <v>3199.14</v>
      </c>
      <c r="J487" s="79">
        <v>15995.7</v>
      </c>
    </row>
    <row r="488" spans="1:10" ht="15" thickBot="1">
      <c r="A488" s="98" t="s">
        <v>2504</v>
      </c>
      <c r="B488" s="80" t="s">
        <v>2678</v>
      </c>
      <c r="C488" s="80" t="s">
        <v>2656</v>
      </c>
      <c r="D488" s="80" t="s">
        <v>2648</v>
      </c>
      <c r="E488" s="80" t="s">
        <v>2641</v>
      </c>
      <c r="F488" s="80" t="s">
        <v>2370</v>
      </c>
      <c r="G488" s="80" t="s">
        <v>2702</v>
      </c>
      <c r="H488" s="79">
        <v>11</v>
      </c>
      <c r="I488" s="79">
        <v>4315</v>
      </c>
      <c r="J488" s="79">
        <v>47465</v>
      </c>
    </row>
    <row r="489" spans="1:10" ht="15" thickBot="1">
      <c r="A489" s="98">
        <v>45057</v>
      </c>
      <c r="B489" s="80" t="s">
        <v>2679</v>
      </c>
      <c r="C489" s="80" t="s">
        <v>2653</v>
      </c>
      <c r="D489" s="80" t="s">
        <v>2644</v>
      </c>
      <c r="E489" s="80" t="s">
        <v>2641</v>
      </c>
      <c r="F489" s="80" t="s">
        <v>2661</v>
      </c>
      <c r="G489" s="80" t="s">
        <v>2696</v>
      </c>
      <c r="H489" s="79">
        <v>9</v>
      </c>
      <c r="I489" s="79">
        <v>2118.17</v>
      </c>
      <c r="J489" s="79">
        <v>19063.53</v>
      </c>
    </row>
    <row r="490" spans="1:10" ht="15" thickBot="1">
      <c r="A490" s="98">
        <v>45017</v>
      </c>
      <c r="B490" s="80" t="s">
        <v>2687</v>
      </c>
      <c r="C490" s="80" t="s">
        <v>2660</v>
      </c>
      <c r="D490" s="80" t="s">
        <v>2647</v>
      </c>
      <c r="E490" s="80" t="s">
        <v>2643</v>
      </c>
      <c r="F490" s="80" t="s">
        <v>2374</v>
      </c>
      <c r="G490" s="80" t="s">
        <v>2692</v>
      </c>
      <c r="H490" s="79">
        <v>18</v>
      </c>
      <c r="I490" s="79">
        <v>1042.99</v>
      </c>
      <c r="J490" s="79">
        <v>18773.82</v>
      </c>
    </row>
    <row r="491" spans="1:10" ht="15" thickBot="1">
      <c r="A491" s="98" t="s">
        <v>2468</v>
      </c>
      <c r="B491" s="80" t="s">
        <v>2679</v>
      </c>
      <c r="C491" s="80" t="s">
        <v>2659</v>
      </c>
      <c r="D491" s="80" t="s">
        <v>2647</v>
      </c>
      <c r="E491" s="80" t="s">
        <v>2643</v>
      </c>
      <c r="F491" s="80" t="s">
        <v>2370</v>
      </c>
      <c r="G491" s="80" t="s">
        <v>2702</v>
      </c>
      <c r="H491" s="79">
        <v>6</v>
      </c>
      <c r="I491" s="79">
        <v>4707.38</v>
      </c>
      <c r="J491" s="79">
        <v>28244.28</v>
      </c>
    </row>
    <row r="492" spans="1:10" ht="15" thickBot="1">
      <c r="A492" s="98" t="s">
        <v>2508</v>
      </c>
      <c r="B492" s="80" t="s">
        <v>2682</v>
      </c>
      <c r="C492" s="80" t="s">
        <v>2653</v>
      </c>
      <c r="D492" s="80" t="s">
        <v>2644</v>
      </c>
      <c r="E492" s="80" t="s">
        <v>2641</v>
      </c>
      <c r="F492" s="80" t="s">
        <v>2661</v>
      </c>
      <c r="G492" s="80" t="s">
        <v>2696</v>
      </c>
      <c r="H492" s="79">
        <v>8</v>
      </c>
      <c r="I492" s="79">
        <v>360.87</v>
      </c>
      <c r="J492" s="79">
        <v>2886.96</v>
      </c>
    </row>
    <row r="493" spans="1:10" ht="15" thickBot="1">
      <c r="A493" s="98">
        <v>45140</v>
      </c>
      <c r="B493" s="80" t="s">
        <v>2681</v>
      </c>
      <c r="C493" s="80" t="s">
        <v>2650</v>
      </c>
      <c r="D493" s="80" t="s">
        <v>2646</v>
      </c>
      <c r="E493" s="80" t="s">
        <v>2642</v>
      </c>
      <c r="F493" s="80" t="s">
        <v>2374</v>
      </c>
      <c r="G493" s="80" t="s">
        <v>2700</v>
      </c>
      <c r="H493" s="79">
        <v>12</v>
      </c>
      <c r="I493" s="79">
        <v>2519.65</v>
      </c>
      <c r="J493" s="79">
        <v>30235.8</v>
      </c>
    </row>
    <row r="494" spans="1:10" ht="15" thickBot="1">
      <c r="A494" s="98">
        <v>45176</v>
      </c>
      <c r="B494" s="80" t="s">
        <v>2680</v>
      </c>
      <c r="C494" s="80" t="s">
        <v>2660</v>
      </c>
      <c r="D494" s="80" t="s">
        <v>2647</v>
      </c>
      <c r="E494" s="80" t="s">
        <v>2643</v>
      </c>
      <c r="F494" s="80" t="s">
        <v>2374</v>
      </c>
      <c r="G494" s="80" t="s">
        <v>2692</v>
      </c>
      <c r="H494" s="79">
        <v>7</v>
      </c>
      <c r="I494" s="79">
        <v>2861.67</v>
      </c>
      <c r="J494" s="79">
        <v>20031.689999999999</v>
      </c>
    </row>
    <row r="495" spans="1:10" ht="15" thickBot="1">
      <c r="A495" s="98" t="s">
        <v>2476</v>
      </c>
      <c r="B495" s="80" t="s">
        <v>2680</v>
      </c>
      <c r="C495" s="80" t="s">
        <v>2652</v>
      </c>
      <c r="D495" s="80" t="s">
        <v>2647</v>
      </c>
      <c r="E495" s="80" t="s">
        <v>2643</v>
      </c>
      <c r="F495" s="80" t="s">
        <v>2661</v>
      </c>
      <c r="G495" s="80" t="s">
        <v>2695</v>
      </c>
      <c r="H495" s="79">
        <v>11</v>
      </c>
      <c r="I495" s="79">
        <v>4896.83</v>
      </c>
      <c r="J495" s="79">
        <v>53865.13</v>
      </c>
    </row>
    <row r="496" spans="1:10" ht="15" thickBot="1">
      <c r="A496" s="98" t="s">
        <v>2627</v>
      </c>
      <c r="B496" s="80" t="s">
        <v>2679</v>
      </c>
      <c r="C496" s="80" t="s">
        <v>2656</v>
      </c>
      <c r="D496" s="80" t="s">
        <v>2648</v>
      </c>
      <c r="E496" s="80" t="s">
        <v>2641</v>
      </c>
      <c r="F496" s="80" t="s">
        <v>2370</v>
      </c>
      <c r="G496" s="80" t="s">
        <v>1336</v>
      </c>
      <c r="H496" s="79">
        <v>15</v>
      </c>
      <c r="I496" s="79">
        <v>4180.6099999999997</v>
      </c>
      <c r="J496" s="79">
        <v>62709.15</v>
      </c>
    </row>
    <row r="497" spans="1:10" ht="15" thickBot="1">
      <c r="A497" s="98">
        <v>45242</v>
      </c>
      <c r="B497" s="80" t="s">
        <v>2683</v>
      </c>
      <c r="C497" s="80" t="s">
        <v>2659</v>
      </c>
      <c r="D497" s="80" t="s">
        <v>2647</v>
      </c>
      <c r="E497" s="80" t="s">
        <v>2643</v>
      </c>
      <c r="F497" s="80" t="s">
        <v>2661</v>
      </c>
      <c r="G497" s="80" t="s">
        <v>2691</v>
      </c>
      <c r="H497" s="79">
        <v>2</v>
      </c>
      <c r="I497" s="79">
        <v>3747.71</v>
      </c>
      <c r="J497" s="79">
        <v>7495.42</v>
      </c>
    </row>
    <row r="498" spans="1:10" ht="15" thickBot="1">
      <c r="A498" s="98" t="s">
        <v>2677</v>
      </c>
      <c r="B498" s="80" t="s">
        <v>2686</v>
      </c>
      <c r="C498" s="80" t="s">
        <v>2659</v>
      </c>
      <c r="D498" s="80" t="s">
        <v>2647</v>
      </c>
      <c r="E498" s="80" t="s">
        <v>2643</v>
      </c>
      <c r="F498" s="80" t="s">
        <v>2374</v>
      </c>
      <c r="G498" s="80" t="s">
        <v>2700</v>
      </c>
      <c r="H498" s="79">
        <v>3</v>
      </c>
      <c r="I498" s="79">
        <v>2792.38</v>
      </c>
      <c r="J498" s="79">
        <v>8377.14</v>
      </c>
    </row>
    <row r="499" spans="1:10" ht="15" thickBot="1">
      <c r="A499" s="98">
        <v>45028</v>
      </c>
      <c r="B499" s="80" t="s">
        <v>2682</v>
      </c>
      <c r="C499" s="80" t="s">
        <v>2392</v>
      </c>
      <c r="D499" s="80" t="s">
        <v>2644</v>
      </c>
      <c r="E499" s="80" t="s">
        <v>2641</v>
      </c>
      <c r="F499" s="80" t="s">
        <v>2370</v>
      </c>
      <c r="G499" s="80" t="s">
        <v>1336</v>
      </c>
      <c r="H499" s="79">
        <v>17</v>
      </c>
      <c r="I499" s="79">
        <v>683.31</v>
      </c>
      <c r="J499" s="79">
        <v>11616.27</v>
      </c>
    </row>
    <row r="500" spans="1:10" ht="15" thickBot="1">
      <c r="A500" s="98">
        <v>44986</v>
      </c>
      <c r="B500" s="80" t="s">
        <v>2683</v>
      </c>
      <c r="C500" s="80" t="s">
        <v>2652</v>
      </c>
      <c r="D500" s="80" t="s">
        <v>2647</v>
      </c>
      <c r="E500" s="80" t="s">
        <v>2643</v>
      </c>
      <c r="F500" s="80" t="s">
        <v>2372</v>
      </c>
      <c r="G500" s="80" t="s">
        <v>2694</v>
      </c>
      <c r="H500" s="79">
        <v>20</v>
      </c>
      <c r="I500" s="79">
        <v>3463.6</v>
      </c>
      <c r="J500" s="79">
        <v>69272</v>
      </c>
    </row>
    <row r="501" spans="1:10" ht="15" thickBot="1">
      <c r="A501" s="98" t="s">
        <v>2451</v>
      </c>
      <c r="B501" s="80" t="s">
        <v>2681</v>
      </c>
      <c r="C501" s="80" t="s">
        <v>2649</v>
      </c>
      <c r="D501" s="80" t="s">
        <v>2645</v>
      </c>
      <c r="E501" s="80" t="s">
        <v>2642</v>
      </c>
      <c r="F501" s="80" t="s">
        <v>2374</v>
      </c>
      <c r="G501" s="80" t="s">
        <v>2704</v>
      </c>
      <c r="H501" s="79">
        <v>9</v>
      </c>
      <c r="I501" s="79">
        <v>1609.98</v>
      </c>
      <c r="J501" s="79">
        <v>14489.82</v>
      </c>
    </row>
    <row r="502" spans="1:10" ht="15" thickBot="1">
      <c r="A502" s="98">
        <v>45084</v>
      </c>
      <c r="B502" s="80" t="s">
        <v>2679</v>
      </c>
      <c r="C502" s="80" t="s">
        <v>2392</v>
      </c>
      <c r="D502" s="80" t="s">
        <v>2644</v>
      </c>
      <c r="E502" s="80" t="s">
        <v>2641</v>
      </c>
      <c r="F502" s="80" t="s">
        <v>2374</v>
      </c>
      <c r="G502" s="80" t="s">
        <v>2700</v>
      </c>
      <c r="H502" s="79">
        <v>4</v>
      </c>
      <c r="I502" s="79">
        <v>2836.34</v>
      </c>
      <c r="J502" s="79">
        <v>11345.36</v>
      </c>
    </row>
    <row r="503" spans="1:10" ht="15" thickBot="1">
      <c r="A503" s="98" t="s">
        <v>2584</v>
      </c>
      <c r="B503" s="80" t="s">
        <v>2685</v>
      </c>
      <c r="C503" s="80" t="s">
        <v>2656</v>
      </c>
      <c r="D503" s="80" t="s">
        <v>2648</v>
      </c>
      <c r="E503" s="80" t="s">
        <v>2641</v>
      </c>
      <c r="F503" s="80" t="s">
        <v>2370</v>
      </c>
      <c r="G503" s="80" t="s">
        <v>2701</v>
      </c>
      <c r="H503" s="79">
        <v>18</v>
      </c>
      <c r="I503" s="79">
        <v>3238.98</v>
      </c>
      <c r="J503" s="79">
        <v>58301.64</v>
      </c>
    </row>
    <row r="504" spans="1:10" ht="15" thickBot="1">
      <c r="A504" s="98" t="s">
        <v>2544</v>
      </c>
      <c r="B504" s="80" t="s">
        <v>2681</v>
      </c>
      <c r="C504" s="80" t="s">
        <v>2649</v>
      </c>
      <c r="D504" s="80" t="s">
        <v>2645</v>
      </c>
      <c r="E504" s="80" t="s">
        <v>2642</v>
      </c>
      <c r="F504" s="80" t="s">
        <v>2373</v>
      </c>
      <c r="G504" s="80" t="s">
        <v>2703</v>
      </c>
      <c r="H504" s="79">
        <v>20</v>
      </c>
      <c r="I504" s="79">
        <v>2791.25</v>
      </c>
      <c r="J504" s="79">
        <v>55825</v>
      </c>
    </row>
    <row r="505" spans="1:10" ht="15" thickBot="1">
      <c r="A505" s="98" t="s">
        <v>2579</v>
      </c>
      <c r="B505" s="80" t="s">
        <v>2679</v>
      </c>
      <c r="C505" s="80" t="s">
        <v>2396</v>
      </c>
      <c r="D505" s="80" t="s">
        <v>2648</v>
      </c>
      <c r="E505" s="80" t="s">
        <v>2641</v>
      </c>
      <c r="F505" s="80" t="s">
        <v>2372</v>
      </c>
      <c r="G505" s="80" t="s">
        <v>2690</v>
      </c>
      <c r="H505" s="79">
        <v>1</v>
      </c>
      <c r="I505" s="79">
        <v>3165.04</v>
      </c>
      <c r="J505" s="79">
        <v>3165.04</v>
      </c>
    </row>
    <row r="506" spans="1:10" ht="15" thickBot="1">
      <c r="A506" s="98">
        <v>45117</v>
      </c>
      <c r="B506" s="80" t="s">
        <v>2679</v>
      </c>
      <c r="C506" s="80" t="s">
        <v>2653</v>
      </c>
      <c r="D506" s="80" t="s">
        <v>2644</v>
      </c>
      <c r="E506" s="80" t="s">
        <v>2641</v>
      </c>
      <c r="F506" s="80" t="s">
        <v>2374</v>
      </c>
      <c r="G506" s="80" t="s">
        <v>2689</v>
      </c>
      <c r="H506" s="79">
        <v>14</v>
      </c>
      <c r="I506" s="79">
        <v>3414.59</v>
      </c>
      <c r="J506" s="79">
        <v>47804.26</v>
      </c>
    </row>
    <row r="507" spans="1:10" ht="15" thickBot="1">
      <c r="A507" s="98">
        <v>45240</v>
      </c>
      <c r="B507" s="80" t="s">
        <v>2684</v>
      </c>
      <c r="C507" s="80" t="s">
        <v>2393</v>
      </c>
      <c r="D507" s="80" t="s">
        <v>2644</v>
      </c>
      <c r="E507" s="80" t="s">
        <v>2641</v>
      </c>
      <c r="F507" s="80" t="s">
        <v>2370</v>
      </c>
      <c r="G507" s="80" t="s">
        <v>2701</v>
      </c>
      <c r="H507" s="79">
        <v>4</v>
      </c>
      <c r="I507" s="79">
        <v>3896.69</v>
      </c>
      <c r="J507" s="79">
        <v>15586.76</v>
      </c>
    </row>
    <row r="508" spans="1:10" ht="15" thickBot="1">
      <c r="A508" s="98" t="s">
        <v>2571</v>
      </c>
      <c r="B508" s="80" t="s">
        <v>2681</v>
      </c>
      <c r="C508" s="80" t="s">
        <v>2651</v>
      </c>
      <c r="D508" s="80" t="s">
        <v>2646</v>
      </c>
      <c r="E508" s="80" t="s">
        <v>2642</v>
      </c>
      <c r="F508" s="80" t="s">
        <v>2372</v>
      </c>
      <c r="G508" s="80" t="s">
        <v>2699</v>
      </c>
      <c r="H508" s="79">
        <v>5</v>
      </c>
      <c r="I508" s="79">
        <v>2024.36</v>
      </c>
      <c r="J508" s="79">
        <v>10121.799999999999</v>
      </c>
    </row>
    <row r="509" spans="1:10" ht="15" thickBot="1">
      <c r="A509" s="98">
        <v>45207</v>
      </c>
      <c r="B509" s="80" t="s">
        <v>2682</v>
      </c>
      <c r="C509" s="80" t="s">
        <v>2660</v>
      </c>
      <c r="D509" s="80" t="s">
        <v>2647</v>
      </c>
      <c r="E509" s="80" t="s">
        <v>2643</v>
      </c>
      <c r="F509" s="80" t="s">
        <v>2372</v>
      </c>
      <c r="G509" s="80" t="s">
        <v>2690</v>
      </c>
      <c r="H509" s="79">
        <v>17</v>
      </c>
      <c r="I509" s="79">
        <v>102.62</v>
      </c>
      <c r="J509" s="79">
        <v>1744.54</v>
      </c>
    </row>
    <row r="510" spans="1:10" ht="15" thickBot="1">
      <c r="A510" s="98" t="s">
        <v>2535</v>
      </c>
      <c r="B510" s="80" t="s">
        <v>2681</v>
      </c>
      <c r="C510" s="80" t="s">
        <v>2396</v>
      </c>
      <c r="D510" s="80" t="s">
        <v>2648</v>
      </c>
      <c r="E510" s="80" t="s">
        <v>2641</v>
      </c>
      <c r="F510" s="80" t="s">
        <v>2374</v>
      </c>
      <c r="G510" s="80" t="s">
        <v>2689</v>
      </c>
      <c r="H510" s="79">
        <v>7</v>
      </c>
      <c r="I510" s="79">
        <v>146.52000000000001</v>
      </c>
      <c r="J510" s="79">
        <v>1025.6400000000001</v>
      </c>
    </row>
    <row r="511" spans="1:10" ht="15" thickBot="1">
      <c r="A511" s="98" t="s">
        <v>2551</v>
      </c>
      <c r="B511" s="80" t="s">
        <v>2682</v>
      </c>
      <c r="C511" s="80" t="s">
        <v>2660</v>
      </c>
      <c r="D511" s="80" t="s">
        <v>2647</v>
      </c>
      <c r="E511" s="80" t="s">
        <v>2643</v>
      </c>
      <c r="F511" s="80" t="s">
        <v>2373</v>
      </c>
      <c r="G511" s="80" t="s">
        <v>2703</v>
      </c>
      <c r="H511" s="79">
        <v>2</v>
      </c>
      <c r="I511" s="79">
        <v>4248</v>
      </c>
      <c r="J511" s="79">
        <v>8496</v>
      </c>
    </row>
    <row r="512" spans="1:10" ht="15" thickBot="1">
      <c r="A512" s="98">
        <v>44929</v>
      </c>
      <c r="B512" s="80" t="s">
        <v>2687</v>
      </c>
      <c r="C512" s="80" t="s">
        <v>2653</v>
      </c>
      <c r="D512" s="80" t="s">
        <v>2644</v>
      </c>
      <c r="E512" s="80" t="s">
        <v>2641</v>
      </c>
      <c r="F512" s="80" t="s">
        <v>2372</v>
      </c>
      <c r="G512" s="80" t="s">
        <v>2690</v>
      </c>
      <c r="H512" s="79">
        <v>8</v>
      </c>
      <c r="I512" s="79">
        <v>3075.58</v>
      </c>
      <c r="J512" s="79">
        <v>24604.639999999999</v>
      </c>
    </row>
    <row r="513" spans="1:10" ht="15" thickBot="1">
      <c r="A513" s="98" t="s">
        <v>2535</v>
      </c>
      <c r="B513" s="80" t="s">
        <v>2683</v>
      </c>
      <c r="C513" s="80" t="s">
        <v>2652</v>
      </c>
      <c r="D513" s="80" t="s">
        <v>2647</v>
      </c>
      <c r="E513" s="80" t="s">
        <v>2643</v>
      </c>
      <c r="F513" s="80" t="s">
        <v>2661</v>
      </c>
      <c r="G513" s="80" t="s">
        <v>2691</v>
      </c>
      <c r="H513" s="79">
        <v>13</v>
      </c>
      <c r="I513" s="79">
        <v>1246.1400000000001</v>
      </c>
      <c r="J513" s="79">
        <v>16199.82</v>
      </c>
    </row>
    <row r="514" spans="1:10" ht="15" thickBot="1">
      <c r="A514" s="98">
        <v>44966</v>
      </c>
      <c r="B514" s="80" t="s">
        <v>2686</v>
      </c>
      <c r="C514" s="80" t="s">
        <v>2654</v>
      </c>
      <c r="D514" s="80" t="s">
        <v>2646</v>
      </c>
      <c r="E514" s="80" t="s">
        <v>2642</v>
      </c>
      <c r="F514" s="80" t="s">
        <v>2370</v>
      </c>
      <c r="G514" s="80" t="s">
        <v>1335</v>
      </c>
      <c r="H514" s="79">
        <v>16</v>
      </c>
      <c r="I514" s="79">
        <v>3942.95</v>
      </c>
      <c r="J514" s="79">
        <v>63087.199999999997</v>
      </c>
    </row>
    <row r="515" spans="1:10" ht="15" thickBot="1">
      <c r="A515" s="98">
        <v>45233</v>
      </c>
      <c r="B515" s="80" t="s">
        <v>2687</v>
      </c>
      <c r="C515" s="80" t="s">
        <v>2652</v>
      </c>
      <c r="D515" s="80" t="s">
        <v>2647</v>
      </c>
      <c r="E515" s="80" t="s">
        <v>2643</v>
      </c>
      <c r="F515" s="80" t="s">
        <v>2374</v>
      </c>
      <c r="G515" s="80" t="s">
        <v>2704</v>
      </c>
      <c r="H515" s="79">
        <v>1</v>
      </c>
      <c r="I515" s="79">
        <v>936.56</v>
      </c>
      <c r="J515" s="79">
        <v>936.56</v>
      </c>
    </row>
    <row r="516" spans="1:10" ht="15" thickBot="1">
      <c r="A516" s="98" t="s">
        <v>2529</v>
      </c>
      <c r="B516" s="80" t="s">
        <v>2684</v>
      </c>
      <c r="C516" s="80" t="s">
        <v>2660</v>
      </c>
      <c r="D516" s="80" t="s">
        <v>2647</v>
      </c>
      <c r="E516" s="80" t="s">
        <v>2643</v>
      </c>
      <c r="F516" s="80" t="s">
        <v>2372</v>
      </c>
      <c r="G516" s="80" t="s">
        <v>2690</v>
      </c>
      <c r="H516" s="79">
        <v>7</v>
      </c>
      <c r="I516" s="79">
        <v>1628.68</v>
      </c>
      <c r="J516" s="79">
        <v>11400.76</v>
      </c>
    </row>
    <row r="517" spans="1:10" ht="15" thickBot="1">
      <c r="A517" s="98" t="s">
        <v>2611</v>
      </c>
      <c r="B517" s="80" t="s">
        <v>2685</v>
      </c>
      <c r="C517" s="80" t="s">
        <v>2396</v>
      </c>
      <c r="D517" s="80" t="s">
        <v>2648</v>
      </c>
      <c r="E517" s="80" t="s">
        <v>2641</v>
      </c>
      <c r="F517" s="80" t="s">
        <v>2374</v>
      </c>
      <c r="G517" s="80" t="s">
        <v>2692</v>
      </c>
      <c r="H517" s="79">
        <v>10</v>
      </c>
      <c r="I517" s="79">
        <v>3400.28</v>
      </c>
      <c r="J517" s="79">
        <v>34002.800000000003</v>
      </c>
    </row>
    <row r="518" spans="1:10" ht="15" thickBot="1">
      <c r="A518" s="98">
        <v>45081</v>
      </c>
      <c r="B518" s="80" t="s">
        <v>2682</v>
      </c>
      <c r="C518" s="80" t="s">
        <v>2655</v>
      </c>
      <c r="D518" s="80" t="s">
        <v>2645</v>
      </c>
      <c r="E518" s="80" t="s">
        <v>2642</v>
      </c>
      <c r="F518" s="80" t="s">
        <v>2374</v>
      </c>
      <c r="G518" s="80" t="s">
        <v>2700</v>
      </c>
      <c r="H518" s="79">
        <v>18</v>
      </c>
      <c r="I518" s="79">
        <v>2722.99</v>
      </c>
      <c r="J518" s="79">
        <v>49013.82</v>
      </c>
    </row>
    <row r="519" spans="1:10" ht="15" thickBot="1">
      <c r="A519" s="98">
        <v>45082</v>
      </c>
      <c r="B519" s="80" t="s">
        <v>2680</v>
      </c>
      <c r="C519" s="80" t="s">
        <v>2658</v>
      </c>
      <c r="D519" s="80" t="s">
        <v>2645</v>
      </c>
      <c r="E519" s="80" t="s">
        <v>2642</v>
      </c>
      <c r="F519" s="80" t="s">
        <v>2661</v>
      </c>
      <c r="G519" s="80" t="s">
        <v>2696</v>
      </c>
      <c r="H519" s="79">
        <v>8</v>
      </c>
      <c r="I519" s="79">
        <v>4612.53</v>
      </c>
      <c r="J519" s="79">
        <v>36900.239999999998</v>
      </c>
    </row>
    <row r="520" spans="1:10" ht="15" thickBot="1">
      <c r="A520" s="98" t="s">
        <v>2440</v>
      </c>
      <c r="B520" s="80" t="s">
        <v>2682</v>
      </c>
      <c r="C520" s="80" t="s">
        <v>2653</v>
      </c>
      <c r="D520" s="80" t="s">
        <v>2644</v>
      </c>
      <c r="E520" s="80" t="s">
        <v>2641</v>
      </c>
      <c r="F520" s="80" t="s">
        <v>2661</v>
      </c>
      <c r="G520" s="80" t="s">
        <v>2691</v>
      </c>
      <c r="H520" s="79">
        <v>13</v>
      </c>
      <c r="I520" s="79">
        <v>2040.1</v>
      </c>
      <c r="J520" s="79">
        <v>26521.3</v>
      </c>
    </row>
    <row r="521" spans="1:10" ht="15" thickBot="1">
      <c r="A521" s="98" t="s">
        <v>2537</v>
      </c>
      <c r="B521" s="80" t="s">
        <v>2683</v>
      </c>
      <c r="C521" s="80" t="s">
        <v>2655</v>
      </c>
      <c r="D521" s="80" t="s">
        <v>2645</v>
      </c>
      <c r="E521" s="80" t="s">
        <v>2642</v>
      </c>
      <c r="F521" s="80" t="s">
        <v>2370</v>
      </c>
      <c r="G521" s="80" t="s">
        <v>2702</v>
      </c>
      <c r="H521" s="79">
        <v>17</v>
      </c>
      <c r="I521" s="79">
        <v>1122.98</v>
      </c>
      <c r="J521" s="79">
        <v>19090.66</v>
      </c>
    </row>
    <row r="522" spans="1:10" ht="15" thickBot="1">
      <c r="A522" s="98">
        <v>45027</v>
      </c>
      <c r="B522" s="80" t="s">
        <v>2681</v>
      </c>
      <c r="C522" s="80" t="s">
        <v>2653</v>
      </c>
      <c r="D522" s="80" t="s">
        <v>2644</v>
      </c>
      <c r="E522" s="80" t="s">
        <v>2641</v>
      </c>
      <c r="F522" s="80" t="s">
        <v>2661</v>
      </c>
      <c r="G522" s="80" t="s">
        <v>2691</v>
      </c>
      <c r="H522" s="79">
        <v>16</v>
      </c>
      <c r="I522" s="79">
        <v>2458.6</v>
      </c>
      <c r="J522" s="79">
        <v>39337.599999999999</v>
      </c>
    </row>
    <row r="523" spans="1:10" ht="15" thickBot="1">
      <c r="A523" s="98" t="s">
        <v>2636</v>
      </c>
      <c r="B523" s="80" t="s">
        <v>2687</v>
      </c>
      <c r="C523" s="80" t="s">
        <v>2653</v>
      </c>
      <c r="D523" s="80" t="s">
        <v>2644</v>
      </c>
      <c r="E523" s="80" t="s">
        <v>2641</v>
      </c>
      <c r="F523" s="80" t="s">
        <v>2373</v>
      </c>
      <c r="G523" s="80" t="s">
        <v>2697</v>
      </c>
      <c r="H523" s="79">
        <v>9</v>
      </c>
      <c r="I523" s="79">
        <v>3195.18</v>
      </c>
      <c r="J523" s="79">
        <v>28756.62</v>
      </c>
    </row>
    <row r="524" spans="1:10" ht="15" thickBot="1">
      <c r="A524" s="98">
        <v>45026</v>
      </c>
      <c r="B524" s="80" t="s">
        <v>2681</v>
      </c>
      <c r="C524" s="80" t="s">
        <v>2654</v>
      </c>
      <c r="D524" s="80" t="s">
        <v>2646</v>
      </c>
      <c r="E524" s="80" t="s">
        <v>2642</v>
      </c>
      <c r="F524" s="80" t="s">
        <v>2373</v>
      </c>
      <c r="G524" s="80" t="s">
        <v>2703</v>
      </c>
      <c r="H524" s="79">
        <v>3</v>
      </c>
      <c r="I524" s="79">
        <v>384.96</v>
      </c>
      <c r="J524" s="79">
        <v>1154.8800000000001</v>
      </c>
    </row>
    <row r="525" spans="1:10" ht="15" thickBot="1">
      <c r="A525" s="98" t="s">
        <v>2610</v>
      </c>
      <c r="B525" s="80" t="s">
        <v>2684</v>
      </c>
      <c r="C525" s="80" t="s">
        <v>2653</v>
      </c>
      <c r="D525" s="80" t="s">
        <v>2644</v>
      </c>
      <c r="E525" s="80" t="s">
        <v>2641</v>
      </c>
      <c r="F525" s="80" t="s">
        <v>2661</v>
      </c>
      <c r="G525" s="80" t="s">
        <v>2695</v>
      </c>
      <c r="H525" s="79">
        <v>4</v>
      </c>
      <c r="I525" s="79">
        <v>3714.59</v>
      </c>
      <c r="J525" s="79">
        <v>14858.36</v>
      </c>
    </row>
    <row r="526" spans="1:10" ht="15" thickBot="1">
      <c r="A526" s="98" t="s">
        <v>2502</v>
      </c>
      <c r="B526" s="80" t="s">
        <v>2687</v>
      </c>
      <c r="C526" s="80" t="s">
        <v>2658</v>
      </c>
      <c r="D526" s="80" t="s">
        <v>2645</v>
      </c>
      <c r="E526" s="80" t="s">
        <v>2642</v>
      </c>
      <c r="F526" s="80" t="s">
        <v>2661</v>
      </c>
      <c r="G526" s="80" t="s">
        <v>2698</v>
      </c>
      <c r="H526" s="79">
        <v>9</v>
      </c>
      <c r="I526" s="79">
        <v>1765.86</v>
      </c>
      <c r="J526" s="79">
        <v>15892.74</v>
      </c>
    </row>
    <row r="527" spans="1:10" ht="15" thickBot="1">
      <c r="A527" s="98">
        <v>45114</v>
      </c>
      <c r="B527" s="80" t="s">
        <v>2678</v>
      </c>
      <c r="C527" s="80" t="s">
        <v>2656</v>
      </c>
      <c r="D527" s="80" t="s">
        <v>2648</v>
      </c>
      <c r="E527" s="80" t="s">
        <v>2641</v>
      </c>
      <c r="F527" s="80" t="s">
        <v>2661</v>
      </c>
      <c r="G527" s="80" t="s">
        <v>2695</v>
      </c>
      <c r="H527" s="79">
        <v>8</v>
      </c>
      <c r="I527" s="79">
        <v>3069.86</v>
      </c>
      <c r="J527" s="79">
        <v>24558.880000000001</v>
      </c>
    </row>
    <row r="528" spans="1:10" ht="15" thickBot="1">
      <c r="A528" s="98" t="s">
        <v>2673</v>
      </c>
      <c r="B528" s="80" t="s">
        <v>2685</v>
      </c>
      <c r="C528" s="80" t="s">
        <v>2659</v>
      </c>
      <c r="D528" s="80" t="s">
        <v>2647</v>
      </c>
      <c r="E528" s="80" t="s">
        <v>2643</v>
      </c>
      <c r="F528" s="80" t="s">
        <v>2373</v>
      </c>
      <c r="G528" s="80" t="s">
        <v>2688</v>
      </c>
      <c r="H528" s="79">
        <v>9</v>
      </c>
      <c r="I528" s="79">
        <v>1720.47</v>
      </c>
      <c r="J528" s="79">
        <v>15484.23</v>
      </c>
    </row>
    <row r="529" spans="1:10" ht="15" thickBot="1">
      <c r="A529" s="98" t="s">
        <v>2447</v>
      </c>
      <c r="B529" s="80" t="s">
        <v>2682</v>
      </c>
      <c r="C529" s="80" t="s">
        <v>2649</v>
      </c>
      <c r="D529" s="80" t="s">
        <v>2645</v>
      </c>
      <c r="E529" s="80" t="s">
        <v>2642</v>
      </c>
      <c r="F529" s="80" t="s">
        <v>2372</v>
      </c>
      <c r="G529" s="80" t="s">
        <v>2693</v>
      </c>
      <c r="H529" s="79">
        <v>7</v>
      </c>
      <c r="I529" s="79">
        <v>3416.74</v>
      </c>
      <c r="J529" s="79">
        <v>23917.18</v>
      </c>
    </row>
    <row r="530" spans="1:10" ht="15" thickBot="1">
      <c r="A530" s="98" t="s">
        <v>2513</v>
      </c>
      <c r="B530" s="80" t="s">
        <v>2685</v>
      </c>
      <c r="C530" s="80" t="s">
        <v>2649</v>
      </c>
      <c r="D530" s="80" t="s">
        <v>2645</v>
      </c>
      <c r="E530" s="80" t="s">
        <v>2642</v>
      </c>
      <c r="F530" s="80" t="s">
        <v>2373</v>
      </c>
      <c r="G530" s="80" t="s">
        <v>2688</v>
      </c>
      <c r="H530" s="79">
        <v>7</v>
      </c>
      <c r="I530" s="79">
        <v>4741.12</v>
      </c>
      <c r="J530" s="79">
        <v>33187.839999999997</v>
      </c>
    </row>
    <row r="531" spans="1:10" ht="15" thickBot="1">
      <c r="A531" s="98">
        <v>45205</v>
      </c>
      <c r="B531" s="80" t="s">
        <v>2686</v>
      </c>
      <c r="C531" s="80" t="s">
        <v>2659</v>
      </c>
      <c r="D531" s="80" t="s">
        <v>2647</v>
      </c>
      <c r="E531" s="80" t="s">
        <v>2643</v>
      </c>
      <c r="F531" s="80" t="s">
        <v>2372</v>
      </c>
      <c r="G531" s="80" t="s">
        <v>2694</v>
      </c>
      <c r="H531" s="79">
        <v>20</v>
      </c>
      <c r="I531" s="79">
        <v>2721.24</v>
      </c>
      <c r="J531" s="79">
        <v>54424.800000000003</v>
      </c>
    </row>
    <row r="532" spans="1:10" ht="15" thickBot="1">
      <c r="A532" s="98" t="s">
        <v>2463</v>
      </c>
      <c r="B532" s="80" t="s">
        <v>2684</v>
      </c>
      <c r="C532" s="80" t="s">
        <v>2656</v>
      </c>
      <c r="D532" s="80" t="s">
        <v>2648</v>
      </c>
      <c r="E532" s="80" t="s">
        <v>2641</v>
      </c>
      <c r="F532" s="80" t="s">
        <v>2370</v>
      </c>
      <c r="G532" s="80" t="s">
        <v>1336</v>
      </c>
      <c r="H532" s="79">
        <v>4</v>
      </c>
      <c r="I532" s="79">
        <v>3751.49</v>
      </c>
      <c r="J532" s="79">
        <v>15005.96</v>
      </c>
    </row>
    <row r="533" spans="1:10" ht="15" thickBot="1">
      <c r="A533" s="98" t="s">
        <v>2537</v>
      </c>
      <c r="B533" s="80" t="s">
        <v>2687</v>
      </c>
      <c r="C533" s="80" t="s">
        <v>2655</v>
      </c>
      <c r="D533" s="80" t="s">
        <v>2645</v>
      </c>
      <c r="E533" s="80" t="s">
        <v>2642</v>
      </c>
      <c r="F533" s="80" t="s">
        <v>2372</v>
      </c>
      <c r="G533" s="80" t="s">
        <v>2699</v>
      </c>
      <c r="H533" s="79">
        <v>19</v>
      </c>
      <c r="I533" s="79">
        <v>4513.6000000000004</v>
      </c>
      <c r="J533" s="79">
        <v>85758.399999999994</v>
      </c>
    </row>
    <row r="534" spans="1:10" ht="15" thickBot="1">
      <c r="A534" s="98">
        <v>45231</v>
      </c>
      <c r="B534" s="80" t="s">
        <v>2686</v>
      </c>
      <c r="C534" s="80" t="s">
        <v>2654</v>
      </c>
      <c r="D534" s="80" t="s">
        <v>2646</v>
      </c>
      <c r="E534" s="80" t="s">
        <v>2642</v>
      </c>
      <c r="F534" s="80" t="s">
        <v>2373</v>
      </c>
      <c r="G534" s="80" t="s">
        <v>2705</v>
      </c>
      <c r="H534" s="79">
        <v>11</v>
      </c>
      <c r="I534" s="79">
        <v>3514.12</v>
      </c>
      <c r="J534" s="79">
        <v>38655.32</v>
      </c>
    </row>
    <row r="535" spans="1:10" ht="15" thickBot="1">
      <c r="A535" s="98" t="s">
        <v>2551</v>
      </c>
      <c r="B535" s="80" t="s">
        <v>2685</v>
      </c>
      <c r="C535" s="80" t="s">
        <v>2649</v>
      </c>
      <c r="D535" s="80" t="s">
        <v>2645</v>
      </c>
      <c r="E535" s="80" t="s">
        <v>2642</v>
      </c>
      <c r="F535" s="80" t="s">
        <v>2373</v>
      </c>
      <c r="G535" s="80" t="s">
        <v>2697</v>
      </c>
      <c r="H535" s="79">
        <v>13</v>
      </c>
      <c r="I535" s="79">
        <v>2109.15</v>
      </c>
      <c r="J535" s="79">
        <v>27418.95</v>
      </c>
    </row>
    <row r="536" spans="1:10" ht="15" thickBot="1">
      <c r="A536" s="98" t="s">
        <v>2535</v>
      </c>
      <c r="B536" s="80" t="s">
        <v>2679</v>
      </c>
      <c r="C536" s="80" t="s">
        <v>2654</v>
      </c>
      <c r="D536" s="80" t="s">
        <v>2646</v>
      </c>
      <c r="E536" s="80" t="s">
        <v>2642</v>
      </c>
      <c r="F536" s="80" t="s">
        <v>2372</v>
      </c>
      <c r="G536" s="80" t="s">
        <v>2693</v>
      </c>
      <c r="H536" s="79">
        <v>16</v>
      </c>
      <c r="I536" s="79">
        <v>4090.26</v>
      </c>
      <c r="J536" s="79">
        <v>65444.160000000003</v>
      </c>
    </row>
    <row r="537" spans="1:10" ht="15" thickBot="1">
      <c r="A537" s="98" t="s">
        <v>2454</v>
      </c>
      <c r="B537" s="80" t="s">
        <v>2680</v>
      </c>
      <c r="C537" s="80" t="s">
        <v>2657</v>
      </c>
      <c r="D537" s="80" t="s">
        <v>2648</v>
      </c>
      <c r="E537" s="80" t="s">
        <v>2641</v>
      </c>
      <c r="F537" s="80" t="s">
        <v>2372</v>
      </c>
      <c r="G537" s="80" t="s">
        <v>2694</v>
      </c>
      <c r="H537" s="79">
        <v>12</v>
      </c>
      <c r="I537" s="79">
        <v>219.32</v>
      </c>
      <c r="J537" s="79">
        <v>2631.84</v>
      </c>
    </row>
    <row r="538" spans="1:10" ht="15" thickBot="1">
      <c r="A538" s="98" t="s">
        <v>2666</v>
      </c>
      <c r="B538" s="80" t="s">
        <v>2678</v>
      </c>
      <c r="C538" s="80" t="s">
        <v>2659</v>
      </c>
      <c r="D538" s="80" t="s">
        <v>2647</v>
      </c>
      <c r="E538" s="80" t="s">
        <v>2643</v>
      </c>
      <c r="F538" s="80" t="s">
        <v>2374</v>
      </c>
      <c r="G538" s="80" t="s">
        <v>2700</v>
      </c>
      <c r="H538" s="79">
        <v>14</v>
      </c>
      <c r="I538" s="79">
        <v>264.77</v>
      </c>
      <c r="J538" s="79">
        <v>3706.78</v>
      </c>
    </row>
    <row r="539" spans="1:10" ht="15" thickBot="1">
      <c r="A539" s="98">
        <v>44931</v>
      </c>
      <c r="B539" s="80" t="s">
        <v>2686</v>
      </c>
      <c r="C539" s="80" t="s">
        <v>2651</v>
      </c>
      <c r="D539" s="80" t="s">
        <v>2646</v>
      </c>
      <c r="E539" s="80" t="s">
        <v>2642</v>
      </c>
      <c r="F539" s="80" t="s">
        <v>2372</v>
      </c>
      <c r="G539" s="80" t="s">
        <v>2694</v>
      </c>
      <c r="H539" s="79">
        <v>9</v>
      </c>
      <c r="I539" s="79">
        <v>2624.88</v>
      </c>
      <c r="J539" s="79">
        <v>23623.919999999998</v>
      </c>
    </row>
    <row r="540" spans="1:10" ht="15" thickBot="1">
      <c r="A540" s="98">
        <v>45022</v>
      </c>
      <c r="B540" s="80" t="s">
        <v>2683</v>
      </c>
      <c r="C540" s="80" t="s">
        <v>2396</v>
      </c>
      <c r="D540" s="80" t="s">
        <v>2648</v>
      </c>
      <c r="E540" s="80" t="s">
        <v>2641</v>
      </c>
      <c r="F540" s="80" t="s">
        <v>2373</v>
      </c>
      <c r="G540" s="80" t="s">
        <v>2703</v>
      </c>
      <c r="H540" s="79">
        <v>15</v>
      </c>
      <c r="I540" s="79">
        <v>1063.8800000000001</v>
      </c>
      <c r="J540" s="79">
        <v>15958.2</v>
      </c>
    </row>
    <row r="541" spans="1:10" ht="15" thickBot="1">
      <c r="A541" s="98" t="s">
        <v>2610</v>
      </c>
      <c r="B541" s="80" t="s">
        <v>2686</v>
      </c>
      <c r="C541" s="80" t="s">
        <v>2650</v>
      </c>
      <c r="D541" s="80" t="s">
        <v>2646</v>
      </c>
      <c r="E541" s="80" t="s">
        <v>2642</v>
      </c>
      <c r="F541" s="80" t="s">
        <v>2372</v>
      </c>
      <c r="G541" s="80" t="s">
        <v>2694</v>
      </c>
      <c r="H541" s="79">
        <v>2</v>
      </c>
      <c r="I541" s="79">
        <v>4277.8999999999996</v>
      </c>
      <c r="J541" s="79">
        <v>8555.7999999999993</v>
      </c>
    </row>
    <row r="542" spans="1:10" ht="15" thickBot="1">
      <c r="A542" s="98" t="s">
        <v>2466</v>
      </c>
      <c r="B542" s="80" t="s">
        <v>2678</v>
      </c>
      <c r="C542" s="80" t="s">
        <v>2656</v>
      </c>
      <c r="D542" s="80" t="s">
        <v>2648</v>
      </c>
      <c r="E542" s="80" t="s">
        <v>2641</v>
      </c>
      <c r="F542" s="80" t="s">
        <v>2372</v>
      </c>
      <c r="G542" s="80" t="s">
        <v>2699</v>
      </c>
      <c r="H542" s="79">
        <v>13</v>
      </c>
      <c r="I542" s="79">
        <v>1762.69</v>
      </c>
      <c r="J542" s="79">
        <v>22914.97</v>
      </c>
    </row>
    <row r="543" spans="1:10" ht="15" thickBot="1">
      <c r="A543" s="98" t="s">
        <v>2600</v>
      </c>
      <c r="B543" s="80" t="s">
        <v>2682</v>
      </c>
      <c r="C543" s="80" t="s">
        <v>2649</v>
      </c>
      <c r="D543" s="80" t="s">
        <v>2645</v>
      </c>
      <c r="E543" s="80" t="s">
        <v>2642</v>
      </c>
      <c r="F543" s="80" t="s">
        <v>2372</v>
      </c>
      <c r="G543" s="80" t="s">
        <v>2699</v>
      </c>
      <c r="H543" s="79">
        <v>6</v>
      </c>
      <c r="I543" s="79">
        <v>2069.96</v>
      </c>
      <c r="J543" s="79">
        <v>12419.76</v>
      </c>
    </row>
    <row r="544" spans="1:10" ht="15" thickBot="1">
      <c r="A544" s="98" t="s">
        <v>2677</v>
      </c>
      <c r="B544" s="80" t="s">
        <v>2679</v>
      </c>
      <c r="C544" s="80" t="s">
        <v>2652</v>
      </c>
      <c r="D544" s="80" t="s">
        <v>2647</v>
      </c>
      <c r="E544" s="80" t="s">
        <v>2643</v>
      </c>
      <c r="F544" s="80" t="s">
        <v>2372</v>
      </c>
      <c r="G544" s="80" t="s">
        <v>2694</v>
      </c>
      <c r="H544" s="79">
        <v>19</v>
      </c>
      <c r="I544" s="79">
        <v>3822.54</v>
      </c>
      <c r="J544" s="79">
        <v>72628.259999999995</v>
      </c>
    </row>
    <row r="545" spans="1:10" ht="15" thickBot="1">
      <c r="A545" s="98">
        <v>45087</v>
      </c>
      <c r="B545" s="80" t="s">
        <v>2679</v>
      </c>
      <c r="C545" s="80" t="s">
        <v>2652</v>
      </c>
      <c r="D545" s="80" t="s">
        <v>2647</v>
      </c>
      <c r="E545" s="80" t="s">
        <v>2643</v>
      </c>
      <c r="F545" s="80" t="s">
        <v>2661</v>
      </c>
      <c r="G545" s="80" t="s">
        <v>2696</v>
      </c>
      <c r="H545" s="79">
        <v>16</v>
      </c>
      <c r="I545" s="79">
        <v>242.23</v>
      </c>
      <c r="J545" s="79">
        <v>3875.68</v>
      </c>
    </row>
    <row r="546" spans="1:10" ht="15" thickBot="1">
      <c r="A546" s="98" t="s">
        <v>2577</v>
      </c>
      <c r="B546" s="80" t="s">
        <v>2683</v>
      </c>
      <c r="C546" s="80" t="s">
        <v>2396</v>
      </c>
      <c r="D546" s="80" t="s">
        <v>2648</v>
      </c>
      <c r="E546" s="80" t="s">
        <v>2641</v>
      </c>
      <c r="F546" s="80" t="s">
        <v>2374</v>
      </c>
      <c r="G546" s="80" t="s">
        <v>2692</v>
      </c>
      <c r="H546" s="79">
        <v>12</v>
      </c>
      <c r="I546" s="79">
        <v>2290.7600000000002</v>
      </c>
      <c r="J546" s="79">
        <v>27489.119999999999</v>
      </c>
    </row>
    <row r="547" spans="1:10" ht="15" thickBot="1">
      <c r="A547" s="98" t="s">
        <v>2486</v>
      </c>
      <c r="B547" s="80" t="s">
        <v>2687</v>
      </c>
      <c r="C547" s="80" t="s">
        <v>2392</v>
      </c>
      <c r="D547" s="80" t="s">
        <v>2644</v>
      </c>
      <c r="E547" s="80" t="s">
        <v>2641</v>
      </c>
      <c r="F547" s="80" t="s">
        <v>2372</v>
      </c>
      <c r="G547" s="80" t="s">
        <v>2694</v>
      </c>
      <c r="H547" s="79">
        <v>18</v>
      </c>
      <c r="I547" s="79">
        <v>1957.78</v>
      </c>
      <c r="J547" s="79">
        <v>35240.04</v>
      </c>
    </row>
    <row r="548" spans="1:10" ht="15" thickBot="1">
      <c r="A548" s="98">
        <v>45088</v>
      </c>
      <c r="B548" s="80" t="s">
        <v>2685</v>
      </c>
      <c r="C548" s="80" t="s">
        <v>2392</v>
      </c>
      <c r="D548" s="80" t="s">
        <v>2644</v>
      </c>
      <c r="E548" s="80" t="s">
        <v>2641</v>
      </c>
      <c r="F548" s="80" t="s">
        <v>2374</v>
      </c>
      <c r="G548" s="80" t="s">
        <v>2704</v>
      </c>
      <c r="H548" s="79">
        <v>1</v>
      </c>
      <c r="I548" s="79">
        <v>4370.57</v>
      </c>
      <c r="J548" s="79">
        <v>4370.57</v>
      </c>
    </row>
    <row r="549" spans="1:10" ht="15" thickBot="1">
      <c r="A549" s="98" t="s">
        <v>2440</v>
      </c>
      <c r="B549" s="80" t="s">
        <v>2682</v>
      </c>
      <c r="C549" s="80" t="s">
        <v>2652</v>
      </c>
      <c r="D549" s="80" t="s">
        <v>2647</v>
      </c>
      <c r="E549" s="80" t="s">
        <v>2643</v>
      </c>
      <c r="F549" s="80" t="s">
        <v>2661</v>
      </c>
      <c r="G549" s="80" t="s">
        <v>2695</v>
      </c>
      <c r="H549" s="79">
        <v>3</v>
      </c>
      <c r="I549" s="79">
        <v>1894.71</v>
      </c>
      <c r="J549" s="79">
        <v>5684.13</v>
      </c>
    </row>
    <row r="550" spans="1:10" ht="15" thickBot="1">
      <c r="A550" s="98">
        <v>45271</v>
      </c>
      <c r="B550" s="80" t="s">
        <v>2680</v>
      </c>
      <c r="C550" s="80" t="s">
        <v>2396</v>
      </c>
      <c r="D550" s="80" t="s">
        <v>2648</v>
      </c>
      <c r="E550" s="80" t="s">
        <v>2641</v>
      </c>
      <c r="F550" s="80" t="s">
        <v>2661</v>
      </c>
      <c r="G550" s="80" t="s">
        <v>2698</v>
      </c>
      <c r="H550" s="79">
        <v>14</v>
      </c>
      <c r="I550" s="79">
        <v>367.1</v>
      </c>
      <c r="J550" s="79">
        <v>5139.3999999999996</v>
      </c>
    </row>
    <row r="551" spans="1:10" ht="15" thickBot="1">
      <c r="A551" s="98" t="s">
        <v>2463</v>
      </c>
      <c r="B551" s="80" t="s">
        <v>2681</v>
      </c>
      <c r="C551" s="80" t="s">
        <v>2657</v>
      </c>
      <c r="D551" s="80" t="s">
        <v>2648</v>
      </c>
      <c r="E551" s="80" t="s">
        <v>2641</v>
      </c>
      <c r="F551" s="80" t="s">
        <v>2370</v>
      </c>
      <c r="G551" s="80" t="s">
        <v>1335</v>
      </c>
      <c r="H551" s="79">
        <v>10</v>
      </c>
      <c r="I551" s="79">
        <v>4678.49</v>
      </c>
      <c r="J551" s="79">
        <v>46784.9</v>
      </c>
    </row>
    <row r="552" spans="1:10" ht="15" thickBot="1">
      <c r="A552" s="98">
        <v>45201</v>
      </c>
      <c r="B552" s="80" t="s">
        <v>2679</v>
      </c>
      <c r="C552" s="80" t="s">
        <v>2659</v>
      </c>
      <c r="D552" s="80" t="s">
        <v>2647</v>
      </c>
      <c r="E552" s="80" t="s">
        <v>2643</v>
      </c>
      <c r="F552" s="80" t="s">
        <v>2661</v>
      </c>
      <c r="G552" s="80" t="s">
        <v>2696</v>
      </c>
      <c r="H552" s="79">
        <v>12</v>
      </c>
      <c r="I552" s="79">
        <v>1020.42</v>
      </c>
      <c r="J552" s="79">
        <v>12245.04</v>
      </c>
    </row>
    <row r="553" spans="1:10" ht="15" thickBot="1">
      <c r="A553" s="98" t="s">
        <v>2440</v>
      </c>
      <c r="B553" s="80" t="s">
        <v>2682</v>
      </c>
      <c r="C553" s="80" t="s">
        <v>2658</v>
      </c>
      <c r="D553" s="80" t="s">
        <v>2645</v>
      </c>
      <c r="E553" s="80" t="s">
        <v>2642</v>
      </c>
      <c r="F553" s="80" t="s">
        <v>2370</v>
      </c>
      <c r="G553" s="80" t="s">
        <v>1336</v>
      </c>
      <c r="H553" s="79">
        <v>15</v>
      </c>
      <c r="I553" s="79">
        <v>1669.04</v>
      </c>
      <c r="J553" s="79">
        <v>25035.599999999999</v>
      </c>
    </row>
    <row r="554" spans="1:10" ht="15" thickBot="1">
      <c r="A554" s="98" t="s">
        <v>2513</v>
      </c>
      <c r="B554" s="80" t="s">
        <v>2686</v>
      </c>
      <c r="C554" s="80" t="s">
        <v>2393</v>
      </c>
      <c r="D554" s="80" t="s">
        <v>2644</v>
      </c>
      <c r="E554" s="80" t="s">
        <v>2641</v>
      </c>
      <c r="F554" s="80" t="s">
        <v>2374</v>
      </c>
      <c r="G554" s="80" t="s">
        <v>2704</v>
      </c>
      <c r="H554" s="79">
        <v>18</v>
      </c>
      <c r="I554" s="79">
        <v>138.01</v>
      </c>
      <c r="J554" s="79">
        <v>2484.1799999999998</v>
      </c>
    </row>
    <row r="555" spans="1:10" ht="15" thickBot="1">
      <c r="A555" s="98" t="s">
        <v>2611</v>
      </c>
      <c r="B555" s="80" t="s">
        <v>2686</v>
      </c>
      <c r="C555" s="80" t="s">
        <v>2656</v>
      </c>
      <c r="D555" s="80" t="s">
        <v>2648</v>
      </c>
      <c r="E555" s="80" t="s">
        <v>2641</v>
      </c>
      <c r="F555" s="80" t="s">
        <v>2374</v>
      </c>
      <c r="G555" s="80" t="s">
        <v>2689</v>
      </c>
      <c r="H555" s="79">
        <v>6</v>
      </c>
      <c r="I555" s="79">
        <v>3847.76</v>
      </c>
      <c r="J555" s="79">
        <v>23086.560000000001</v>
      </c>
    </row>
    <row r="556" spans="1:10" ht="15" thickBot="1">
      <c r="A556" s="98">
        <v>45177</v>
      </c>
      <c r="B556" s="80" t="s">
        <v>2685</v>
      </c>
      <c r="C556" s="80" t="s">
        <v>2392</v>
      </c>
      <c r="D556" s="80" t="s">
        <v>2644</v>
      </c>
      <c r="E556" s="80" t="s">
        <v>2641</v>
      </c>
      <c r="F556" s="80" t="s">
        <v>2661</v>
      </c>
      <c r="G556" s="80" t="s">
        <v>2691</v>
      </c>
      <c r="H556" s="79">
        <v>4</v>
      </c>
      <c r="I556" s="79">
        <v>3246.52</v>
      </c>
      <c r="J556" s="79">
        <v>12986.08</v>
      </c>
    </row>
    <row r="557" spans="1:10" ht="15" thickBot="1">
      <c r="A557" s="98" t="s">
        <v>2584</v>
      </c>
      <c r="B557" s="80" t="s">
        <v>2687</v>
      </c>
      <c r="C557" s="80" t="s">
        <v>2652</v>
      </c>
      <c r="D557" s="80" t="s">
        <v>2647</v>
      </c>
      <c r="E557" s="80" t="s">
        <v>2643</v>
      </c>
      <c r="F557" s="80" t="s">
        <v>2374</v>
      </c>
      <c r="G557" s="80" t="s">
        <v>2700</v>
      </c>
      <c r="H557" s="79">
        <v>14</v>
      </c>
      <c r="I557" s="79">
        <v>569.91</v>
      </c>
      <c r="J557" s="79">
        <v>7978.74</v>
      </c>
    </row>
    <row r="558" spans="1:10" ht="15" thickBot="1">
      <c r="A558" s="98">
        <v>45261</v>
      </c>
      <c r="B558" s="80" t="s">
        <v>2684</v>
      </c>
      <c r="C558" s="80" t="s">
        <v>2650</v>
      </c>
      <c r="D558" s="80" t="s">
        <v>2646</v>
      </c>
      <c r="E558" s="80" t="s">
        <v>2642</v>
      </c>
      <c r="F558" s="80" t="s">
        <v>2370</v>
      </c>
      <c r="G558" s="80" t="s">
        <v>1336</v>
      </c>
      <c r="H558" s="79">
        <v>15</v>
      </c>
      <c r="I558" s="79">
        <v>4316.17</v>
      </c>
      <c r="J558" s="79">
        <v>64742.55</v>
      </c>
    </row>
    <row r="559" spans="1:10" ht="15" thickBot="1">
      <c r="A559" s="98" t="s">
        <v>2453</v>
      </c>
      <c r="B559" s="80" t="s">
        <v>2679</v>
      </c>
      <c r="C559" s="80" t="s">
        <v>2650</v>
      </c>
      <c r="D559" s="80" t="s">
        <v>2646</v>
      </c>
      <c r="E559" s="80" t="s">
        <v>2642</v>
      </c>
      <c r="F559" s="80" t="s">
        <v>2372</v>
      </c>
      <c r="G559" s="80" t="s">
        <v>2690</v>
      </c>
      <c r="H559" s="79">
        <v>17</v>
      </c>
      <c r="I559" s="79">
        <v>2209.62</v>
      </c>
      <c r="J559" s="79">
        <v>37563.54</v>
      </c>
    </row>
    <row r="560" spans="1:10" ht="15" thickBot="1">
      <c r="A560" s="98">
        <v>45117</v>
      </c>
      <c r="B560" s="80" t="s">
        <v>2684</v>
      </c>
      <c r="C560" s="80" t="s">
        <v>2660</v>
      </c>
      <c r="D560" s="80" t="s">
        <v>2647</v>
      </c>
      <c r="E560" s="80" t="s">
        <v>2643</v>
      </c>
      <c r="F560" s="80" t="s">
        <v>2373</v>
      </c>
      <c r="G560" s="80" t="s">
        <v>2703</v>
      </c>
      <c r="H560" s="79">
        <v>16</v>
      </c>
      <c r="I560" s="79">
        <v>3296.61</v>
      </c>
      <c r="J560" s="79">
        <v>52745.760000000002</v>
      </c>
    </row>
    <row r="561" spans="1:10" ht="15" thickBot="1">
      <c r="A561" s="98">
        <v>44932</v>
      </c>
      <c r="B561" s="80" t="s">
        <v>2678</v>
      </c>
      <c r="C561" s="80" t="s">
        <v>2652</v>
      </c>
      <c r="D561" s="80" t="s">
        <v>2647</v>
      </c>
      <c r="E561" s="80" t="s">
        <v>2643</v>
      </c>
      <c r="F561" s="80" t="s">
        <v>2373</v>
      </c>
      <c r="G561" s="80" t="s">
        <v>2688</v>
      </c>
      <c r="H561" s="79">
        <v>13</v>
      </c>
      <c r="I561" s="79">
        <v>523.83000000000004</v>
      </c>
      <c r="J561" s="79">
        <v>6809.79</v>
      </c>
    </row>
    <row r="562" spans="1:10" ht="15" thickBot="1">
      <c r="A562" s="98" t="s">
        <v>2613</v>
      </c>
      <c r="B562" s="80" t="s">
        <v>2682</v>
      </c>
      <c r="C562" s="80" t="s">
        <v>2658</v>
      </c>
      <c r="D562" s="80" t="s">
        <v>2645</v>
      </c>
      <c r="E562" s="80" t="s">
        <v>2642</v>
      </c>
      <c r="F562" s="80" t="s">
        <v>2370</v>
      </c>
      <c r="G562" s="80" t="s">
        <v>1336</v>
      </c>
      <c r="H562" s="79">
        <v>3</v>
      </c>
      <c r="I562" s="79">
        <v>916.53</v>
      </c>
      <c r="J562" s="79">
        <v>2749.59</v>
      </c>
    </row>
    <row r="563" spans="1:10" ht="15" thickBot="1">
      <c r="A563" s="98">
        <v>45266</v>
      </c>
      <c r="B563" s="80" t="s">
        <v>2678</v>
      </c>
      <c r="C563" s="80" t="s">
        <v>2393</v>
      </c>
      <c r="D563" s="80" t="s">
        <v>2644</v>
      </c>
      <c r="E563" s="80" t="s">
        <v>2641</v>
      </c>
      <c r="F563" s="80" t="s">
        <v>2372</v>
      </c>
      <c r="G563" s="80" t="s">
        <v>2694</v>
      </c>
      <c r="H563" s="79">
        <v>13</v>
      </c>
      <c r="I563" s="79">
        <v>1836.55</v>
      </c>
      <c r="J563" s="79">
        <v>23875.15</v>
      </c>
    </row>
    <row r="564" spans="1:10" ht="15" thickBot="1">
      <c r="A564" s="98" t="s">
        <v>2505</v>
      </c>
      <c r="B564" s="80" t="s">
        <v>2681</v>
      </c>
      <c r="C564" s="80" t="s">
        <v>2659</v>
      </c>
      <c r="D564" s="80" t="s">
        <v>2647</v>
      </c>
      <c r="E564" s="80" t="s">
        <v>2643</v>
      </c>
      <c r="F564" s="80" t="s">
        <v>2372</v>
      </c>
      <c r="G564" s="80" t="s">
        <v>2690</v>
      </c>
      <c r="H564" s="79">
        <v>19</v>
      </c>
      <c r="I564" s="79">
        <v>2253.92</v>
      </c>
      <c r="J564" s="79">
        <v>42824.480000000003</v>
      </c>
    </row>
    <row r="565" spans="1:10" ht="15" thickBot="1">
      <c r="A565" s="98" t="s">
        <v>2622</v>
      </c>
      <c r="B565" s="80" t="s">
        <v>2681</v>
      </c>
      <c r="C565" s="80" t="s">
        <v>2393</v>
      </c>
      <c r="D565" s="80" t="s">
        <v>2644</v>
      </c>
      <c r="E565" s="80" t="s">
        <v>2641</v>
      </c>
      <c r="F565" s="80" t="s">
        <v>2373</v>
      </c>
      <c r="G565" s="80" t="s">
        <v>2688</v>
      </c>
      <c r="H565" s="79">
        <v>13</v>
      </c>
      <c r="I565" s="79">
        <v>3617.07</v>
      </c>
      <c r="J565" s="79">
        <v>47021.91</v>
      </c>
    </row>
    <row r="566" spans="1:10" ht="15" thickBot="1">
      <c r="A566" s="98" t="s">
        <v>2616</v>
      </c>
      <c r="B566" s="80" t="s">
        <v>2685</v>
      </c>
      <c r="C566" s="80" t="s">
        <v>2649</v>
      </c>
      <c r="D566" s="80" t="s">
        <v>2645</v>
      </c>
      <c r="E566" s="80" t="s">
        <v>2642</v>
      </c>
      <c r="F566" s="80" t="s">
        <v>2661</v>
      </c>
      <c r="G566" s="80" t="s">
        <v>2698</v>
      </c>
      <c r="H566" s="79">
        <v>5</v>
      </c>
      <c r="I566" s="79">
        <v>417.76</v>
      </c>
      <c r="J566" s="79">
        <v>2088.8000000000002</v>
      </c>
    </row>
    <row r="567" spans="1:10" ht="15" thickBot="1">
      <c r="A567" s="98">
        <v>45144</v>
      </c>
      <c r="B567" s="80" t="s">
        <v>2679</v>
      </c>
      <c r="C567" s="80" t="s">
        <v>2653</v>
      </c>
      <c r="D567" s="80" t="s">
        <v>2644</v>
      </c>
      <c r="E567" s="80" t="s">
        <v>2641</v>
      </c>
      <c r="F567" s="80" t="s">
        <v>2370</v>
      </c>
      <c r="G567" s="80" t="s">
        <v>1335</v>
      </c>
      <c r="H567" s="79">
        <v>11</v>
      </c>
      <c r="I567" s="79">
        <v>864.29</v>
      </c>
      <c r="J567" s="79">
        <v>9507.19</v>
      </c>
    </row>
    <row r="568" spans="1:10" ht="15" thickBot="1">
      <c r="A568" s="98" t="s">
        <v>2511</v>
      </c>
      <c r="B568" s="80" t="s">
        <v>2682</v>
      </c>
      <c r="C568" s="80" t="s">
        <v>2660</v>
      </c>
      <c r="D568" s="80" t="s">
        <v>2647</v>
      </c>
      <c r="E568" s="80" t="s">
        <v>2643</v>
      </c>
      <c r="F568" s="80" t="s">
        <v>2370</v>
      </c>
      <c r="G568" s="80" t="s">
        <v>1335</v>
      </c>
      <c r="H568" s="79">
        <v>19</v>
      </c>
      <c r="I568" s="79">
        <v>2006.79</v>
      </c>
      <c r="J568" s="79">
        <v>38129.01</v>
      </c>
    </row>
    <row r="569" spans="1:10" ht="15" thickBot="1">
      <c r="A569" s="98" t="s">
        <v>2574</v>
      </c>
      <c r="B569" s="80" t="s">
        <v>2679</v>
      </c>
      <c r="C569" s="80" t="s">
        <v>2656</v>
      </c>
      <c r="D569" s="80" t="s">
        <v>2648</v>
      </c>
      <c r="E569" s="80" t="s">
        <v>2641</v>
      </c>
      <c r="F569" s="80" t="s">
        <v>2661</v>
      </c>
      <c r="G569" s="80" t="s">
        <v>2696</v>
      </c>
      <c r="H569" s="79">
        <v>1</v>
      </c>
      <c r="I569" s="79">
        <v>403.2</v>
      </c>
      <c r="J569" s="79">
        <v>403.2</v>
      </c>
    </row>
    <row r="570" spans="1:10" ht="15" thickBot="1">
      <c r="A570" s="98" t="s">
        <v>2468</v>
      </c>
      <c r="B570" s="80" t="s">
        <v>2686</v>
      </c>
      <c r="C570" s="80" t="s">
        <v>2393</v>
      </c>
      <c r="D570" s="80" t="s">
        <v>2644</v>
      </c>
      <c r="E570" s="80" t="s">
        <v>2641</v>
      </c>
      <c r="F570" s="80" t="s">
        <v>2373</v>
      </c>
      <c r="G570" s="80" t="s">
        <v>2705</v>
      </c>
      <c r="H570" s="79">
        <v>7</v>
      </c>
      <c r="I570" s="79">
        <v>2846.83</v>
      </c>
      <c r="J570" s="79">
        <v>19927.810000000001</v>
      </c>
    </row>
    <row r="571" spans="1:10" ht="15" thickBot="1">
      <c r="A571" s="98" t="s">
        <v>2549</v>
      </c>
      <c r="B571" s="80" t="s">
        <v>2678</v>
      </c>
      <c r="C571" s="80" t="s">
        <v>2650</v>
      </c>
      <c r="D571" s="80" t="s">
        <v>2646</v>
      </c>
      <c r="E571" s="80" t="s">
        <v>2642</v>
      </c>
      <c r="F571" s="80" t="s">
        <v>2372</v>
      </c>
      <c r="G571" s="80" t="s">
        <v>2690</v>
      </c>
      <c r="H571" s="79">
        <v>5</v>
      </c>
      <c r="I571" s="79">
        <v>850.9</v>
      </c>
      <c r="J571" s="79">
        <v>4254.5</v>
      </c>
    </row>
    <row r="572" spans="1:10" ht="15" thickBot="1">
      <c r="A572" s="98" t="s">
        <v>2517</v>
      </c>
      <c r="B572" s="80" t="s">
        <v>2683</v>
      </c>
      <c r="C572" s="80" t="s">
        <v>2660</v>
      </c>
      <c r="D572" s="80" t="s">
        <v>2647</v>
      </c>
      <c r="E572" s="80" t="s">
        <v>2643</v>
      </c>
      <c r="F572" s="80" t="s">
        <v>2370</v>
      </c>
      <c r="G572" s="80" t="s">
        <v>2701</v>
      </c>
      <c r="H572" s="79">
        <v>16</v>
      </c>
      <c r="I572" s="79">
        <v>3337.15</v>
      </c>
      <c r="J572" s="79">
        <v>53394.400000000001</v>
      </c>
    </row>
    <row r="573" spans="1:10" ht="15" thickBot="1">
      <c r="A573" s="98" t="s">
        <v>2496</v>
      </c>
      <c r="B573" s="80" t="s">
        <v>2683</v>
      </c>
      <c r="C573" s="80" t="s">
        <v>2658</v>
      </c>
      <c r="D573" s="80" t="s">
        <v>2645</v>
      </c>
      <c r="E573" s="80" t="s">
        <v>2642</v>
      </c>
      <c r="F573" s="80" t="s">
        <v>2372</v>
      </c>
      <c r="G573" s="80" t="s">
        <v>2693</v>
      </c>
      <c r="H573" s="79">
        <v>15</v>
      </c>
      <c r="I573" s="79">
        <v>1299.55</v>
      </c>
      <c r="J573" s="79">
        <v>19493.25</v>
      </c>
    </row>
    <row r="574" spans="1:10" ht="15" thickBot="1">
      <c r="A574" s="98" t="s">
        <v>2600</v>
      </c>
      <c r="B574" s="80" t="s">
        <v>2683</v>
      </c>
      <c r="C574" s="80" t="s">
        <v>2658</v>
      </c>
      <c r="D574" s="80" t="s">
        <v>2645</v>
      </c>
      <c r="E574" s="80" t="s">
        <v>2642</v>
      </c>
      <c r="F574" s="80" t="s">
        <v>2661</v>
      </c>
      <c r="G574" s="80" t="s">
        <v>2696</v>
      </c>
      <c r="H574" s="79">
        <v>7</v>
      </c>
      <c r="I574" s="79">
        <v>4898.57</v>
      </c>
      <c r="J574" s="79">
        <v>34289.99</v>
      </c>
    </row>
    <row r="575" spans="1:10" ht="15" thickBot="1">
      <c r="A575" s="98">
        <v>45109</v>
      </c>
      <c r="B575" s="80" t="s">
        <v>2678</v>
      </c>
      <c r="C575" s="80" t="s">
        <v>2654</v>
      </c>
      <c r="D575" s="80" t="s">
        <v>2646</v>
      </c>
      <c r="E575" s="80" t="s">
        <v>2642</v>
      </c>
      <c r="F575" s="80" t="s">
        <v>2372</v>
      </c>
      <c r="G575" s="80" t="s">
        <v>2699</v>
      </c>
      <c r="H575" s="79">
        <v>11</v>
      </c>
      <c r="I575" s="79">
        <v>2471.65</v>
      </c>
      <c r="J575" s="79">
        <v>27188.15</v>
      </c>
    </row>
    <row r="576" spans="1:10" ht="15" thickBot="1">
      <c r="A576" s="98" t="s">
        <v>2530</v>
      </c>
      <c r="B576" s="80" t="s">
        <v>2683</v>
      </c>
      <c r="C576" s="80" t="s">
        <v>2651</v>
      </c>
      <c r="D576" s="80" t="s">
        <v>2646</v>
      </c>
      <c r="E576" s="80" t="s">
        <v>2642</v>
      </c>
      <c r="F576" s="80" t="s">
        <v>2374</v>
      </c>
      <c r="G576" s="80" t="s">
        <v>2692</v>
      </c>
      <c r="H576" s="79">
        <v>2</v>
      </c>
      <c r="I576" s="79">
        <v>1125.53</v>
      </c>
      <c r="J576" s="79">
        <v>2251.06</v>
      </c>
    </row>
    <row r="577" spans="1:10" ht="15" thickBot="1">
      <c r="A577" s="98">
        <v>44966</v>
      </c>
      <c r="B577" s="80" t="s">
        <v>2680</v>
      </c>
      <c r="C577" s="80" t="s">
        <v>2656</v>
      </c>
      <c r="D577" s="80" t="s">
        <v>2648</v>
      </c>
      <c r="E577" s="80" t="s">
        <v>2641</v>
      </c>
      <c r="F577" s="80" t="s">
        <v>2373</v>
      </c>
      <c r="G577" s="80" t="s">
        <v>2688</v>
      </c>
      <c r="H577" s="79">
        <v>13</v>
      </c>
      <c r="I577" s="79">
        <v>2835.8</v>
      </c>
      <c r="J577" s="79">
        <v>36865.4</v>
      </c>
    </row>
    <row r="578" spans="1:10" ht="15" thickBot="1">
      <c r="A578" s="98">
        <v>45234</v>
      </c>
      <c r="B578" s="80" t="s">
        <v>2684</v>
      </c>
      <c r="C578" s="80" t="s">
        <v>2658</v>
      </c>
      <c r="D578" s="80" t="s">
        <v>2645</v>
      </c>
      <c r="E578" s="80" t="s">
        <v>2642</v>
      </c>
      <c r="F578" s="80" t="s">
        <v>2661</v>
      </c>
      <c r="G578" s="80" t="s">
        <v>2696</v>
      </c>
      <c r="H578" s="79">
        <v>17</v>
      </c>
      <c r="I578" s="79">
        <v>3973.87</v>
      </c>
      <c r="J578" s="79">
        <v>67555.789999999994</v>
      </c>
    </row>
    <row r="579" spans="1:10" ht="15" thickBot="1">
      <c r="A579" s="98">
        <v>45261</v>
      </c>
      <c r="B579" s="80" t="s">
        <v>2680</v>
      </c>
      <c r="C579" s="80" t="s">
        <v>2393</v>
      </c>
      <c r="D579" s="80" t="s">
        <v>2644</v>
      </c>
      <c r="E579" s="80" t="s">
        <v>2641</v>
      </c>
      <c r="F579" s="80" t="s">
        <v>2370</v>
      </c>
      <c r="G579" s="80" t="s">
        <v>2702</v>
      </c>
      <c r="H579" s="79">
        <v>4</v>
      </c>
      <c r="I579" s="79">
        <v>1998.26</v>
      </c>
      <c r="J579" s="79">
        <v>7993.04</v>
      </c>
    </row>
    <row r="580" spans="1:10" ht="15" thickBot="1">
      <c r="A580" s="98">
        <v>45148</v>
      </c>
      <c r="B580" s="80" t="s">
        <v>2682</v>
      </c>
      <c r="C580" s="80" t="s">
        <v>2649</v>
      </c>
      <c r="D580" s="80" t="s">
        <v>2645</v>
      </c>
      <c r="E580" s="80" t="s">
        <v>2642</v>
      </c>
      <c r="F580" s="80" t="s">
        <v>2374</v>
      </c>
      <c r="G580" s="80" t="s">
        <v>2692</v>
      </c>
      <c r="H580" s="79">
        <v>7</v>
      </c>
      <c r="I580" s="79">
        <v>3820.3</v>
      </c>
      <c r="J580" s="79">
        <v>26742.1</v>
      </c>
    </row>
    <row r="581" spans="1:10" ht="15" thickBot="1">
      <c r="A581" s="98" t="s">
        <v>2510</v>
      </c>
      <c r="B581" s="80" t="s">
        <v>2678</v>
      </c>
      <c r="C581" s="80" t="s">
        <v>2396</v>
      </c>
      <c r="D581" s="80" t="s">
        <v>2648</v>
      </c>
      <c r="E581" s="80" t="s">
        <v>2641</v>
      </c>
      <c r="F581" s="80" t="s">
        <v>2374</v>
      </c>
      <c r="G581" s="80" t="s">
        <v>2704</v>
      </c>
      <c r="H581" s="79">
        <v>19</v>
      </c>
      <c r="I581" s="79">
        <v>2199.3200000000002</v>
      </c>
      <c r="J581" s="79">
        <v>41787.08</v>
      </c>
    </row>
    <row r="582" spans="1:10" ht="15" thickBot="1">
      <c r="A582" s="98" t="s">
        <v>2627</v>
      </c>
      <c r="B582" s="80" t="s">
        <v>2681</v>
      </c>
      <c r="C582" s="80" t="s">
        <v>2654</v>
      </c>
      <c r="D582" s="80" t="s">
        <v>2646</v>
      </c>
      <c r="E582" s="80" t="s">
        <v>2642</v>
      </c>
      <c r="F582" s="80" t="s">
        <v>2661</v>
      </c>
      <c r="G582" s="80" t="s">
        <v>2691</v>
      </c>
      <c r="H582" s="79">
        <v>6</v>
      </c>
      <c r="I582" s="79">
        <v>578.64</v>
      </c>
      <c r="J582" s="79">
        <v>3471.84</v>
      </c>
    </row>
    <row r="583" spans="1:10" ht="15" thickBot="1">
      <c r="A583" s="98">
        <v>45118</v>
      </c>
      <c r="B583" s="80" t="s">
        <v>2682</v>
      </c>
      <c r="C583" s="80" t="s">
        <v>2650</v>
      </c>
      <c r="D583" s="80" t="s">
        <v>2646</v>
      </c>
      <c r="E583" s="80" t="s">
        <v>2642</v>
      </c>
      <c r="F583" s="80" t="s">
        <v>2370</v>
      </c>
      <c r="G583" s="80" t="s">
        <v>1336</v>
      </c>
      <c r="H583" s="79">
        <v>5</v>
      </c>
      <c r="I583" s="79">
        <v>1488.21</v>
      </c>
      <c r="J583" s="79">
        <v>7441.05</v>
      </c>
    </row>
    <row r="584" spans="1:10" ht="15" thickBot="1">
      <c r="A584" s="98" t="s">
        <v>2602</v>
      </c>
      <c r="B584" s="80" t="s">
        <v>2685</v>
      </c>
      <c r="C584" s="80" t="s">
        <v>2654</v>
      </c>
      <c r="D584" s="80" t="s">
        <v>2646</v>
      </c>
      <c r="E584" s="80" t="s">
        <v>2642</v>
      </c>
      <c r="F584" s="80" t="s">
        <v>2373</v>
      </c>
      <c r="G584" s="80" t="s">
        <v>2705</v>
      </c>
      <c r="H584" s="79">
        <v>19</v>
      </c>
      <c r="I584" s="79">
        <v>3196.27</v>
      </c>
      <c r="J584" s="79">
        <v>60729.13</v>
      </c>
    </row>
    <row r="585" spans="1:10" ht="15" thickBot="1">
      <c r="A585" s="98">
        <v>45205</v>
      </c>
      <c r="B585" s="80" t="s">
        <v>2680</v>
      </c>
      <c r="C585" s="80" t="s">
        <v>2657</v>
      </c>
      <c r="D585" s="80" t="s">
        <v>2648</v>
      </c>
      <c r="E585" s="80" t="s">
        <v>2641</v>
      </c>
      <c r="F585" s="80" t="s">
        <v>2661</v>
      </c>
      <c r="G585" s="80" t="s">
        <v>2691</v>
      </c>
      <c r="H585" s="79">
        <v>5</v>
      </c>
      <c r="I585" s="79">
        <v>1018.53</v>
      </c>
      <c r="J585" s="79">
        <v>5092.6499999999996</v>
      </c>
    </row>
    <row r="586" spans="1:10" ht="15" thickBot="1">
      <c r="A586" s="98" t="s">
        <v>2566</v>
      </c>
      <c r="B586" s="80" t="s">
        <v>2684</v>
      </c>
      <c r="C586" s="80" t="s">
        <v>2660</v>
      </c>
      <c r="D586" s="80" t="s">
        <v>2647</v>
      </c>
      <c r="E586" s="80" t="s">
        <v>2643</v>
      </c>
      <c r="F586" s="80" t="s">
        <v>2374</v>
      </c>
      <c r="G586" s="80" t="s">
        <v>2700</v>
      </c>
      <c r="H586" s="79">
        <v>13</v>
      </c>
      <c r="I586" s="79">
        <v>1367.15</v>
      </c>
      <c r="J586" s="79">
        <v>17772.95</v>
      </c>
    </row>
    <row r="587" spans="1:10" ht="15" thickBot="1">
      <c r="A587" s="98">
        <v>45117</v>
      </c>
      <c r="B587" s="80" t="s">
        <v>2680</v>
      </c>
      <c r="C587" s="80" t="s">
        <v>2650</v>
      </c>
      <c r="D587" s="80" t="s">
        <v>2646</v>
      </c>
      <c r="E587" s="80" t="s">
        <v>2642</v>
      </c>
      <c r="F587" s="80" t="s">
        <v>2370</v>
      </c>
      <c r="G587" s="80" t="s">
        <v>2702</v>
      </c>
      <c r="H587" s="79">
        <v>19</v>
      </c>
      <c r="I587" s="79">
        <v>4996.28</v>
      </c>
      <c r="J587" s="79">
        <v>94929.32</v>
      </c>
    </row>
    <row r="588" spans="1:10" ht="15" thickBot="1">
      <c r="A588" s="98" t="s">
        <v>2456</v>
      </c>
      <c r="B588" s="80" t="s">
        <v>2687</v>
      </c>
      <c r="C588" s="80" t="s">
        <v>2392</v>
      </c>
      <c r="D588" s="80" t="s">
        <v>2644</v>
      </c>
      <c r="E588" s="80" t="s">
        <v>2641</v>
      </c>
      <c r="F588" s="80" t="s">
        <v>2372</v>
      </c>
      <c r="G588" s="80" t="s">
        <v>2694</v>
      </c>
      <c r="H588" s="79">
        <v>3</v>
      </c>
      <c r="I588" s="79">
        <v>4447.8999999999996</v>
      </c>
      <c r="J588" s="79">
        <v>13343.7</v>
      </c>
    </row>
    <row r="589" spans="1:10" ht="15" thickBot="1">
      <c r="A589" s="98" t="s">
        <v>2629</v>
      </c>
      <c r="B589" s="80" t="s">
        <v>2684</v>
      </c>
      <c r="C589" s="80" t="s">
        <v>2393</v>
      </c>
      <c r="D589" s="80" t="s">
        <v>2644</v>
      </c>
      <c r="E589" s="80" t="s">
        <v>2641</v>
      </c>
      <c r="F589" s="80" t="s">
        <v>2374</v>
      </c>
      <c r="G589" s="80" t="s">
        <v>2689</v>
      </c>
      <c r="H589" s="79">
        <v>10</v>
      </c>
      <c r="I589" s="79">
        <v>1318.51</v>
      </c>
      <c r="J589" s="79">
        <v>13185.1</v>
      </c>
    </row>
    <row r="590" spans="1:10" ht="15" thickBot="1">
      <c r="A590" s="98" t="s">
        <v>2526</v>
      </c>
      <c r="B590" s="80" t="s">
        <v>2678</v>
      </c>
      <c r="C590" s="80" t="s">
        <v>2654</v>
      </c>
      <c r="D590" s="80" t="s">
        <v>2646</v>
      </c>
      <c r="E590" s="80" t="s">
        <v>2642</v>
      </c>
      <c r="F590" s="80" t="s">
        <v>2661</v>
      </c>
      <c r="G590" s="80" t="s">
        <v>2698</v>
      </c>
      <c r="H590" s="79">
        <v>20</v>
      </c>
      <c r="I590" s="79">
        <v>1731.99</v>
      </c>
      <c r="J590" s="79">
        <v>34639.800000000003</v>
      </c>
    </row>
    <row r="591" spans="1:10" ht="15" thickBot="1">
      <c r="A591" s="98">
        <v>44938</v>
      </c>
      <c r="B591" s="80" t="s">
        <v>2684</v>
      </c>
      <c r="C591" s="80" t="s">
        <v>2653</v>
      </c>
      <c r="D591" s="80" t="s">
        <v>2644</v>
      </c>
      <c r="E591" s="80" t="s">
        <v>2641</v>
      </c>
      <c r="F591" s="80" t="s">
        <v>2372</v>
      </c>
      <c r="G591" s="80" t="s">
        <v>2690</v>
      </c>
      <c r="H591" s="79">
        <v>12</v>
      </c>
      <c r="I591" s="79">
        <v>4514.3900000000003</v>
      </c>
      <c r="J591" s="79">
        <v>54172.68</v>
      </c>
    </row>
    <row r="592" spans="1:10" ht="15" thickBot="1">
      <c r="A592" s="98">
        <v>45087</v>
      </c>
      <c r="B592" s="80" t="s">
        <v>2687</v>
      </c>
      <c r="C592" s="80" t="s">
        <v>2658</v>
      </c>
      <c r="D592" s="80" t="s">
        <v>2645</v>
      </c>
      <c r="E592" s="80" t="s">
        <v>2642</v>
      </c>
      <c r="F592" s="80" t="s">
        <v>2373</v>
      </c>
      <c r="G592" s="80" t="s">
        <v>2703</v>
      </c>
      <c r="H592" s="79">
        <v>20</v>
      </c>
      <c r="I592" s="79">
        <v>1710.93</v>
      </c>
      <c r="J592" s="79">
        <v>34218.6</v>
      </c>
    </row>
    <row r="593" spans="1:10" ht="15" thickBot="1">
      <c r="A593" s="98">
        <v>45204</v>
      </c>
      <c r="B593" s="80" t="s">
        <v>2679</v>
      </c>
      <c r="C593" s="80" t="s">
        <v>2655</v>
      </c>
      <c r="D593" s="80" t="s">
        <v>2645</v>
      </c>
      <c r="E593" s="80" t="s">
        <v>2642</v>
      </c>
      <c r="F593" s="80" t="s">
        <v>2374</v>
      </c>
      <c r="G593" s="80" t="s">
        <v>2692</v>
      </c>
      <c r="H593" s="79">
        <v>19</v>
      </c>
      <c r="I593" s="79">
        <v>491.53</v>
      </c>
      <c r="J593" s="79">
        <v>9339.07</v>
      </c>
    </row>
    <row r="594" spans="1:10" ht="15" thickBot="1">
      <c r="A594" s="98">
        <v>45268</v>
      </c>
      <c r="B594" s="80" t="s">
        <v>2687</v>
      </c>
      <c r="C594" s="80" t="s">
        <v>2658</v>
      </c>
      <c r="D594" s="80" t="s">
        <v>2645</v>
      </c>
      <c r="E594" s="80" t="s">
        <v>2642</v>
      </c>
      <c r="F594" s="80" t="s">
        <v>2661</v>
      </c>
      <c r="G594" s="80" t="s">
        <v>2691</v>
      </c>
      <c r="H594" s="79">
        <v>6</v>
      </c>
      <c r="I594" s="79">
        <v>203.88</v>
      </c>
      <c r="J594" s="79">
        <v>1223.28</v>
      </c>
    </row>
    <row r="595" spans="1:10" ht="15" thickBot="1">
      <c r="A595" s="98" t="s">
        <v>2472</v>
      </c>
      <c r="B595" s="80" t="s">
        <v>2679</v>
      </c>
      <c r="C595" s="80" t="s">
        <v>2392</v>
      </c>
      <c r="D595" s="80" t="s">
        <v>2644</v>
      </c>
      <c r="E595" s="80" t="s">
        <v>2641</v>
      </c>
      <c r="F595" s="80" t="s">
        <v>2374</v>
      </c>
      <c r="G595" s="80" t="s">
        <v>2689</v>
      </c>
      <c r="H595" s="79">
        <v>19</v>
      </c>
      <c r="I595" s="79">
        <v>4786.8900000000003</v>
      </c>
      <c r="J595" s="79">
        <v>90950.91</v>
      </c>
    </row>
    <row r="596" spans="1:10" ht="15" thickBot="1">
      <c r="A596" s="98">
        <v>45210</v>
      </c>
      <c r="B596" s="80" t="s">
        <v>2687</v>
      </c>
      <c r="C596" s="80" t="s">
        <v>2649</v>
      </c>
      <c r="D596" s="80" t="s">
        <v>2645</v>
      </c>
      <c r="E596" s="80" t="s">
        <v>2642</v>
      </c>
      <c r="F596" s="80" t="s">
        <v>2372</v>
      </c>
      <c r="G596" s="80" t="s">
        <v>2694</v>
      </c>
      <c r="H596" s="79">
        <v>11</v>
      </c>
      <c r="I596" s="79">
        <v>2666.77</v>
      </c>
      <c r="J596" s="79">
        <v>29334.47</v>
      </c>
    </row>
    <row r="597" spans="1:10" ht="15" thickBot="1">
      <c r="A597" s="98">
        <v>45201</v>
      </c>
      <c r="B597" s="80" t="s">
        <v>2681</v>
      </c>
      <c r="C597" s="80" t="s">
        <v>2653</v>
      </c>
      <c r="D597" s="80" t="s">
        <v>2644</v>
      </c>
      <c r="E597" s="80" t="s">
        <v>2641</v>
      </c>
      <c r="F597" s="80" t="s">
        <v>2370</v>
      </c>
      <c r="G597" s="80" t="s">
        <v>1335</v>
      </c>
      <c r="H597" s="79">
        <v>19</v>
      </c>
      <c r="I597" s="79">
        <v>2174.7600000000002</v>
      </c>
      <c r="J597" s="79">
        <v>41320.44</v>
      </c>
    </row>
    <row r="598" spans="1:10" ht="15" thickBot="1">
      <c r="A598" s="98" t="s">
        <v>2606</v>
      </c>
      <c r="B598" s="80" t="s">
        <v>2681</v>
      </c>
      <c r="C598" s="80" t="s">
        <v>2657</v>
      </c>
      <c r="D598" s="80" t="s">
        <v>2648</v>
      </c>
      <c r="E598" s="80" t="s">
        <v>2641</v>
      </c>
      <c r="F598" s="80" t="s">
        <v>2374</v>
      </c>
      <c r="G598" s="80" t="s">
        <v>2704</v>
      </c>
      <c r="H598" s="79">
        <v>1</v>
      </c>
      <c r="I598" s="79">
        <v>1678.18</v>
      </c>
      <c r="J598" s="79">
        <v>1678.18</v>
      </c>
    </row>
    <row r="599" spans="1:10" ht="15" thickBot="1">
      <c r="A599" s="98" t="s">
        <v>2478</v>
      </c>
      <c r="B599" s="80" t="s">
        <v>2683</v>
      </c>
      <c r="C599" s="80" t="s">
        <v>2653</v>
      </c>
      <c r="D599" s="80" t="s">
        <v>2644</v>
      </c>
      <c r="E599" s="80" t="s">
        <v>2641</v>
      </c>
      <c r="F599" s="80" t="s">
        <v>2370</v>
      </c>
      <c r="G599" s="80" t="s">
        <v>2701</v>
      </c>
      <c r="H599" s="79">
        <v>20</v>
      </c>
      <c r="I599" s="79">
        <v>2163.9499999999998</v>
      </c>
      <c r="J599" s="79">
        <v>43279</v>
      </c>
    </row>
    <row r="600" spans="1:10" ht="15" thickBot="1">
      <c r="A600" s="98">
        <v>45058</v>
      </c>
      <c r="B600" s="80" t="s">
        <v>2681</v>
      </c>
      <c r="C600" s="80" t="s">
        <v>2653</v>
      </c>
      <c r="D600" s="80" t="s">
        <v>2644</v>
      </c>
      <c r="E600" s="80" t="s">
        <v>2641</v>
      </c>
      <c r="F600" s="80" t="s">
        <v>2373</v>
      </c>
      <c r="G600" s="80" t="s">
        <v>2688</v>
      </c>
      <c r="H600" s="79">
        <v>18</v>
      </c>
      <c r="I600" s="79">
        <v>3511.28</v>
      </c>
      <c r="J600" s="79">
        <v>63203.040000000001</v>
      </c>
    </row>
    <row r="601" spans="1:10" ht="15" thickBot="1">
      <c r="A601" s="98">
        <v>45047</v>
      </c>
      <c r="B601" s="80" t="s">
        <v>2679</v>
      </c>
      <c r="C601" s="80" t="s">
        <v>2649</v>
      </c>
      <c r="D601" s="80" t="s">
        <v>2645</v>
      </c>
      <c r="E601" s="80" t="s">
        <v>2642</v>
      </c>
      <c r="F601" s="80" t="s">
        <v>2374</v>
      </c>
      <c r="G601" s="80" t="s">
        <v>2700</v>
      </c>
      <c r="H601" s="79">
        <v>13</v>
      </c>
      <c r="I601" s="79">
        <v>2979.65</v>
      </c>
      <c r="J601" s="79">
        <v>38735.449999999997</v>
      </c>
    </row>
    <row r="602" spans="1:10" ht="15" thickBot="1">
      <c r="A602" s="98" t="s">
        <v>2568</v>
      </c>
      <c r="B602" s="80" t="s">
        <v>2686</v>
      </c>
      <c r="C602" s="80" t="s">
        <v>2653</v>
      </c>
      <c r="D602" s="80" t="s">
        <v>2644</v>
      </c>
      <c r="E602" s="80" t="s">
        <v>2641</v>
      </c>
      <c r="F602" s="80" t="s">
        <v>2372</v>
      </c>
      <c r="G602" s="80" t="s">
        <v>2693</v>
      </c>
      <c r="H602" s="79">
        <v>4</v>
      </c>
      <c r="I602" s="79">
        <v>2985.48</v>
      </c>
      <c r="J602" s="79">
        <v>11941.92</v>
      </c>
    </row>
    <row r="603" spans="1:10" ht="15" thickBot="1">
      <c r="A603" s="98" t="s">
        <v>2552</v>
      </c>
      <c r="B603" s="80" t="s">
        <v>2682</v>
      </c>
      <c r="C603" s="80" t="s">
        <v>2649</v>
      </c>
      <c r="D603" s="80" t="s">
        <v>2645</v>
      </c>
      <c r="E603" s="80" t="s">
        <v>2642</v>
      </c>
      <c r="F603" s="80" t="s">
        <v>2374</v>
      </c>
      <c r="G603" s="80" t="s">
        <v>2692</v>
      </c>
      <c r="H603" s="79">
        <v>18</v>
      </c>
      <c r="I603" s="79">
        <v>3989.44</v>
      </c>
      <c r="J603" s="79">
        <v>71809.919999999998</v>
      </c>
    </row>
    <row r="604" spans="1:10" ht="15" thickBot="1">
      <c r="A604" s="98" t="s">
        <v>2486</v>
      </c>
      <c r="B604" s="80" t="s">
        <v>2682</v>
      </c>
      <c r="C604" s="80" t="s">
        <v>2656</v>
      </c>
      <c r="D604" s="80" t="s">
        <v>2648</v>
      </c>
      <c r="E604" s="80" t="s">
        <v>2641</v>
      </c>
      <c r="F604" s="80" t="s">
        <v>2370</v>
      </c>
      <c r="G604" s="80" t="s">
        <v>2702</v>
      </c>
      <c r="H604" s="79">
        <v>14</v>
      </c>
      <c r="I604" s="79">
        <v>2251.87</v>
      </c>
      <c r="J604" s="79">
        <v>31526.18</v>
      </c>
    </row>
    <row r="605" spans="1:10" ht="15" thickBot="1">
      <c r="A605" s="98">
        <v>45173</v>
      </c>
      <c r="B605" s="80" t="s">
        <v>2687</v>
      </c>
      <c r="C605" s="80" t="s">
        <v>2396</v>
      </c>
      <c r="D605" s="80" t="s">
        <v>2648</v>
      </c>
      <c r="E605" s="80" t="s">
        <v>2641</v>
      </c>
      <c r="F605" s="80" t="s">
        <v>2661</v>
      </c>
      <c r="G605" s="80" t="s">
        <v>2698</v>
      </c>
      <c r="H605" s="79">
        <v>8</v>
      </c>
      <c r="I605" s="79">
        <v>2519.3000000000002</v>
      </c>
      <c r="J605" s="79">
        <v>20154.400000000001</v>
      </c>
    </row>
    <row r="606" spans="1:10" ht="15" thickBot="1">
      <c r="A606" s="98" t="s">
        <v>2634</v>
      </c>
      <c r="B606" s="80" t="s">
        <v>2680</v>
      </c>
      <c r="C606" s="80" t="s">
        <v>2649</v>
      </c>
      <c r="D606" s="80" t="s">
        <v>2645</v>
      </c>
      <c r="E606" s="80" t="s">
        <v>2642</v>
      </c>
      <c r="F606" s="80" t="s">
        <v>2372</v>
      </c>
      <c r="G606" s="80" t="s">
        <v>2690</v>
      </c>
      <c r="H606" s="79">
        <v>3</v>
      </c>
      <c r="I606" s="79">
        <v>1129.8800000000001</v>
      </c>
      <c r="J606" s="79">
        <v>3389.64</v>
      </c>
    </row>
    <row r="607" spans="1:10" ht="15" thickBot="1">
      <c r="A607" s="98">
        <v>45087</v>
      </c>
      <c r="B607" s="80" t="s">
        <v>2678</v>
      </c>
      <c r="C607" s="80" t="s">
        <v>2656</v>
      </c>
      <c r="D607" s="80" t="s">
        <v>2648</v>
      </c>
      <c r="E607" s="80" t="s">
        <v>2641</v>
      </c>
      <c r="F607" s="80" t="s">
        <v>2373</v>
      </c>
      <c r="G607" s="80" t="s">
        <v>2703</v>
      </c>
      <c r="H607" s="79">
        <v>15</v>
      </c>
      <c r="I607" s="79">
        <v>4146.03</v>
      </c>
      <c r="J607" s="79">
        <v>62190.45</v>
      </c>
    </row>
    <row r="608" spans="1:10" ht="15" thickBot="1">
      <c r="A608" s="98">
        <v>45113</v>
      </c>
      <c r="B608" s="80" t="s">
        <v>2686</v>
      </c>
      <c r="C608" s="80" t="s">
        <v>2653</v>
      </c>
      <c r="D608" s="80" t="s">
        <v>2644</v>
      </c>
      <c r="E608" s="80" t="s">
        <v>2641</v>
      </c>
      <c r="F608" s="80" t="s">
        <v>2373</v>
      </c>
      <c r="G608" s="80" t="s">
        <v>2697</v>
      </c>
      <c r="H608" s="79">
        <v>4</v>
      </c>
      <c r="I608" s="79">
        <v>3564.22</v>
      </c>
      <c r="J608" s="79">
        <v>14256.88</v>
      </c>
    </row>
    <row r="609" spans="1:10" ht="15" thickBot="1">
      <c r="A609" s="98" t="s">
        <v>2508</v>
      </c>
      <c r="B609" s="80" t="s">
        <v>2686</v>
      </c>
      <c r="C609" s="80" t="s">
        <v>2654</v>
      </c>
      <c r="D609" s="80" t="s">
        <v>2646</v>
      </c>
      <c r="E609" s="80" t="s">
        <v>2642</v>
      </c>
      <c r="F609" s="80" t="s">
        <v>2373</v>
      </c>
      <c r="G609" s="80" t="s">
        <v>2703</v>
      </c>
      <c r="H609" s="79">
        <v>14</v>
      </c>
      <c r="I609" s="79">
        <v>414.51</v>
      </c>
      <c r="J609" s="79">
        <v>5803.14</v>
      </c>
    </row>
    <row r="610" spans="1:10" ht="15" thickBot="1">
      <c r="A610" s="98" t="s">
        <v>2612</v>
      </c>
      <c r="B610" s="80" t="s">
        <v>2687</v>
      </c>
      <c r="C610" s="80" t="s">
        <v>2656</v>
      </c>
      <c r="D610" s="80" t="s">
        <v>2648</v>
      </c>
      <c r="E610" s="80" t="s">
        <v>2641</v>
      </c>
      <c r="F610" s="80" t="s">
        <v>2373</v>
      </c>
      <c r="G610" s="80" t="s">
        <v>2697</v>
      </c>
      <c r="H610" s="79">
        <v>11</v>
      </c>
      <c r="I610" s="79">
        <v>1788.39</v>
      </c>
      <c r="J610" s="79">
        <v>19672.29</v>
      </c>
    </row>
    <row r="611" spans="1:10" ht="15" thickBot="1">
      <c r="A611" s="98" t="s">
        <v>2506</v>
      </c>
      <c r="B611" s="80" t="s">
        <v>2683</v>
      </c>
      <c r="C611" s="80" t="s">
        <v>2655</v>
      </c>
      <c r="D611" s="80" t="s">
        <v>2645</v>
      </c>
      <c r="E611" s="80" t="s">
        <v>2642</v>
      </c>
      <c r="F611" s="80" t="s">
        <v>2372</v>
      </c>
      <c r="G611" s="80" t="s">
        <v>2699</v>
      </c>
      <c r="H611" s="79">
        <v>6</v>
      </c>
      <c r="I611" s="79">
        <v>2867.98</v>
      </c>
      <c r="J611" s="79">
        <v>17207.88</v>
      </c>
    </row>
    <row r="612" spans="1:10" ht="15" thickBot="1">
      <c r="A612" s="98" t="s">
        <v>2634</v>
      </c>
      <c r="B612" s="80" t="s">
        <v>2681</v>
      </c>
      <c r="C612" s="80" t="s">
        <v>2653</v>
      </c>
      <c r="D612" s="80" t="s">
        <v>2644</v>
      </c>
      <c r="E612" s="80" t="s">
        <v>2641</v>
      </c>
      <c r="F612" s="80" t="s">
        <v>2372</v>
      </c>
      <c r="G612" s="80" t="s">
        <v>2690</v>
      </c>
      <c r="H612" s="79">
        <v>6</v>
      </c>
      <c r="I612" s="79">
        <v>3566.53</v>
      </c>
      <c r="J612" s="79">
        <v>21399.18</v>
      </c>
    </row>
    <row r="613" spans="1:10" ht="15" thickBot="1">
      <c r="A613" s="98">
        <v>45025</v>
      </c>
      <c r="B613" s="80" t="s">
        <v>2685</v>
      </c>
      <c r="C613" s="80" t="s">
        <v>2396</v>
      </c>
      <c r="D613" s="80" t="s">
        <v>2648</v>
      </c>
      <c r="E613" s="80" t="s">
        <v>2641</v>
      </c>
      <c r="F613" s="80" t="s">
        <v>2374</v>
      </c>
      <c r="G613" s="80" t="s">
        <v>2692</v>
      </c>
      <c r="H613" s="79">
        <v>13</v>
      </c>
      <c r="I613" s="79">
        <v>2669.5</v>
      </c>
      <c r="J613" s="79">
        <v>34703.5</v>
      </c>
    </row>
    <row r="614" spans="1:10" ht="15" thickBot="1">
      <c r="A614" s="98">
        <v>45085</v>
      </c>
      <c r="B614" s="80" t="s">
        <v>2684</v>
      </c>
      <c r="C614" s="80" t="s">
        <v>2650</v>
      </c>
      <c r="D614" s="80" t="s">
        <v>2646</v>
      </c>
      <c r="E614" s="80" t="s">
        <v>2642</v>
      </c>
      <c r="F614" s="80" t="s">
        <v>2661</v>
      </c>
      <c r="G614" s="80" t="s">
        <v>2698</v>
      </c>
      <c r="H614" s="79">
        <v>6</v>
      </c>
      <c r="I614" s="79">
        <v>3842.46</v>
      </c>
      <c r="J614" s="79">
        <v>23054.76</v>
      </c>
    </row>
    <row r="615" spans="1:10" ht="15" thickBot="1">
      <c r="A615" s="98" t="s">
        <v>2632</v>
      </c>
      <c r="B615" s="80" t="s">
        <v>2682</v>
      </c>
      <c r="C615" s="80" t="s">
        <v>2393</v>
      </c>
      <c r="D615" s="80" t="s">
        <v>2644</v>
      </c>
      <c r="E615" s="80" t="s">
        <v>2641</v>
      </c>
      <c r="F615" s="80" t="s">
        <v>2373</v>
      </c>
      <c r="G615" s="80" t="s">
        <v>2688</v>
      </c>
      <c r="H615" s="79">
        <v>13</v>
      </c>
      <c r="I615" s="79">
        <v>1419.3</v>
      </c>
      <c r="J615" s="79">
        <v>18450.900000000001</v>
      </c>
    </row>
    <row r="616" spans="1:10" ht="15" thickBot="1">
      <c r="A616" s="98">
        <v>44961</v>
      </c>
      <c r="B616" s="80" t="s">
        <v>2681</v>
      </c>
      <c r="C616" s="80" t="s">
        <v>2660</v>
      </c>
      <c r="D616" s="80" t="s">
        <v>2647</v>
      </c>
      <c r="E616" s="80" t="s">
        <v>2643</v>
      </c>
      <c r="F616" s="80" t="s">
        <v>2370</v>
      </c>
      <c r="G616" s="80" t="s">
        <v>1335</v>
      </c>
      <c r="H616" s="79">
        <v>1</v>
      </c>
      <c r="I616" s="79">
        <v>3187.31</v>
      </c>
      <c r="J616" s="79">
        <v>3187.31</v>
      </c>
    </row>
    <row r="617" spans="1:10" ht="15" thickBot="1">
      <c r="A617" s="98">
        <v>44968</v>
      </c>
      <c r="B617" s="80" t="s">
        <v>2678</v>
      </c>
      <c r="C617" s="80" t="s">
        <v>2658</v>
      </c>
      <c r="D617" s="80" t="s">
        <v>2645</v>
      </c>
      <c r="E617" s="80" t="s">
        <v>2642</v>
      </c>
      <c r="F617" s="80" t="s">
        <v>2661</v>
      </c>
      <c r="G617" s="80" t="s">
        <v>2698</v>
      </c>
      <c r="H617" s="79">
        <v>12</v>
      </c>
      <c r="I617" s="79">
        <v>1837.2</v>
      </c>
      <c r="J617" s="79">
        <v>22046.400000000001</v>
      </c>
    </row>
    <row r="618" spans="1:10" ht="15" thickBot="1">
      <c r="A618" s="98" t="s">
        <v>2520</v>
      </c>
      <c r="B618" s="80" t="s">
        <v>2681</v>
      </c>
      <c r="C618" s="80" t="s">
        <v>2656</v>
      </c>
      <c r="D618" s="80" t="s">
        <v>2648</v>
      </c>
      <c r="E618" s="80" t="s">
        <v>2641</v>
      </c>
      <c r="F618" s="80" t="s">
        <v>2370</v>
      </c>
      <c r="G618" s="80" t="s">
        <v>2702</v>
      </c>
      <c r="H618" s="79">
        <v>2</v>
      </c>
      <c r="I618" s="79">
        <v>4081.92</v>
      </c>
      <c r="J618" s="79">
        <v>8163.84</v>
      </c>
    </row>
    <row r="619" spans="1:10" ht="15" thickBot="1">
      <c r="A619" s="98" t="s">
        <v>2462</v>
      </c>
      <c r="B619" s="80" t="s">
        <v>2679</v>
      </c>
      <c r="C619" s="80" t="s">
        <v>2656</v>
      </c>
      <c r="D619" s="80" t="s">
        <v>2648</v>
      </c>
      <c r="E619" s="80" t="s">
        <v>2641</v>
      </c>
      <c r="F619" s="80" t="s">
        <v>2661</v>
      </c>
      <c r="G619" s="80" t="s">
        <v>2691</v>
      </c>
      <c r="H619" s="79">
        <v>20</v>
      </c>
      <c r="I619" s="79">
        <v>3184.86</v>
      </c>
      <c r="J619" s="79">
        <v>63697.2</v>
      </c>
    </row>
    <row r="620" spans="1:10" ht="15" thickBot="1">
      <c r="A620" s="98" t="s">
        <v>2616</v>
      </c>
      <c r="B620" s="80" t="s">
        <v>2682</v>
      </c>
      <c r="C620" s="80" t="s">
        <v>2654</v>
      </c>
      <c r="D620" s="80" t="s">
        <v>2646</v>
      </c>
      <c r="E620" s="80" t="s">
        <v>2642</v>
      </c>
      <c r="F620" s="80" t="s">
        <v>2373</v>
      </c>
      <c r="G620" s="80" t="s">
        <v>2703</v>
      </c>
      <c r="H620" s="79">
        <v>8</v>
      </c>
      <c r="I620" s="79">
        <v>3402.24</v>
      </c>
      <c r="J620" s="79">
        <v>27217.919999999998</v>
      </c>
    </row>
    <row r="621" spans="1:10" ht="15" thickBot="1">
      <c r="A621" s="98">
        <v>44966</v>
      </c>
      <c r="B621" s="80" t="s">
        <v>2682</v>
      </c>
      <c r="C621" s="80" t="s">
        <v>2392</v>
      </c>
      <c r="D621" s="80" t="s">
        <v>2644</v>
      </c>
      <c r="E621" s="80" t="s">
        <v>2641</v>
      </c>
      <c r="F621" s="80" t="s">
        <v>2373</v>
      </c>
      <c r="G621" s="80" t="s">
        <v>2703</v>
      </c>
      <c r="H621" s="79">
        <v>10</v>
      </c>
      <c r="I621" s="79">
        <v>2750.69</v>
      </c>
      <c r="J621" s="79">
        <v>27506.9</v>
      </c>
    </row>
    <row r="622" spans="1:10" ht="15" thickBot="1">
      <c r="A622" s="98">
        <v>45233</v>
      </c>
      <c r="B622" s="80" t="s">
        <v>2687</v>
      </c>
      <c r="C622" s="80" t="s">
        <v>2393</v>
      </c>
      <c r="D622" s="80" t="s">
        <v>2644</v>
      </c>
      <c r="E622" s="80" t="s">
        <v>2641</v>
      </c>
      <c r="F622" s="80" t="s">
        <v>2370</v>
      </c>
      <c r="G622" s="80" t="s">
        <v>1335</v>
      </c>
      <c r="H622" s="79">
        <v>13</v>
      </c>
      <c r="I622" s="79">
        <v>4090.9</v>
      </c>
      <c r="J622" s="79">
        <v>53181.7</v>
      </c>
    </row>
    <row r="623" spans="1:10" ht="15" thickBot="1">
      <c r="A623" s="98">
        <v>45237</v>
      </c>
      <c r="B623" s="80" t="s">
        <v>2686</v>
      </c>
      <c r="C623" s="80" t="s">
        <v>2658</v>
      </c>
      <c r="D623" s="80" t="s">
        <v>2645</v>
      </c>
      <c r="E623" s="80" t="s">
        <v>2642</v>
      </c>
      <c r="F623" s="80" t="s">
        <v>2661</v>
      </c>
      <c r="G623" s="80" t="s">
        <v>2696</v>
      </c>
      <c r="H623" s="79">
        <v>3</v>
      </c>
      <c r="I623" s="79">
        <v>4234</v>
      </c>
      <c r="J623" s="79">
        <v>12702</v>
      </c>
    </row>
    <row r="624" spans="1:10" ht="15" thickBot="1">
      <c r="A624" s="98">
        <v>45083</v>
      </c>
      <c r="B624" s="80" t="s">
        <v>2687</v>
      </c>
      <c r="C624" s="80" t="s">
        <v>2651</v>
      </c>
      <c r="D624" s="80" t="s">
        <v>2646</v>
      </c>
      <c r="E624" s="80" t="s">
        <v>2642</v>
      </c>
      <c r="F624" s="80" t="s">
        <v>2370</v>
      </c>
      <c r="G624" s="80" t="s">
        <v>2701</v>
      </c>
      <c r="H624" s="79">
        <v>12</v>
      </c>
      <c r="I624" s="79">
        <v>1701.3</v>
      </c>
      <c r="J624" s="79">
        <v>20415.599999999999</v>
      </c>
    </row>
    <row r="625" spans="1:10" ht="15" thickBot="1">
      <c r="A625" s="98">
        <v>45053</v>
      </c>
      <c r="B625" s="80" t="s">
        <v>2685</v>
      </c>
      <c r="C625" s="80" t="s">
        <v>2650</v>
      </c>
      <c r="D625" s="80" t="s">
        <v>2646</v>
      </c>
      <c r="E625" s="80" t="s">
        <v>2642</v>
      </c>
      <c r="F625" s="80" t="s">
        <v>2370</v>
      </c>
      <c r="G625" s="80" t="s">
        <v>2702</v>
      </c>
      <c r="H625" s="79">
        <v>18</v>
      </c>
      <c r="I625" s="79">
        <v>1599.01</v>
      </c>
      <c r="J625" s="79">
        <v>28782.18</v>
      </c>
    </row>
    <row r="626" spans="1:10" ht="15" thickBot="1">
      <c r="A626" s="98" t="s">
        <v>2575</v>
      </c>
      <c r="B626" s="80" t="s">
        <v>2685</v>
      </c>
      <c r="C626" s="80" t="s">
        <v>2655</v>
      </c>
      <c r="D626" s="80" t="s">
        <v>2645</v>
      </c>
      <c r="E626" s="80" t="s">
        <v>2642</v>
      </c>
      <c r="F626" s="80" t="s">
        <v>2370</v>
      </c>
      <c r="G626" s="80" t="s">
        <v>1335</v>
      </c>
      <c r="H626" s="79">
        <v>11</v>
      </c>
      <c r="I626" s="79">
        <v>4564.7299999999996</v>
      </c>
      <c r="J626" s="79">
        <v>50212.03</v>
      </c>
    </row>
    <row r="627" spans="1:10" ht="15" thickBot="1">
      <c r="A627" s="98">
        <v>44992</v>
      </c>
      <c r="B627" s="80" t="s">
        <v>2678</v>
      </c>
      <c r="C627" s="80" t="s">
        <v>2656</v>
      </c>
      <c r="D627" s="80" t="s">
        <v>2648</v>
      </c>
      <c r="E627" s="80" t="s">
        <v>2641</v>
      </c>
      <c r="F627" s="80" t="s">
        <v>2373</v>
      </c>
      <c r="G627" s="80" t="s">
        <v>2697</v>
      </c>
      <c r="H627" s="79">
        <v>14</v>
      </c>
      <c r="I627" s="79">
        <v>3507.75</v>
      </c>
      <c r="J627" s="79">
        <v>49108.5</v>
      </c>
    </row>
    <row r="628" spans="1:10" ht="15" thickBot="1">
      <c r="A628" s="98" t="s">
        <v>2472</v>
      </c>
      <c r="B628" s="80" t="s">
        <v>2684</v>
      </c>
      <c r="C628" s="80" t="s">
        <v>2652</v>
      </c>
      <c r="D628" s="80" t="s">
        <v>2647</v>
      </c>
      <c r="E628" s="80" t="s">
        <v>2643</v>
      </c>
      <c r="F628" s="80" t="s">
        <v>2374</v>
      </c>
      <c r="G628" s="80" t="s">
        <v>2692</v>
      </c>
      <c r="H628" s="79">
        <v>4</v>
      </c>
      <c r="I628" s="79">
        <v>810.38</v>
      </c>
      <c r="J628" s="79">
        <v>3241.52</v>
      </c>
    </row>
    <row r="629" spans="1:10" ht="15" thickBot="1">
      <c r="A629" s="98" t="s">
        <v>2565</v>
      </c>
      <c r="B629" s="80" t="s">
        <v>2678</v>
      </c>
      <c r="C629" s="80" t="s">
        <v>2393</v>
      </c>
      <c r="D629" s="80" t="s">
        <v>2644</v>
      </c>
      <c r="E629" s="80" t="s">
        <v>2641</v>
      </c>
      <c r="F629" s="80" t="s">
        <v>2370</v>
      </c>
      <c r="G629" s="80" t="s">
        <v>2701</v>
      </c>
      <c r="H629" s="79">
        <v>7</v>
      </c>
      <c r="I629" s="79">
        <v>698.8</v>
      </c>
      <c r="J629" s="79">
        <v>4891.6000000000004</v>
      </c>
    </row>
    <row r="630" spans="1:10" ht="15" thickBot="1">
      <c r="A630" s="98">
        <v>45208</v>
      </c>
      <c r="B630" s="80" t="s">
        <v>2686</v>
      </c>
      <c r="C630" s="80" t="s">
        <v>2654</v>
      </c>
      <c r="D630" s="80" t="s">
        <v>2646</v>
      </c>
      <c r="E630" s="80" t="s">
        <v>2642</v>
      </c>
      <c r="F630" s="80" t="s">
        <v>2370</v>
      </c>
      <c r="G630" s="80" t="s">
        <v>2702</v>
      </c>
      <c r="H630" s="79">
        <v>14</v>
      </c>
      <c r="I630" s="79">
        <v>2833.44</v>
      </c>
      <c r="J630" s="79">
        <v>39668.160000000003</v>
      </c>
    </row>
    <row r="631" spans="1:10" ht="15" thickBot="1">
      <c r="A631" s="98" t="s">
        <v>2548</v>
      </c>
      <c r="B631" s="80" t="s">
        <v>2681</v>
      </c>
      <c r="C631" s="80" t="s">
        <v>2658</v>
      </c>
      <c r="D631" s="80" t="s">
        <v>2645</v>
      </c>
      <c r="E631" s="80" t="s">
        <v>2642</v>
      </c>
      <c r="F631" s="80" t="s">
        <v>2661</v>
      </c>
      <c r="G631" s="80" t="s">
        <v>2696</v>
      </c>
      <c r="H631" s="79">
        <v>20</v>
      </c>
      <c r="I631" s="79">
        <v>2409.6799999999998</v>
      </c>
      <c r="J631" s="79">
        <v>48193.599999999999</v>
      </c>
    </row>
    <row r="632" spans="1:10" ht="15" thickBot="1">
      <c r="A632" s="98">
        <v>45086</v>
      </c>
      <c r="B632" s="80" t="s">
        <v>2686</v>
      </c>
      <c r="C632" s="80" t="s">
        <v>2650</v>
      </c>
      <c r="D632" s="80" t="s">
        <v>2646</v>
      </c>
      <c r="E632" s="80" t="s">
        <v>2642</v>
      </c>
      <c r="F632" s="80" t="s">
        <v>2661</v>
      </c>
      <c r="G632" s="80" t="s">
        <v>2698</v>
      </c>
      <c r="H632" s="79">
        <v>17</v>
      </c>
      <c r="I632" s="79">
        <v>2448.5100000000002</v>
      </c>
      <c r="J632" s="79">
        <v>41624.67</v>
      </c>
    </row>
    <row r="633" spans="1:10" ht="15" thickBot="1">
      <c r="A633" s="98">
        <v>45207</v>
      </c>
      <c r="B633" s="80" t="s">
        <v>2687</v>
      </c>
      <c r="C633" s="80" t="s">
        <v>2650</v>
      </c>
      <c r="D633" s="80" t="s">
        <v>2646</v>
      </c>
      <c r="E633" s="80" t="s">
        <v>2642</v>
      </c>
      <c r="F633" s="80" t="s">
        <v>2372</v>
      </c>
      <c r="G633" s="80" t="s">
        <v>2693</v>
      </c>
      <c r="H633" s="79">
        <v>7</v>
      </c>
      <c r="I633" s="79">
        <v>4029.58</v>
      </c>
      <c r="J633" s="79">
        <v>28207.06</v>
      </c>
    </row>
    <row r="634" spans="1:10" ht="15" thickBot="1">
      <c r="A634" s="98" t="s">
        <v>2451</v>
      </c>
      <c r="B634" s="80" t="s">
        <v>2681</v>
      </c>
      <c r="C634" s="80" t="s">
        <v>2651</v>
      </c>
      <c r="D634" s="80" t="s">
        <v>2646</v>
      </c>
      <c r="E634" s="80" t="s">
        <v>2642</v>
      </c>
      <c r="F634" s="80" t="s">
        <v>2661</v>
      </c>
      <c r="G634" s="80" t="s">
        <v>2695</v>
      </c>
      <c r="H634" s="79">
        <v>15</v>
      </c>
      <c r="I634" s="79">
        <v>3999.29</v>
      </c>
      <c r="J634" s="79">
        <v>59989.35</v>
      </c>
    </row>
    <row r="635" spans="1:10" ht="15" thickBot="1">
      <c r="A635" s="98" t="s">
        <v>2596</v>
      </c>
      <c r="B635" s="80" t="s">
        <v>2683</v>
      </c>
      <c r="C635" s="80" t="s">
        <v>2649</v>
      </c>
      <c r="D635" s="80" t="s">
        <v>2645</v>
      </c>
      <c r="E635" s="80" t="s">
        <v>2642</v>
      </c>
      <c r="F635" s="80" t="s">
        <v>2374</v>
      </c>
      <c r="G635" s="80" t="s">
        <v>2700</v>
      </c>
      <c r="H635" s="79">
        <v>17</v>
      </c>
      <c r="I635" s="79">
        <v>583.88</v>
      </c>
      <c r="J635" s="79">
        <v>9925.9599999999991</v>
      </c>
    </row>
    <row r="636" spans="1:10" ht="15" thickBot="1">
      <c r="A636" s="98">
        <v>44965</v>
      </c>
      <c r="B636" s="80" t="s">
        <v>2687</v>
      </c>
      <c r="C636" s="80" t="s">
        <v>2396</v>
      </c>
      <c r="D636" s="80" t="s">
        <v>2648</v>
      </c>
      <c r="E636" s="80" t="s">
        <v>2641</v>
      </c>
      <c r="F636" s="80" t="s">
        <v>2372</v>
      </c>
      <c r="G636" s="80" t="s">
        <v>2694</v>
      </c>
      <c r="H636" s="79">
        <v>7</v>
      </c>
      <c r="I636" s="79">
        <v>1319.32</v>
      </c>
      <c r="J636" s="79">
        <v>9235.24</v>
      </c>
    </row>
    <row r="637" spans="1:10" ht="15" thickBot="1">
      <c r="A637" s="98" t="s">
        <v>2492</v>
      </c>
      <c r="B637" s="80" t="s">
        <v>2682</v>
      </c>
      <c r="C637" s="80" t="s">
        <v>2653</v>
      </c>
      <c r="D637" s="80" t="s">
        <v>2644</v>
      </c>
      <c r="E637" s="80" t="s">
        <v>2641</v>
      </c>
      <c r="F637" s="80" t="s">
        <v>2373</v>
      </c>
      <c r="G637" s="80" t="s">
        <v>2705</v>
      </c>
      <c r="H637" s="79">
        <v>15</v>
      </c>
      <c r="I637" s="79">
        <v>2698.6</v>
      </c>
      <c r="J637" s="79">
        <v>40479</v>
      </c>
    </row>
    <row r="638" spans="1:10" ht="15" thickBot="1">
      <c r="A638" s="98" t="s">
        <v>2471</v>
      </c>
      <c r="B638" s="80" t="s">
        <v>2680</v>
      </c>
      <c r="C638" s="80" t="s">
        <v>2658</v>
      </c>
      <c r="D638" s="80" t="s">
        <v>2645</v>
      </c>
      <c r="E638" s="80" t="s">
        <v>2642</v>
      </c>
      <c r="F638" s="80" t="s">
        <v>2374</v>
      </c>
      <c r="G638" s="80" t="s">
        <v>2700</v>
      </c>
      <c r="H638" s="79">
        <v>19</v>
      </c>
      <c r="I638" s="79">
        <v>4364.6400000000003</v>
      </c>
      <c r="J638" s="79">
        <v>82928.160000000003</v>
      </c>
    </row>
    <row r="639" spans="1:10" ht="15" thickBot="1">
      <c r="A639" s="98" t="s">
        <v>2505</v>
      </c>
      <c r="B639" s="80" t="s">
        <v>2685</v>
      </c>
      <c r="C639" s="80" t="s">
        <v>2651</v>
      </c>
      <c r="D639" s="80" t="s">
        <v>2646</v>
      </c>
      <c r="E639" s="80" t="s">
        <v>2642</v>
      </c>
      <c r="F639" s="80" t="s">
        <v>2373</v>
      </c>
      <c r="G639" s="80" t="s">
        <v>2697</v>
      </c>
      <c r="H639" s="79">
        <v>8</v>
      </c>
      <c r="I639" s="79">
        <v>4740.97</v>
      </c>
      <c r="J639" s="79">
        <v>37927.760000000002</v>
      </c>
    </row>
    <row r="640" spans="1:10" ht="15" thickBot="1">
      <c r="A640" s="98" t="s">
        <v>2574</v>
      </c>
      <c r="B640" s="80" t="s">
        <v>2682</v>
      </c>
      <c r="C640" s="80" t="s">
        <v>2649</v>
      </c>
      <c r="D640" s="80" t="s">
        <v>2645</v>
      </c>
      <c r="E640" s="80" t="s">
        <v>2642</v>
      </c>
      <c r="F640" s="80" t="s">
        <v>2374</v>
      </c>
      <c r="G640" s="80" t="s">
        <v>2700</v>
      </c>
      <c r="H640" s="79">
        <v>4</v>
      </c>
      <c r="I640" s="79">
        <v>917.97</v>
      </c>
      <c r="J640" s="79">
        <v>3671.88</v>
      </c>
    </row>
    <row r="641" spans="1:10" ht="15" thickBot="1">
      <c r="A641" s="98">
        <v>45174</v>
      </c>
      <c r="B641" s="80" t="s">
        <v>2682</v>
      </c>
      <c r="C641" s="80" t="s">
        <v>2396</v>
      </c>
      <c r="D641" s="80" t="s">
        <v>2648</v>
      </c>
      <c r="E641" s="80" t="s">
        <v>2641</v>
      </c>
      <c r="F641" s="80" t="s">
        <v>2372</v>
      </c>
      <c r="G641" s="80" t="s">
        <v>2693</v>
      </c>
      <c r="H641" s="79">
        <v>10</v>
      </c>
      <c r="I641" s="79">
        <v>224.53</v>
      </c>
      <c r="J641" s="79">
        <v>2245.3000000000002</v>
      </c>
    </row>
    <row r="642" spans="1:10" ht="15" thickBot="1">
      <c r="A642" s="98" t="s">
        <v>2439</v>
      </c>
      <c r="B642" s="80" t="s">
        <v>2679</v>
      </c>
      <c r="C642" s="80" t="s">
        <v>2652</v>
      </c>
      <c r="D642" s="80" t="s">
        <v>2647</v>
      </c>
      <c r="E642" s="80" t="s">
        <v>2643</v>
      </c>
      <c r="F642" s="80" t="s">
        <v>2374</v>
      </c>
      <c r="G642" s="80" t="s">
        <v>2700</v>
      </c>
      <c r="H642" s="79">
        <v>1</v>
      </c>
      <c r="I642" s="79">
        <v>3246.08</v>
      </c>
      <c r="J642" s="79">
        <v>3246.08</v>
      </c>
    </row>
    <row r="643" spans="1:10" ht="15" thickBot="1">
      <c r="A643" s="98" t="s">
        <v>2586</v>
      </c>
      <c r="B643" s="80" t="s">
        <v>2680</v>
      </c>
      <c r="C643" s="80" t="s">
        <v>2653</v>
      </c>
      <c r="D643" s="80" t="s">
        <v>2644</v>
      </c>
      <c r="E643" s="80" t="s">
        <v>2641</v>
      </c>
      <c r="F643" s="80" t="s">
        <v>2373</v>
      </c>
      <c r="G643" s="80" t="s">
        <v>2705</v>
      </c>
      <c r="H643" s="79">
        <v>16</v>
      </c>
      <c r="I643" s="79">
        <v>1411.33</v>
      </c>
      <c r="J643" s="79">
        <v>22581.279999999999</v>
      </c>
    </row>
    <row r="644" spans="1:10" ht="15" thickBot="1">
      <c r="A644" s="98">
        <v>45051</v>
      </c>
      <c r="B644" s="80" t="s">
        <v>2678</v>
      </c>
      <c r="C644" s="80" t="s">
        <v>2650</v>
      </c>
      <c r="D644" s="80" t="s">
        <v>2646</v>
      </c>
      <c r="E644" s="80" t="s">
        <v>2642</v>
      </c>
      <c r="F644" s="80" t="s">
        <v>2372</v>
      </c>
      <c r="G644" s="80" t="s">
        <v>2699</v>
      </c>
      <c r="H644" s="79">
        <v>19</v>
      </c>
      <c r="I644" s="79">
        <v>2174.06</v>
      </c>
      <c r="J644" s="79">
        <v>41307.14</v>
      </c>
    </row>
    <row r="645" spans="1:10" ht="15" thickBot="1">
      <c r="A645" s="98">
        <v>45203</v>
      </c>
      <c r="B645" s="80" t="s">
        <v>2678</v>
      </c>
      <c r="C645" s="80" t="s">
        <v>2651</v>
      </c>
      <c r="D645" s="80" t="s">
        <v>2646</v>
      </c>
      <c r="E645" s="80" t="s">
        <v>2642</v>
      </c>
      <c r="F645" s="80" t="s">
        <v>2661</v>
      </c>
      <c r="G645" s="80" t="s">
        <v>2695</v>
      </c>
      <c r="H645" s="79">
        <v>2</v>
      </c>
      <c r="I645" s="79">
        <v>1194.4000000000001</v>
      </c>
      <c r="J645" s="79">
        <v>2388.8000000000002</v>
      </c>
    </row>
    <row r="646" spans="1:10" ht="15" thickBot="1">
      <c r="A646" s="98" t="s">
        <v>2496</v>
      </c>
      <c r="B646" s="80" t="s">
        <v>2686</v>
      </c>
      <c r="C646" s="80" t="s">
        <v>2396</v>
      </c>
      <c r="D646" s="80" t="s">
        <v>2648</v>
      </c>
      <c r="E646" s="80" t="s">
        <v>2641</v>
      </c>
      <c r="F646" s="80" t="s">
        <v>2372</v>
      </c>
      <c r="G646" s="80" t="s">
        <v>2693</v>
      </c>
      <c r="H646" s="79">
        <v>2</v>
      </c>
      <c r="I646" s="79">
        <v>3726.58</v>
      </c>
      <c r="J646" s="79">
        <v>7453.16</v>
      </c>
    </row>
    <row r="647" spans="1:10" ht="15" thickBot="1">
      <c r="A647" s="98">
        <v>45144</v>
      </c>
      <c r="B647" s="80" t="s">
        <v>2683</v>
      </c>
      <c r="C647" s="80" t="s">
        <v>2650</v>
      </c>
      <c r="D647" s="80" t="s">
        <v>2646</v>
      </c>
      <c r="E647" s="80" t="s">
        <v>2642</v>
      </c>
      <c r="F647" s="80" t="s">
        <v>2373</v>
      </c>
      <c r="G647" s="80" t="s">
        <v>2703</v>
      </c>
      <c r="H647" s="79">
        <v>5</v>
      </c>
      <c r="I647" s="79">
        <v>1599.65</v>
      </c>
      <c r="J647" s="79">
        <v>7998.25</v>
      </c>
    </row>
    <row r="648" spans="1:10" ht="15" thickBot="1">
      <c r="A648" s="98" t="s">
        <v>2506</v>
      </c>
      <c r="B648" s="80" t="s">
        <v>2685</v>
      </c>
      <c r="C648" s="80" t="s">
        <v>2659</v>
      </c>
      <c r="D648" s="80" t="s">
        <v>2647</v>
      </c>
      <c r="E648" s="80" t="s">
        <v>2643</v>
      </c>
      <c r="F648" s="80" t="s">
        <v>2373</v>
      </c>
      <c r="G648" s="80" t="s">
        <v>2688</v>
      </c>
      <c r="H648" s="79">
        <v>16</v>
      </c>
      <c r="I648" s="79">
        <v>1628.19</v>
      </c>
      <c r="J648" s="79">
        <v>26051.040000000001</v>
      </c>
    </row>
    <row r="649" spans="1:10" ht="15" thickBot="1">
      <c r="A649" s="98" t="s">
        <v>2441</v>
      </c>
      <c r="B649" s="80" t="s">
        <v>2685</v>
      </c>
      <c r="C649" s="80" t="s">
        <v>2658</v>
      </c>
      <c r="D649" s="80" t="s">
        <v>2645</v>
      </c>
      <c r="E649" s="80" t="s">
        <v>2642</v>
      </c>
      <c r="F649" s="80" t="s">
        <v>2372</v>
      </c>
      <c r="G649" s="80" t="s">
        <v>2694</v>
      </c>
      <c r="H649" s="79">
        <v>17</v>
      </c>
      <c r="I649" s="79">
        <v>3381.75</v>
      </c>
      <c r="J649" s="79">
        <v>57489.75</v>
      </c>
    </row>
    <row r="650" spans="1:10" ht="15" thickBot="1">
      <c r="A650" s="98" t="s">
        <v>2461</v>
      </c>
      <c r="B650" s="80" t="s">
        <v>2679</v>
      </c>
      <c r="C650" s="80" t="s">
        <v>2649</v>
      </c>
      <c r="D650" s="80" t="s">
        <v>2645</v>
      </c>
      <c r="E650" s="80" t="s">
        <v>2642</v>
      </c>
      <c r="F650" s="80" t="s">
        <v>2374</v>
      </c>
      <c r="G650" s="80" t="s">
        <v>2689</v>
      </c>
      <c r="H650" s="79">
        <v>18</v>
      </c>
      <c r="I650" s="79">
        <v>3627.09</v>
      </c>
      <c r="J650" s="79">
        <v>65287.62</v>
      </c>
    </row>
    <row r="651" spans="1:10" ht="15" thickBot="1">
      <c r="A651" s="98" t="s">
        <v>2518</v>
      </c>
      <c r="B651" s="80" t="s">
        <v>2678</v>
      </c>
      <c r="C651" s="80" t="s">
        <v>2396</v>
      </c>
      <c r="D651" s="80" t="s">
        <v>2648</v>
      </c>
      <c r="E651" s="80" t="s">
        <v>2641</v>
      </c>
      <c r="F651" s="80" t="s">
        <v>2661</v>
      </c>
      <c r="G651" s="80" t="s">
        <v>2691</v>
      </c>
      <c r="H651" s="79">
        <v>2</v>
      </c>
      <c r="I651" s="79">
        <v>3106.64</v>
      </c>
      <c r="J651" s="79">
        <v>6213.28</v>
      </c>
    </row>
    <row r="652" spans="1:10" ht="15" thickBot="1">
      <c r="A652" s="98">
        <v>45202</v>
      </c>
      <c r="B652" s="80" t="s">
        <v>2678</v>
      </c>
      <c r="C652" s="80" t="s">
        <v>2393</v>
      </c>
      <c r="D652" s="80" t="s">
        <v>2644</v>
      </c>
      <c r="E652" s="80" t="s">
        <v>2641</v>
      </c>
      <c r="F652" s="80" t="s">
        <v>2370</v>
      </c>
      <c r="G652" s="80" t="s">
        <v>1336</v>
      </c>
      <c r="H652" s="79">
        <v>15</v>
      </c>
      <c r="I652" s="79">
        <v>4310.01</v>
      </c>
      <c r="J652" s="79">
        <v>64650.15</v>
      </c>
    </row>
    <row r="653" spans="1:10" ht="15" thickBot="1">
      <c r="A653" s="98">
        <v>44988</v>
      </c>
      <c r="B653" s="80" t="s">
        <v>2684</v>
      </c>
      <c r="C653" s="80" t="s">
        <v>2657</v>
      </c>
      <c r="D653" s="80" t="s">
        <v>2648</v>
      </c>
      <c r="E653" s="80" t="s">
        <v>2641</v>
      </c>
      <c r="F653" s="80" t="s">
        <v>2373</v>
      </c>
      <c r="G653" s="80" t="s">
        <v>2688</v>
      </c>
      <c r="H653" s="79">
        <v>14</v>
      </c>
      <c r="I653" s="79">
        <v>3352.19</v>
      </c>
      <c r="J653" s="79">
        <v>46930.66</v>
      </c>
    </row>
    <row r="654" spans="1:10" ht="15" thickBot="1">
      <c r="A654" s="98" t="s">
        <v>2542</v>
      </c>
      <c r="B654" s="80" t="s">
        <v>2681</v>
      </c>
      <c r="C654" s="80" t="s">
        <v>2659</v>
      </c>
      <c r="D654" s="80" t="s">
        <v>2647</v>
      </c>
      <c r="E654" s="80" t="s">
        <v>2643</v>
      </c>
      <c r="F654" s="80" t="s">
        <v>2370</v>
      </c>
      <c r="G654" s="80" t="s">
        <v>2701</v>
      </c>
      <c r="H654" s="79">
        <v>18</v>
      </c>
      <c r="I654" s="79">
        <v>214.47</v>
      </c>
      <c r="J654" s="79">
        <v>3860.46</v>
      </c>
    </row>
    <row r="655" spans="1:10" ht="15" thickBot="1">
      <c r="A655" s="98" t="s">
        <v>2548</v>
      </c>
      <c r="B655" s="80" t="s">
        <v>2678</v>
      </c>
      <c r="C655" s="80" t="s">
        <v>2655</v>
      </c>
      <c r="D655" s="80" t="s">
        <v>2645</v>
      </c>
      <c r="E655" s="80" t="s">
        <v>2642</v>
      </c>
      <c r="F655" s="80" t="s">
        <v>2661</v>
      </c>
      <c r="G655" s="80" t="s">
        <v>2691</v>
      </c>
      <c r="H655" s="79">
        <v>3</v>
      </c>
      <c r="I655" s="79">
        <v>1810.87</v>
      </c>
      <c r="J655" s="79">
        <v>5432.61</v>
      </c>
    </row>
    <row r="656" spans="1:10" ht="15" thickBot="1">
      <c r="A656" s="98" t="s">
        <v>2584</v>
      </c>
      <c r="B656" s="80" t="s">
        <v>2686</v>
      </c>
      <c r="C656" s="80" t="s">
        <v>2660</v>
      </c>
      <c r="D656" s="80" t="s">
        <v>2647</v>
      </c>
      <c r="E656" s="80" t="s">
        <v>2643</v>
      </c>
      <c r="F656" s="80" t="s">
        <v>2373</v>
      </c>
      <c r="G656" s="80" t="s">
        <v>2703</v>
      </c>
      <c r="H656" s="79">
        <v>3</v>
      </c>
      <c r="I656" s="79">
        <v>1105.46</v>
      </c>
      <c r="J656" s="79">
        <v>3316.38</v>
      </c>
    </row>
    <row r="657" spans="1:10" ht="15" thickBot="1">
      <c r="A657" s="98" t="s">
        <v>2462</v>
      </c>
      <c r="B657" s="80" t="s">
        <v>2687</v>
      </c>
      <c r="C657" s="80" t="s">
        <v>2392</v>
      </c>
      <c r="D657" s="80" t="s">
        <v>2644</v>
      </c>
      <c r="E657" s="80" t="s">
        <v>2641</v>
      </c>
      <c r="F657" s="80" t="s">
        <v>2661</v>
      </c>
      <c r="G657" s="80" t="s">
        <v>2695</v>
      </c>
      <c r="H657" s="79">
        <v>10</v>
      </c>
      <c r="I657" s="79">
        <v>3707.43</v>
      </c>
      <c r="J657" s="79">
        <v>37074.300000000003</v>
      </c>
    </row>
    <row r="658" spans="1:10" ht="15" thickBot="1">
      <c r="A658" s="98">
        <v>45209</v>
      </c>
      <c r="B658" s="80" t="s">
        <v>2685</v>
      </c>
      <c r="C658" s="80" t="s">
        <v>2651</v>
      </c>
      <c r="D658" s="80" t="s">
        <v>2646</v>
      </c>
      <c r="E658" s="80" t="s">
        <v>2642</v>
      </c>
      <c r="F658" s="80" t="s">
        <v>2370</v>
      </c>
      <c r="G658" s="80" t="s">
        <v>2701</v>
      </c>
      <c r="H658" s="79">
        <v>18</v>
      </c>
      <c r="I658" s="79">
        <v>584.4</v>
      </c>
      <c r="J658" s="79">
        <v>10519.2</v>
      </c>
    </row>
    <row r="659" spans="1:10" ht="15" thickBot="1">
      <c r="A659" s="98" t="s">
        <v>2535</v>
      </c>
      <c r="B659" s="80" t="s">
        <v>2679</v>
      </c>
      <c r="C659" s="80" t="s">
        <v>2655</v>
      </c>
      <c r="D659" s="80" t="s">
        <v>2645</v>
      </c>
      <c r="E659" s="80" t="s">
        <v>2642</v>
      </c>
      <c r="F659" s="80" t="s">
        <v>2373</v>
      </c>
      <c r="G659" s="80" t="s">
        <v>2703</v>
      </c>
      <c r="H659" s="79">
        <v>1</v>
      </c>
      <c r="I659" s="79">
        <v>2498.7399999999998</v>
      </c>
      <c r="J659" s="79">
        <v>2498.7399999999998</v>
      </c>
    </row>
    <row r="660" spans="1:10" ht="15" thickBot="1">
      <c r="A660" s="98">
        <v>45110</v>
      </c>
      <c r="B660" s="80" t="s">
        <v>2682</v>
      </c>
      <c r="C660" s="80" t="s">
        <v>2658</v>
      </c>
      <c r="D660" s="80" t="s">
        <v>2645</v>
      </c>
      <c r="E660" s="80" t="s">
        <v>2642</v>
      </c>
      <c r="F660" s="80" t="s">
        <v>2370</v>
      </c>
      <c r="G660" s="80" t="s">
        <v>2701</v>
      </c>
      <c r="H660" s="79">
        <v>17</v>
      </c>
      <c r="I660" s="79">
        <v>2460.73</v>
      </c>
      <c r="J660" s="79">
        <v>41832.410000000003</v>
      </c>
    </row>
    <row r="661" spans="1:10" ht="15" thickBot="1">
      <c r="A661" s="98">
        <v>45261</v>
      </c>
      <c r="B661" s="80" t="s">
        <v>2686</v>
      </c>
      <c r="C661" s="80" t="s">
        <v>2653</v>
      </c>
      <c r="D661" s="80" t="s">
        <v>2644</v>
      </c>
      <c r="E661" s="80" t="s">
        <v>2641</v>
      </c>
      <c r="F661" s="80" t="s">
        <v>2373</v>
      </c>
      <c r="G661" s="80" t="s">
        <v>2688</v>
      </c>
      <c r="H661" s="79">
        <v>13</v>
      </c>
      <c r="I661" s="79">
        <v>4630.9799999999996</v>
      </c>
      <c r="J661" s="79">
        <v>60202.74</v>
      </c>
    </row>
    <row r="662" spans="1:10" ht="15" thickBot="1">
      <c r="A662" s="98">
        <v>45241</v>
      </c>
      <c r="B662" s="80" t="s">
        <v>2681</v>
      </c>
      <c r="C662" s="80" t="s">
        <v>2658</v>
      </c>
      <c r="D662" s="80" t="s">
        <v>2645</v>
      </c>
      <c r="E662" s="80" t="s">
        <v>2642</v>
      </c>
      <c r="F662" s="80" t="s">
        <v>2370</v>
      </c>
      <c r="G662" s="80" t="s">
        <v>2702</v>
      </c>
      <c r="H662" s="79">
        <v>3</v>
      </c>
      <c r="I662" s="79">
        <v>4324.88</v>
      </c>
      <c r="J662" s="79">
        <v>12974.64</v>
      </c>
    </row>
    <row r="663" spans="1:10" ht="15" thickBot="1">
      <c r="A663" s="98">
        <v>45270</v>
      </c>
      <c r="B663" s="80" t="s">
        <v>2678</v>
      </c>
      <c r="C663" s="80" t="s">
        <v>2660</v>
      </c>
      <c r="D663" s="80" t="s">
        <v>2647</v>
      </c>
      <c r="E663" s="80" t="s">
        <v>2643</v>
      </c>
      <c r="F663" s="80" t="s">
        <v>2370</v>
      </c>
      <c r="G663" s="80" t="s">
        <v>2702</v>
      </c>
      <c r="H663" s="79">
        <v>20</v>
      </c>
      <c r="I663" s="79">
        <v>4049.4</v>
      </c>
      <c r="J663" s="79">
        <v>80988</v>
      </c>
    </row>
    <row r="664" spans="1:10" ht="15" thickBot="1">
      <c r="A664" s="98">
        <v>45148</v>
      </c>
      <c r="B664" s="80" t="s">
        <v>2679</v>
      </c>
      <c r="C664" s="80" t="s">
        <v>2657</v>
      </c>
      <c r="D664" s="80" t="s">
        <v>2648</v>
      </c>
      <c r="E664" s="80" t="s">
        <v>2641</v>
      </c>
      <c r="F664" s="80" t="s">
        <v>2661</v>
      </c>
      <c r="G664" s="80" t="s">
        <v>2698</v>
      </c>
      <c r="H664" s="79">
        <v>16</v>
      </c>
      <c r="I664" s="79">
        <v>2347.21</v>
      </c>
      <c r="J664" s="79">
        <v>37555.360000000001</v>
      </c>
    </row>
    <row r="665" spans="1:10" ht="15" thickBot="1">
      <c r="A665" s="98" t="s">
        <v>2547</v>
      </c>
      <c r="B665" s="80" t="s">
        <v>2679</v>
      </c>
      <c r="C665" s="80" t="s">
        <v>2393</v>
      </c>
      <c r="D665" s="80" t="s">
        <v>2644</v>
      </c>
      <c r="E665" s="80" t="s">
        <v>2641</v>
      </c>
      <c r="F665" s="80" t="s">
        <v>2372</v>
      </c>
      <c r="G665" s="80" t="s">
        <v>2699</v>
      </c>
      <c r="H665" s="79">
        <v>2</v>
      </c>
      <c r="I665" s="79">
        <v>3743.52</v>
      </c>
      <c r="J665" s="79">
        <v>7487.04</v>
      </c>
    </row>
    <row r="666" spans="1:10" ht="15" thickBot="1">
      <c r="A666" s="98" t="s">
        <v>2670</v>
      </c>
      <c r="B666" s="80" t="s">
        <v>2680</v>
      </c>
      <c r="C666" s="80" t="s">
        <v>2649</v>
      </c>
      <c r="D666" s="80" t="s">
        <v>2645</v>
      </c>
      <c r="E666" s="80" t="s">
        <v>2642</v>
      </c>
      <c r="F666" s="80" t="s">
        <v>2661</v>
      </c>
      <c r="G666" s="80" t="s">
        <v>2696</v>
      </c>
      <c r="H666" s="79">
        <v>8</v>
      </c>
      <c r="I666" s="79">
        <v>303.48</v>
      </c>
      <c r="J666" s="79">
        <v>2427.84</v>
      </c>
    </row>
    <row r="667" spans="1:10" ht="15" thickBot="1">
      <c r="A667" s="98" t="s">
        <v>2451</v>
      </c>
      <c r="B667" s="80" t="s">
        <v>2685</v>
      </c>
      <c r="C667" s="80" t="s">
        <v>2654</v>
      </c>
      <c r="D667" s="80" t="s">
        <v>2646</v>
      </c>
      <c r="E667" s="80" t="s">
        <v>2642</v>
      </c>
      <c r="F667" s="80" t="s">
        <v>2373</v>
      </c>
      <c r="G667" s="80" t="s">
        <v>2697</v>
      </c>
      <c r="H667" s="79">
        <v>7</v>
      </c>
      <c r="I667" s="79">
        <v>1373.41</v>
      </c>
      <c r="J667" s="79">
        <v>9613.8700000000008</v>
      </c>
    </row>
    <row r="668" spans="1:10" ht="15" thickBot="1">
      <c r="A668" s="98" t="s">
        <v>2605</v>
      </c>
      <c r="B668" s="80" t="s">
        <v>2685</v>
      </c>
      <c r="C668" s="80" t="s">
        <v>2659</v>
      </c>
      <c r="D668" s="80" t="s">
        <v>2647</v>
      </c>
      <c r="E668" s="80" t="s">
        <v>2643</v>
      </c>
      <c r="F668" s="80" t="s">
        <v>2370</v>
      </c>
      <c r="G668" s="80" t="s">
        <v>2701</v>
      </c>
      <c r="H668" s="79">
        <v>10</v>
      </c>
      <c r="I668" s="79">
        <v>3048.2</v>
      </c>
      <c r="J668" s="79">
        <v>30482</v>
      </c>
    </row>
    <row r="669" spans="1:10" ht="15" thickBot="1">
      <c r="A669" s="98" t="s">
        <v>2448</v>
      </c>
      <c r="B669" s="80" t="s">
        <v>2686</v>
      </c>
      <c r="C669" s="80" t="s">
        <v>2656</v>
      </c>
      <c r="D669" s="80" t="s">
        <v>2648</v>
      </c>
      <c r="E669" s="80" t="s">
        <v>2641</v>
      </c>
      <c r="F669" s="80" t="s">
        <v>2373</v>
      </c>
      <c r="G669" s="80" t="s">
        <v>2697</v>
      </c>
      <c r="H669" s="79">
        <v>20</v>
      </c>
      <c r="I669" s="79">
        <v>2818.78</v>
      </c>
      <c r="J669" s="79">
        <v>56375.6</v>
      </c>
    </row>
    <row r="670" spans="1:10" ht="15" thickBot="1">
      <c r="A670" s="98">
        <v>45027</v>
      </c>
      <c r="B670" s="80" t="s">
        <v>2679</v>
      </c>
      <c r="C670" s="80" t="s">
        <v>2393</v>
      </c>
      <c r="D670" s="80" t="s">
        <v>2644</v>
      </c>
      <c r="E670" s="80" t="s">
        <v>2641</v>
      </c>
      <c r="F670" s="80" t="s">
        <v>2372</v>
      </c>
      <c r="G670" s="80" t="s">
        <v>2699</v>
      </c>
      <c r="H670" s="79">
        <v>1</v>
      </c>
      <c r="I670" s="79">
        <v>4647.3</v>
      </c>
      <c r="J670" s="79">
        <v>4647.3</v>
      </c>
    </row>
    <row r="671" spans="1:10" ht="15" thickBot="1">
      <c r="A671" s="98">
        <v>45109</v>
      </c>
      <c r="B671" s="80" t="s">
        <v>2680</v>
      </c>
      <c r="C671" s="80" t="s">
        <v>2396</v>
      </c>
      <c r="D671" s="80" t="s">
        <v>2648</v>
      </c>
      <c r="E671" s="80" t="s">
        <v>2641</v>
      </c>
      <c r="F671" s="80" t="s">
        <v>2372</v>
      </c>
      <c r="G671" s="80" t="s">
        <v>2690</v>
      </c>
      <c r="H671" s="79">
        <v>20</v>
      </c>
      <c r="I671" s="79">
        <v>2302.4699999999998</v>
      </c>
      <c r="J671" s="79">
        <v>46049.4</v>
      </c>
    </row>
    <row r="672" spans="1:10" ht="15" thickBot="1">
      <c r="A672" s="98" t="s">
        <v>2472</v>
      </c>
      <c r="B672" s="80" t="s">
        <v>2687</v>
      </c>
      <c r="C672" s="80" t="s">
        <v>2659</v>
      </c>
      <c r="D672" s="80" t="s">
        <v>2647</v>
      </c>
      <c r="E672" s="80" t="s">
        <v>2643</v>
      </c>
      <c r="F672" s="80" t="s">
        <v>2373</v>
      </c>
      <c r="G672" s="80" t="s">
        <v>2697</v>
      </c>
      <c r="H672" s="79">
        <v>17</v>
      </c>
      <c r="I672" s="79">
        <v>2805.45</v>
      </c>
      <c r="J672" s="79">
        <v>47692.65</v>
      </c>
    </row>
    <row r="673" spans="1:10" ht="15" thickBot="1">
      <c r="A673" s="98" t="s">
        <v>2620</v>
      </c>
      <c r="B673" s="80" t="s">
        <v>2687</v>
      </c>
      <c r="C673" s="80" t="s">
        <v>2654</v>
      </c>
      <c r="D673" s="80" t="s">
        <v>2646</v>
      </c>
      <c r="E673" s="80" t="s">
        <v>2642</v>
      </c>
      <c r="F673" s="80" t="s">
        <v>2370</v>
      </c>
      <c r="G673" s="80" t="s">
        <v>1336</v>
      </c>
      <c r="H673" s="79">
        <v>3</v>
      </c>
      <c r="I673" s="79">
        <v>413.26</v>
      </c>
      <c r="J673" s="79">
        <v>1239.78</v>
      </c>
    </row>
    <row r="674" spans="1:10" ht="15" thickBot="1">
      <c r="A674" s="98" t="s">
        <v>2511</v>
      </c>
      <c r="B674" s="80" t="s">
        <v>2682</v>
      </c>
      <c r="C674" s="80" t="s">
        <v>2396</v>
      </c>
      <c r="D674" s="80" t="s">
        <v>2648</v>
      </c>
      <c r="E674" s="80" t="s">
        <v>2641</v>
      </c>
      <c r="F674" s="80" t="s">
        <v>2372</v>
      </c>
      <c r="G674" s="80" t="s">
        <v>2693</v>
      </c>
      <c r="H674" s="79">
        <v>17</v>
      </c>
      <c r="I674" s="79">
        <v>3203.04</v>
      </c>
      <c r="J674" s="79">
        <v>54451.68</v>
      </c>
    </row>
    <row r="675" spans="1:10" ht="15" thickBot="1">
      <c r="A675" s="98" t="s">
        <v>2620</v>
      </c>
      <c r="B675" s="80" t="s">
        <v>2683</v>
      </c>
      <c r="C675" s="80" t="s">
        <v>2656</v>
      </c>
      <c r="D675" s="80" t="s">
        <v>2648</v>
      </c>
      <c r="E675" s="80" t="s">
        <v>2641</v>
      </c>
      <c r="F675" s="80" t="s">
        <v>2372</v>
      </c>
      <c r="G675" s="80" t="s">
        <v>2690</v>
      </c>
      <c r="H675" s="79">
        <v>4</v>
      </c>
      <c r="I675" s="79">
        <v>1906.89</v>
      </c>
      <c r="J675" s="79">
        <v>7627.56</v>
      </c>
    </row>
    <row r="676" spans="1:10" ht="15" thickBot="1">
      <c r="A676" s="98" t="s">
        <v>2668</v>
      </c>
      <c r="B676" s="80" t="s">
        <v>2686</v>
      </c>
      <c r="C676" s="80" t="s">
        <v>2660</v>
      </c>
      <c r="D676" s="80" t="s">
        <v>2647</v>
      </c>
      <c r="E676" s="80" t="s">
        <v>2643</v>
      </c>
      <c r="F676" s="80" t="s">
        <v>2661</v>
      </c>
      <c r="G676" s="80" t="s">
        <v>2698</v>
      </c>
      <c r="H676" s="79">
        <v>14</v>
      </c>
      <c r="I676" s="79">
        <v>3829.68</v>
      </c>
      <c r="J676" s="79">
        <v>53615.519999999997</v>
      </c>
    </row>
    <row r="677" spans="1:10" ht="15" thickBot="1">
      <c r="A677" s="98" t="s">
        <v>2573</v>
      </c>
      <c r="B677" s="80" t="s">
        <v>2679</v>
      </c>
      <c r="C677" s="80" t="s">
        <v>2650</v>
      </c>
      <c r="D677" s="80" t="s">
        <v>2646</v>
      </c>
      <c r="E677" s="80" t="s">
        <v>2642</v>
      </c>
      <c r="F677" s="80" t="s">
        <v>2374</v>
      </c>
      <c r="G677" s="80" t="s">
        <v>2689</v>
      </c>
      <c r="H677" s="79">
        <v>19</v>
      </c>
      <c r="I677" s="79">
        <v>2636.08</v>
      </c>
      <c r="J677" s="79">
        <v>50085.52</v>
      </c>
    </row>
    <row r="678" spans="1:10" ht="15" thickBot="1">
      <c r="A678" s="98">
        <v>45238</v>
      </c>
      <c r="B678" s="80" t="s">
        <v>2678</v>
      </c>
      <c r="C678" s="80" t="s">
        <v>2654</v>
      </c>
      <c r="D678" s="80" t="s">
        <v>2646</v>
      </c>
      <c r="E678" s="80" t="s">
        <v>2642</v>
      </c>
      <c r="F678" s="80" t="s">
        <v>2370</v>
      </c>
      <c r="G678" s="80" t="s">
        <v>1335</v>
      </c>
      <c r="H678" s="79">
        <v>13</v>
      </c>
      <c r="I678" s="79">
        <v>3994.86</v>
      </c>
      <c r="J678" s="79">
        <v>51933.18</v>
      </c>
    </row>
    <row r="679" spans="1:10" ht="15" thickBot="1">
      <c r="A679" s="98" t="s">
        <v>2665</v>
      </c>
      <c r="B679" s="80" t="s">
        <v>2682</v>
      </c>
      <c r="C679" s="80" t="s">
        <v>2656</v>
      </c>
      <c r="D679" s="80" t="s">
        <v>2648</v>
      </c>
      <c r="E679" s="80" t="s">
        <v>2641</v>
      </c>
      <c r="F679" s="80" t="s">
        <v>2374</v>
      </c>
      <c r="G679" s="80" t="s">
        <v>2692</v>
      </c>
      <c r="H679" s="79">
        <v>12</v>
      </c>
      <c r="I679" s="79">
        <v>1554.75</v>
      </c>
      <c r="J679" s="79">
        <v>18657</v>
      </c>
    </row>
    <row r="680" spans="1:10" ht="15" thickBot="1">
      <c r="A680" s="98">
        <v>45108</v>
      </c>
      <c r="B680" s="80" t="s">
        <v>2683</v>
      </c>
      <c r="C680" s="80" t="s">
        <v>2649</v>
      </c>
      <c r="D680" s="80" t="s">
        <v>2645</v>
      </c>
      <c r="E680" s="80" t="s">
        <v>2642</v>
      </c>
      <c r="F680" s="80" t="s">
        <v>2374</v>
      </c>
      <c r="G680" s="80" t="s">
        <v>2704</v>
      </c>
      <c r="H680" s="79">
        <v>9</v>
      </c>
      <c r="I680" s="79">
        <v>4674.04</v>
      </c>
      <c r="J680" s="79">
        <v>42066.36</v>
      </c>
    </row>
    <row r="681" spans="1:10" ht="15" thickBot="1">
      <c r="A681" s="98">
        <v>45018</v>
      </c>
      <c r="B681" s="80" t="s">
        <v>2683</v>
      </c>
      <c r="C681" s="80" t="s">
        <v>2657</v>
      </c>
      <c r="D681" s="80" t="s">
        <v>2648</v>
      </c>
      <c r="E681" s="80" t="s">
        <v>2641</v>
      </c>
      <c r="F681" s="80" t="s">
        <v>2373</v>
      </c>
      <c r="G681" s="80" t="s">
        <v>2688</v>
      </c>
      <c r="H681" s="79">
        <v>2</v>
      </c>
      <c r="I681" s="79">
        <v>1252.3</v>
      </c>
      <c r="J681" s="79">
        <v>2504.6</v>
      </c>
    </row>
    <row r="682" spans="1:10" ht="15" thickBot="1">
      <c r="A682" s="98" t="s">
        <v>2474</v>
      </c>
      <c r="B682" s="80" t="s">
        <v>2681</v>
      </c>
      <c r="C682" s="80" t="s">
        <v>2655</v>
      </c>
      <c r="D682" s="80" t="s">
        <v>2645</v>
      </c>
      <c r="E682" s="80" t="s">
        <v>2642</v>
      </c>
      <c r="F682" s="80" t="s">
        <v>2374</v>
      </c>
      <c r="G682" s="80" t="s">
        <v>2692</v>
      </c>
      <c r="H682" s="79">
        <v>15</v>
      </c>
      <c r="I682" s="79">
        <v>1738.86</v>
      </c>
      <c r="J682" s="79">
        <v>26082.9</v>
      </c>
    </row>
    <row r="683" spans="1:10" ht="15" thickBot="1">
      <c r="A683" s="98" t="s">
        <v>2461</v>
      </c>
      <c r="B683" s="80" t="s">
        <v>2679</v>
      </c>
      <c r="C683" s="80" t="s">
        <v>2396</v>
      </c>
      <c r="D683" s="80" t="s">
        <v>2648</v>
      </c>
      <c r="E683" s="80" t="s">
        <v>2641</v>
      </c>
      <c r="F683" s="80" t="s">
        <v>2372</v>
      </c>
      <c r="G683" s="80" t="s">
        <v>2693</v>
      </c>
      <c r="H683" s="79">
        <v>4</v>
      </c>
      <c r="I683" s="79">
        <v>2527.15</v>
      </c>
      <c r="J683" s="79">
        <v>10108.6</v>
      </c>
    </row>
    <row r="684" spans="1:10" ht="15" thickBot="1">
      <c r="A684" s="98">
        <v>44928</v>
      </c>
      <c r="B684" s="80" t="s">
        <v>2681</v>
      </c>
      <c r="C684" s="80" t="s">
        <v>2656</v>
      </c>
      <c r="D684" s="80" t="s">
        <v>2648</v>
      </c>
      <c r="E684" s="80" t="s">
        <v>2641</v>
      </c>
      <c r="F684" s="80" t="s">
        <v>2372</v>
      </c>
      <c r="G684" s="80" t="s">
        <v>2690</v>
      </c>
      <c r="H684" s="79">
        <v>17</v>
      </c>
      <c r="I684" s="79">
        <v>4247.5600000000004</v>
      </c>
      <c r="J684" s="79">
        <v>72208.52</v>
      </c>
    </row>
    <row r="685" spans="1:10" ht="15" thickBot="1">
      <c r="A685" s="98" t="s">
        <v>2533</v>
      </c>
      <c r="B685" s="80" t="s">
        <v>2686</v>
      </c>
      <c r="C685" s="80" t="s">
        <v>2650</v>
      </c>
      <c r="D685" s="80" t="s">
        <v>2646</v>
      </c>
      <c r="E685" s="80" t="s">
        <v>2642</v>
      </c>
      <c r="F685" s="80" t="s">
        <v>2661</v>
      </c>
      <c r="G685" s="80" t="s">
        <v>2691</v>
      </c>
      <c r="H685" s="79">
        <v>8</v>
      </c>
      <c r="I685" s="79">
        <v>978.4</v>
      </c>
      <c r="J685" s="79">
        <v>7827.2</v>
      </c>
    </row>
    <row r="686" spans="1:10" ht="15" thickBot="1">
      <c r="A686" s="98">
        <v>44993</v>
      </c>
      <c r="B686" s="80" t="s">
        <v>2686</v>
      </c>
      <c r="C686" s="80" t="s">
        <v>2657</v>
      </c>
      <c r="D686" s="80" t="s">
        <v>2648</v>
      </c>
      <c r="E686" s="80" t="s">
        <v>2641</v>
      </c>
      <c r="F686" s="80" t="s">
        <v>2373</v>
      </c>
      <c r="G686" s="80" t="s">
        <v>2703</v>
      </c>
      <c r="H686" s="79">
        <v>5</v>
      </c>
      <c r="I686" s="79">
        <v>1530.16</v>
      </c>
      <c r="J686" s="79">
        <v>7650.8</v>
      </c>
    </row>
    <row r="687" spans="1:10" ht="15" thickBot="1">
      <c r="A687" s="98">
        <v>45048</v>
      </c>
      <c r="B687" s="80" t="s">
        <v>2687</v>
      </c>
      <c r="C687" s="80" t="s">
        <v>2654</v>
      </c>
      <c r="D687" s="80" t="s">
        <v>2646</v>
      </c>
      <c r="E687" s="80" t="s">
        <v>2642</v>
      </c>
      <c r="F687" s="80" t="s">
        <v>2373</v>
      </c>
      <c r="G687" s="80" t="s">
        <v>2703</v>
      </c>
      <c r="H687" s="79">
        <v>15</v>
      </c>
      <c r="I687" s="79">
        <v>4748.62</v>
      </c>
      <c r="J687" s="79">
        <v>71229.3</v>
      </c>
    </row>
    <row r="688" spans="1:10" ht="15" thickBot="1">
      <c r="A688" s="98" t="s">
        <v>2466</v>
      </c>
      <c r="B688" s="80" t="s">
        <v>2686</v>
      </c>
      <c r="C688" s="80" t="s">
        <v>2658</v>
      </c>
      <c r="D688" s="80" t="s">
        <v>2645</v>
      </c>
      <c r="E688" s="80" t="s">
        <v>2642</v>
      </c>
      <c r="F688" s="80" t="s">
        <v>2373</v>
      </c>
      <c r="G688" s="80" t="s">
        <v>2688</v>
      </c>
      <c r="H688" s="79">
        <v>5</v>
      </c>
      <c r="I688" s="79">
        <v>4402.72</v>
      </c>
      <c r="J688" s="79">
        <v>22013.599999999999</v>
      </c>
    </row>
    <row r="689" spans="1:10" ht="15" thickBot="1">
      <c r="A689" s="98">
        <v>45206</v>
      </c>
      <c r="B689" s="80" t="s">
        <v>2678</v>
      </c>
      <c r="C689" s="80" t="s">
        <v>2392</v>
      </c>
      <c r="D689" s="80" t="s">
        <v>2644</v>
      </c>
      <c r="E689" s="80" t="s">
        <v>2641</v>
      </c>
      <c r="F689" s="80" t="s">
        <v>2372</v>
      </c>
      <c r="G689" s="80" t="s">
        <v>2690</v>
      </c>
      <c r="H689" s="79">
        <v>16</v>
      </c>
      <c r="I689" s="79">
        <v>3858.12</v>
      </c>
      <c r="J689" s="79">
        <v>61729.919999999998</v>
      </c>
    </row>
    <row r="690" spans="1:10" ht="15" thickBot="1">
      <c r="A690" s="98" t="s">
        <v>2584</v>
      </c>
      <c r="B690" s="80" t="s">
        <v>2680</v>
      </c>
      <c r="C690" s="80" t="s">
        <v>2657</v>
      </c>
      <c r="D690" s="80" t="s">
        <v>2648</v>
      </c>
      <c r="E690" s="80" t="s">
        <v>2641</v>
      </c>
      <c r="F690" s="80" t="s">
        <v>2661</v>
      </c>
      <c r="G690" s="80" t="s">
        <v>2695</v>
      </c>
      <c r="H690" s="79">
        <v>10</v>
      </c>
      <c r="I690" s="79">
        <v>4939.99</v>
      </c>
      <c r="J690" s="79">
        <v>49399.9</v>
      </c>
    </row>
    <row r="691" spans="1:10" ht="15" thickBot="1">
      <c r="A691" s="98" t="s">
        <v>2532</v>
      </c>
      <c r="B691" s="80" t="s">
        <v>2678</v>
      </c>
      <c r="C691" s="80" t="s">
        <v>2654</v>
      </c>
      <c r="D691" s="80" t="s">
        <v>2646</v>
      </c>
      <c r="E691" s="80" t="s">
        <v>2642</v>
      </c>
      <c r="F691" s="80" t="s">
        <v>2373</v>
      </c>
      <c r="G691" s="80" t="s">
        <v>2705</v>
      </c>
      <c r="H691" s="79">
        <v>8</v>
      </c>
      <c r="I691" s="79">
        <v>2394.87</v>
      </c>
      <c r="J691" s="79">
        <v>19158.96</v>
      </c>
    </row>
    <row r="692" spans="1:10" ht="15" thickBot="1">
      <c r="A692" s="98" t="s">
        <v>2455</v>
      </c>
      <c r="B692" s="80" t="s">
        <v>2679</v>
      </c>
      <c r="C692" s="80" t="s">
        <v>2657</v>
      </c>
      <c r="D692" s="80" t="s">
        <v>2648</v>
      </c>
      <c r="E692" s="80" t="s">
        <v>2641</v>
      </c>
      <c r="F692" s="80" t="s">
        <v>2372</v>
      </c>
      <c r="G692" s="80" t="s">
        <v>2699</v>
      </c>
      <c r="H692" s="79">
        <v>11</v>
      </c>
      <c r="I692" s="79">
        <v>3277.74</v>
      </c>
      <c r="J692" s="79">
        <v>36055.14</v>
      </c>
    </row>
    <row r="693" spans="1:10" ht="15" thickBot="1">
      <c r="A693" s="98" t="s">
        <v>2490</v>
      </c>
      <c r="B693" s="80" t="s">
        <v>2682</v>
      </c>
      <c r="C693" s="80" t="s">
        <v>2658</v>
      </c>
      <c r="D693" s="80" t="s">
        <v>2645</v>
      </c>
      <c r="E693" s="80" t="s">
        <v>2642</v>
      </c>
      <c r="F693" s="80" t="s">
        <v>2373</v>
      </c>
      <c r="G693" s="80" t="s">
        <v>2705</v>
      </c>
      <c r="H693" s="79">
        <v>5</v>
      </c>
      <c r="I693" s="79">
        <v>2411.33</v>
      </c>
      <c r="J693" s="79">
        <v>12056.65</v>
      </c>
    </row>
    <row r="694" spans="1:10" ht="15" thickBot="1">
      <c r="A694" s="98" t="s">
        <v>2561</v>
      </c>
      <c r="B694" s="80" t="s">
        <v>2680</v>
      </c>
      <c r="C694" s="80" t="s">
        <v>2656</v>
      </c>
      <c r="D694" s="80" t="s">
        <v>2648</v>
      </c>
      <c r="E694" s="80" t="s">
        <v>2641</v>
      </c>
      <c r="F694" s="80" t="s">
        <v>2374</v>
      </c>
      <c r="G694" s="80" t="s">
        <v>2700</v>
      </c>
      <c r="H694" s="79">
        <v>17</v>
      </c>
      <c r="I694" s="79">
        <v>3844.7</v>
      </c>
      <c r="J694" s="79">
        <v>65359.9</v>
      </c>
    </row>
    <row r="695" spans="1:10" ht="15" thickBot="1">
      <c r="A695" s="98" t="s">
        <v>2637</v>
      </c>
      <c r="B695" s="80" t="s">
        <v>2686</v>
      </c>
      <c r="C695" s="80" t="s">
        <v>2654</v>
      </c>
      <c r="D695" s="80" t="s">
        <v>2646</v>
      </c>
      <c r="E695" s="80" t="s">
        <v>2642</v>
      </c>
      <c r="F695" s="80" t="s">
        <v>2372</v>
      </c>
      <c r="G695" s="80" t="s">
        <v>2694</v>
      </c>
      <c r="H695" s="79">
        <v>14</v>
      </c>
      <c r="I695" s="79">
        <v>816.99</v>
      </c>
      <c r="J695" s="79">
        <v>11437.86</v>
      </c>
    </row>
    <row r="696" spans="1:10" ht="15" thickBot="1">
      <c r="A696" s="98" t="s">
        <v>2551</v>
      </c>
      <c r="B696" s="80" t="s">
        <v>2684</v>
      </c>
      <c r="C696" s="80" t="s">
        <v>2650</v>
      </c>
      <c r="D696" s="80" t="s">
        <v>2646</v>
      </c>
      <c r="E696" s="80" t="s">
        <v>2642</v>
      </c>
      <c r="F696" s="80" t="s">
        <v>2370</v>
      </c>
      <c r="G696" s="80" t="s">
        <v>2702</v>
      </c>
      <c r="H696" s="79">
        <v>3</v>
      </c>
      <c r="I696" s="79">
        <v>3102.92</v>
      </c>
      <c r="J696" s="79">
        <v>9308.76</v>
      </c>
    </row>
    <row r="697" spans="1:10" ht="15" thickBot="1">
      <c r="A697" s="98" t="s">
        <v>2459</v>
      </c>
      <c r="B697" s="80" t="s">
        <v>2681</v>
      </c>
      <c r="C697" s="80" t="s">
        <v>2656</v>
      </c>
      <c r="D697" s="80" t="s">
        <v>2648</v>
      </c>
      <c r="E697" s="80" t="s">
        <v>2641</v>
      </c>
      <c r="F697" s="80" t="s">
        <v>2370</v>
      </c>
      <c r="G697" s="80" t="s">
        <v>1336</v>
      </c>
      <c r="H697" s="79">
        <v>11</v>
      </c>
      <c r="I697" s="79">
        <v>490.34</v>
      </c>
      <c r="J697" s="79">
        <v>5393.74</v>
      </c>
    </row>
    <row r="698" spans="1:10" ht="15" thickBot="1">
      <c r="A698" s="98" t="s">
        <v>2513</v>
      </c>
      <c r="B698" s="80" t="s">
        <v>2683</v>
      </c>
      <c r="C698" s="80" t="s">
        <v>2393</v>
      </c>
      <c r="D698" s="80" t="s">
        <v>2644</v>
      </c>
      <c r="E698" s="80" t="s">
        <v>2641</v>
      </c>
      <c r="F698" s="80" t="s">
        <v>2372</v>
      </c>
      <c r="G698" s="80" t="s">
        <v>2694</v>
      </c>
      <c r="H698" s="79">
        <v>6</v>
      </c>
      <c r="I698" s="79">
        <v>4079.26</v>
      </c>
      <c r="J698" s="79">
        <v>24475.56</v>
      </c>
    </row>
    <row r="699" spans="1:10" ht="15" thickBot="1">
      <c r="A699" s="98">
        <v>44988</v>
      </c>
      <c r="B699" s="80" t="s">
        <v>2678</v>
      </c>
      <c r="C699" s="80" t="s">
        <v>2652</v>
      </c>
      <c r="D699" s="80" t="s">
        <v>2647</v>
      </c>
      <c r="E699" s="80" t="s">
        <v>2643</v>
      </c>
      <c r="F699" s="80" t="s">
        <v>2373</v>
      </c>
      <c r="G699" s="80" t="s">
        <v>2705</v>
      </c>
      <c r="H699" s="79">
        <v>12</v>
      </c>
      <c r="I699" s="79">
        <v>3229.61</v>
      </c>
      <c r="J699" s="79">
        <v>38755.32</v>
      </c>
    </row>
    <row r="700" spans="1:10" ht="15" thickBot="1">
      <c r="A700" s="98">
        <v>45179</v>
      </c>
      <c r="B700" s="80" t="s">
        <v>2682</v>
      </c>
      <c r="C700" s="80" t="s">
        <v>2651</v>
      </c>
      <c r="D700" s="80" t="s">
        <v>2646</v>
      </c>
      <c r="E700" s="80" t="s">
        <v>2642</v>
      </c>
      <c r="F700" s="80" t="s">
        <v>2374</v>
      </c>
      <c r="G700" s="80" t="s">
        <v>2700</v>
      </c>
      <c r="H700" s="79">
        <v>16</v>
      </c>
      <c r="I700" s="79">
        <v>1873.12</v>
      </c>
      <c r="J700" s="79">
        <v>29969.919999999998</v>
      </c>
    </row>
    <row r="701" spans="1:10" ht="15" thickBot="1">
      <c r="A701" s="98">
        <v>45233</v>
      </c>
      <c r="B701" s="80" t="s">
        <v>2681</v>
      </c>
      <c r="C701" s="80" t="s">
        <v>2392</v>
      </c>
      <c r="D701" s="80" t="s">
        <v>2644</v>
      </c>
      <c r="E701" s="80" t="s">
        <v>2641</v>
      </c>
      <c r="F701" s="80" t="s">
        <v>2661</v>
      </c>
      <c r="G701" s="80" t="s">
        <v>2696</v>
      </c>
      <c r="H701" s="79">
        <v>7</v>
      </c>
      <c r="I701" s="79">
        <v>1640.58</v>
      </c>
      <c r="J701" s="79">
        <v>11484.06</v>
      </c>
    </row>
    <row r="702" spans="1:10" ht="15" thickBot="1">
      <c r="A702" s="98" t="s">
        <v>2543</v>
      </c>
      <c r="B702" s="80" t="s">
        <v>2678</v>
      </c>
      <c r="C702" s="80" t="s">
        <v>2653</v>
      </c>
      <c r="D702" s="80" t="s">
        <v>2644</v>
      </c>
      <c r="E702" s="80" t="s">
        <v>2641</v>
      </c>
      <c r="F702" s="80" t="s">
        <v>2370</v>
      </c>
      <c r="G702" s="80" t="s">
        <v>1336</v>
      </c>
      <c r="H702" s="79">
        <v>13</v>
      </c>
      <c r="I702" s="79">
        <v>4843.21</v>
      </c>
      <c r="J702" s="79">
        <v>62961.73</v>
      </c>
    </row>
    <row r="703" spans="1:10" ht="15" thickBot="1">
      <c r="A703" s="98" t="s">
        <v>2461</v>
      </c>
      <c r="B703" s="80" t="s">
        <v>2687</v>
      </c>
      <c r="C703" s="80" t="s">
        <v>2660</v>
      </c>
      <c r="D703" s="80" t="s">
        <v>2647</v>
      </c>
      <c r="E703" s="80" t="s">
        <v>2643</v>
      </c>
      <c r="F703" s="80" t="s">
        <v>2374</v>
      </c>
      <c r="G703" s="80" t="s">
        <v>2689</v>
      </c>
      <c r="H703" s="79">
        <v>13</v>
      </c>
      <c r="I703" s="79">
        <v>1782.01</v>
      </c>
      <c r="J703" s="79">
        <v>23166.13</v>
      </c>
    </row>
    <row r="704" spans="1:10" ht="15" thickBot="1">
      <c r="A704" s="98" t="s">
        <v>2637</v>
      </c>
      <c r="B704" s="80" t="s">
        <v>2687</v>
      </c>
      <c r="C704" s="80" t="s">
        <v>2649</v>
      </c>
      <c r="D704" s="80" t="s">
        <v>2645</v>
      </c>
      <c r="E704" s="80" t="s">
        <v>2642</v>
      </c>
      <c r="F704" s="80" t="s">
        <v>2661</v>
      </c>
      <c r="G704" s="80" t="s">
        <v>2696</v>
      </c>
      <c r="H704" s="79">
        <v>19</v>
      </c>
      <c r="I704" s="79">
        <v>1120.5999999999999</v>
      </c>
      <c r="J704" s="79">
        <v>21291.4</v>
      </c>
    </row>
    <row r="705" spans="1:10" ht="15" thickBot="1">
      <c r="A705" s="98" t="s">
        <v>2514</v>
      </c>
      <c r="B705" s="80" t="s">
        <v>2684</v>
      </c>
      <c r="C705" s="80" t="s">
        <v>2658</v>
      </c>
      <c r="D705" s="80" t="s">
        <v>2645</v>
      </c>
      <c r="E705" s="80" t="s">
        <v>2642</v>
      </c>
      <c r="F705" s="80" t="s">
        <v>2373</v>
      </c>
      <c r="G705" s="80" t="s">
        <v>2697</v>
      </c>
      <c r="H705" s="79">
        <v>2</v>
      </c>
      <c r="I705" s="79">
        <v>1927.02</v>
      </c>
      <c r="J705" s="79">
        <v>3854.04</v>
      </c>
    </row>
    <row r="706" spans="1:10" ht="15" thickBot="1">
      <c r="A706" s="98" t="s">
        <v>2449</v>
      </c>
      <c r="B706" s="80" t="s">
        <v>2681</v>
      </c>
      <c r="C706" s="80" t="s">
        <v>2392</v>
      </c>
      <c r="D706" s="80" t="s">
        <v>2644</v>
      </c>
      <c r="E706" s="80" t="s">
        <v>2641</v>
      </c>
      <c r="F706" s="80" t="s">
        <v>2373</v>
      </c>
      <c r="G706" s="80" t="s">
        <v>2703</v>
      </c>
      <c r="H706" s="79">
        <v>15</v>
      </c>
      <c r="I706" s="79">
        <v>4642.6899999999996</v>
      </c>
      <c r="J706" s="79">
        <v>69640.350000000006</v>
      </c>
    </row>
    <row r="707" spans="1:10" ht="15" thickBot="1">
      <c r="A707" s="98" t="s">
        <v>2452</v>
      </c>
      <c r="B707" s="80" t="s">
        <v>2681</v>
      </c>
      <c r="C707" s="80" t="s">
        <v>2392</v>
      </c>
      <c r="D707" s="80" t="s">
        <v>2644</v>
      </c>
      <c r="E707" s="80" t="s">
        <v>2641</v>
      </c>
      <c r="F707" s="80" t="s">
        <v>2374</v>
      </c>
      <c r="G707" s="80" t="s">
        <v>2689</v>
      </c>
      <c r="H707" s="79">
        <v>19</v>
      </c>
      <c r="I707" s="79">
        <v>3316.87</v>
      </c>
      <c r="J707" s="79">
        <v>63020.53</v>
      </c>
    </row>
    <row r="708" spans="1:10" ht="15" thickBot="1">
      <c r="A708" s="98">
        <v>45024</v>
      </c>
      <c r="B708" s="80" t="s">
        <v>2679</v>
      </c>
      <c r="C708" s="80" t="s">
        <v>2396</v>
      </c>
      <c r="D708" s="80" t="s">
        <v>2648</v>
      </c>
      <c r="E708" s="80" t="s">
        <v>2641</v>
      </c>
      <c r="F708" s="80" t="s">
        <v>2374</v>
      </c>
      <c r="G708" s="80" t="s">
        <v>2704</v>
      </c>
      <c r="H708" s="79">
        <v>19</v>
      </c>
      <c r="I708" s="79">
        <v>1372.28</v>
      </c>
      <c r="J708" s="79">
        <v>26073.32</v>
      </c>
    </row>
    <row r="709" spans="1:10" ht="15" thickBot="1">
      <c r="A709" s="98">
        <v>45078</v>
      </c>
      <c r="B709" s="80" t="s">
        <v>2681</v>
      </c>
      <c r="C709" s="80" t="s">
        <v>2658</v>
      </c>
      <c r="D709" s="80" t="s">
        <v>2645</v>
      </c>
      <c r="E709" s="80" t="s">
        <v>2642</v>
      </c>
      <c r="F709" s="80" t="s">
        <v>2374</v>
      </c>
      <c r="G709" s="80" t="s">
        <v>2704</v>
      </c>
      <c r="H709" s="79">
        <v>8</v>
      </c>
      <c r="I709" s="79">
        <v>4786.4799999999996</v>
      </c>
      <c r="J709" s="79">
        <v>38291.839999999997</v>
      </c>
    </row>
    <row r="710" spans="1:10" ht="15" thickBot="1">
      <c r="A710" s="98" t="s">
        <v>2584</v>
      </c>
      <c r="B710" s="80" t="s">
        <v>2680</v>
      </c>
      <c r="C710" s="80" t="s">
        <v>2650</v>
      </c>
      <c r="D710" s="80" t="s">
        <v>2646</v>
      </c>
      <c r="E710" s="80" t="s">
        <v>2642</v>
      </c>
      <c r="F710" s="80" t="s">
        <v>2373</v>
      </c>
      <c r="G710" s="80" t="s">
        <v>2703</v>
      </c>
      <c r="H710" s="79">
        <v>18</v>
      </c>
      <c r="I710" s="79">
        <v>620.92999999999995</v>
      </c>
      <c r="J710" s="79">
        <v>11176.74</v>
      </c>
    </row>
    <row r="711" spans="1:10" ht="15" thickBot="1">
      <c r="A711" s="98" t="s">
        <v>2499</v>
      </c>
      <c r="B711" s="80" t="s">
        <v>2687</v>
      </c>
      <c r="C711" s="80" t="s">
        <v>2650</v>
      </c>
      <c r="D711" s="80" t="s">
        <v>2646</v>
      </c>
      <c r="E711" s="80" t="s">
        <v>2642</v>
      </c>
      <c r="F711" s="80" t="s">
        <v>2370</v>
      </c>
      <c r="G711" s="80" t="s">
        <v>2702</v>
      </c>
      <c r="H711" s="79">
        <v>4</v>
      </c>
      <c r="I711" s="79">
        <v>1241.21</v>
      </c>
      <c r="J711" s="79">
        <v>4964.84</v>
      </c>
    </row>
    <row r="712" spans="1:10" ht="15" thickBot="1">
      <c r="A712" s="98" t="s">
        <v>2592</v>
      </c>
      <c r="B712" s="80" t="s">
        <v>2678</v>
      </c>
      <c r="C712" s="80" t="s">
        <v>2393</v>
      </c>
      <c r="D712" s="80" t="s">
        <v>2644</v>
      </c>
      <c r="E712" s="80" t="s">
        <v>2641</v>
      </c>
      <c r="F712" s="80" t="s">
        <v>2370</v>
      </c>
      <c r="G712" s="80" t="s">
        <v>2702</v>
      </c>
      <c r="H712" s="79">
        <v>10</v>
      </c>
      <c r="I712" s="79">
        <v>1823.34</v>
      </c>
      <c r="J712" s="79">
        <v>18233.400000000001</v>
      </c>
    </row>
    <row r="713" spans="1:10" ht="15" thickBot="1">
      <c r="A713" s="98">
        <v>45146</v>
      </c>
      <c r="B713" s="80" t="s">
        <v>2686</v>
      </c>
      <c r="C713" s="80" t="s">
        <v>2393</v>
      </c>
      <c r="D713" s="80" t="s">
        <v>2644</v>
      </c>
      <c r="E713" s="80" t="s">
        <v>2641</v>
      </c>
      <c r="F713" s="80" t="s">
        <v>2372</v>
      </c>
      <c r="G713" s="80" t="s">
        <v>2693</v>
      </c>
      <c r="H713" s="79">
        <v>10</v>
      </c>
      <c r="I713" s="79">
        <v>4304.71</v>
      </c>
      <c r="J713" s="79">
        <v>43047.1</v>
      </c>
    </row>
    <row r="714" spans="1:10" ht="15" thickBot="1">
      <c r="A714" s="98" t="s">
        <v>2523</v>
      </c>
      <c r="B714" s="80" t="s">
        <v>2687</v>
      </c>
      <c r="C714" s="80" t="s">
        <v>2654</v>
      </c>
      <c r="D714" s="80" t="s">
        <v>2646</v>
      </c>
      <c r="E714" s="80" t="s">
        <v>2642</v>
      </c>
      <c r="F714" s="80" t="s">
        <v>2661</v>
      </c>
      <c r="G714" s="80" t="s">
        <v>2696</v>
      </c>
      <c r="H714" s="79">
        <v>11</v>
      </c>
      <c r="I714" s="79">
        <v>4446.37</v>
      </c>
      <c r="J714" s="79">
        <v>48910.07</v>
      </c>
    </row>
    <row r="715" spans="1:10" ht="15" thickBot="1">
      <c r="A715" s="98" t="s">
        <v>2595</v>
      </c>
      <c r="B715" s="80" t="s">
        <v>2680</v>
      </c>
      <c r="C715" s="80" t="s">
        <v>2392</v>
      </c>
      <c r="D715" s="80" t="s">
        <v>2644</v>
      </c>
      <c r="E715" s="80" t="s">
        <v>2641</v>
      </c>
      <c r="F715" s="80" t="s">
        <v>2661</v>
      </c>
      <c r="G715" s="80" t="s">
        <v>2691</v>
      </c>
      <c r="H715" s="79">
        <v>8</v>
      </c>
      <c r="I715" s="79">
        <v>465.32</v>
      </c>
      <c r="J715" s="79">
        <v>3722.56</v>
      </c>
    </row>
    <row r="716" spans="1:10" ht="15" thickBot="1">
      <c r="A716" s="98" t="s">
        <v>2670</v>
      </c>
      <c r="B716" s="80" t="s">
        <v>2683</v>
      </c>
      <c r="C716" s="80" t="s">
        <v>2651</v>
      </c>
      <c r="D716" s="80" t="s">
        <v>2646</v>
      </c>
      <c r="E716" s="80" t="s">
        <v>2642</v>
      </c>
      <c r="F716" s="80" t="s">
        <v>2374</v>
      </c>
      <c r="G716" s="80" t="s">
        <v>2700</v>
      </c>
      <c r="H716" s="79">
        <v>1</v>
      </c>
      <c r="I716" s="79">
        <v>3431.7</v>
      </c>
      <c r="J716" s="79">
        <v>3431.7</v>
      </c>
    </row>
    <row r="717" spans="1:10" ht="15" thickBot="1">
      <c r="A717" s="98" t="s">
        <v>2585</v>
      </c>
      <c r="B717" s="80" t="s">
        <v>2681</v>
      </c>
      <c r="C717" s="80" t="s">
        <v>2392</v>
      </c>
      <c r="D717" s="80" t="s">
        <v>2644</v>
      </c>
      <c r="E717" s="80" t="s">
        <v>2641</v>
      </c>
      <c r="F717" s="80" t="s">
        <v>2373</v>
      </c>
      <c r="G717" s="80" t="s">
        <v>2703</v>
      </c>
      <c r="H717" s="79">
        <v>20</v>
      </c>
      <c r="I717" s="79">
        <v>1365.33</v>
      </c>
      <c r="J717" s="79">
        <v>27306.6</v>
      </c>
    </row>
    <row r="718" spans="1:10" ht="15" thickBot="1">
      <c r="A718" s="98" t="s">
        <v>2579</v>
      </c>
      <c r="B718" s="80" t="s">
        <v>2680</v>
      </c>
      <c r="C718" s="80" t="s">
        <v>2654</v>
      </c>
      <c r="D718" s="80" t="s">
        <v>2646</v>
      </c>
      <c r="E718" s="80" t="s">
        <v>2642</v>
      </c>
      <c r="F718" s="80" t="s">
        <v>2370</v>
      </c>
      <c r="G718" s="80" t="s">
        <v>1335</v>
      </c>
      <c r="H718" s="79">
        <v>14</v>
      </c>
      <c r="I718" s="79">
        <v>2343.4</v>
      </c>
      <c r="J718" s="79">
        <v>32807.599999999999</v>
      </c>
    </row>
    <row r="719" spans="1:10" ht="15" thickBot="1">
      <c r="A719" s="98">
        <v>45078</v>
      </c>
      <c r="B719" s="80" t="s">
        <v>2685</v>
      </c>
      <c r="C719" s="80" t="s">
        <v>2656</v>
      </c>
      <c r="D719" s="80" t="s">
        <v>2648</v>
      </c>
      <c r="E719" s="80" t="s">
        <v>2641</v>
      </c>
      <c r="F719" s="80" t="s">
        <v>2370</v>
      </c>
      <c r="G719" s="80" t="s">
        <v>1336</v>
      </c>
      <c r="H719" s="79">
        <v>15</v>
      </c>
      <c r="I719" s="79">
        <v>447.71</v>
      </c>
      <c r="J719" s="79">
        <v>6715.65</v>
      </c>
    </row>
    <row r="720" spans="1:10" ht="15" thickBot="1">
      <c r="A720" s="98">
        <v>45047</v>
      </c>
      <c r="B720" s="80" t="s">
        <v>2685</v>
      </c>
      <c r="C720" s="80" t="s">
        <v>2657</v>
      </c>
      <c r="D720" s="80" t="s">
        <v>2648</v>
      </c>
      <c r="E720" s="80" t="s">
        <v>2641</v>
      </c>
      <c r="F720" s="80" t="s">
        <v>2661</v>
      </c>
      <c r="G720" s="80" t="s">
        <v>2698</v>
      </c>
      <c r="H720" s="79">
        <v>3</v>
      </c>
      <c r="I720" s="79">
        <v>2393.7199999999998</v>
      </c>
      <c r="J720" s="79">
        <v>7181.16</v>
      </c>
    </row>
    <row r="721" spans="1:10" ht="15" thickBot="1">
      <c r="A721" s="98" t="s">
        <v>2455</v>
      </c>
      <c r="B721" s="80" t="s">
        <v>2687</v>
      </c>
      <c r="C721" s="80" t="s">
        <v>2660</v>
      </c>
      <c r="D721" s="80" t="s">
        <v>2647</v>
      </c>
      <c r="E721" s="80" t="s">
        <v>2643</v>
      </c>
      <c r="F721" s="80" t="s">
        <v>2372</v>
      </c>
      <c r="G721" s="80" t="s">
        <v>2693</v>
      </c>
      <c r="H721" s="79">
        <v>20</v>
      </c>
      <c r="I721" s="79">
        <v>138.6</v>
      </c>
      <c r="J721" s="79">
        <v>2772</v>
      </c>
    </row>
    <row r="722" spans="1:10" ht="15" thickBot="1">
      <c r="A722" s="98" t="s">
        <v>2581</v>
      </c>
      <c r="B722" s="80" t="s">
        <v>2684</v>
      </c>
      <c r="C722" s="80" t="s">
        <v>2392</v>
      </c>
      <c r="D722" s="80" t="s">
        <v>2644</v>
      </c>
      <c r="E722" s="80" t="s">
        <v>2641</v>
      </c>
      <c r="F722" s="80" t="s">
        <v>2661</v>
      </c>
      <c r="G722" s="80" t="s">
        <v>2691</v>
      </c>
      <c r="H722" s="79">
        <v>6</v>
      </c>
      <c r="I722" s="79">
        <v>3119.62</v>
      </c>
      <c r="J722" s="79">
        <v>18717.72</v>
      </c>
    </row>
    <row r="723" spans="1:10" ht="15" thickBot="1">
      <c r="A723" s="98" t="s">
        <v>2458</v>
      </c>
      <c r="B723" s="80" t="s">
        <v>2682</v>
      </c>
      <c r="C723" s="80" t="s">
        <v>2650</v>
      </c>
      <c r="D723" s="80" t="s">
        <v>2646</v>
      </c>
      <c r="E723" s="80" t="s">
        <v>2642</v>
      </c>
      <c r="F723" s="80" t="s">
        <v>2370</v>
      </c>
      <c r="G723" s="80" t="s">
        <v>2702</v>
      </c>
      <c r="H723" s="79">
        <v>1</v>
      </c>
      <c r="I723" s="79">
        <v>4175.7</v>
      </c>
      <c r="J723" s="79">
        <v>4175.7</v>
      </c>
    </row>
    <row r="724" spans="1:10" ht="15" thickBot="1">
      <c r="A724" s="98" t="s">
        <v>2519</v>
      </c>
      <c r="B724" s="80" t="s">
        <v>2686</v>
      </c>
      <c r="C724" s="80" t="s">
        <v>2659</v>
      </c>
      <c r="D724" s="80" t="s">
        <v>2647</v>
      </c>
      <c r="E724" s="80" t="s">
        <v>2643</v>
      </c>
      <c r="F724" s="80" t="s">
        <v>2374</v>
      </c>
      <c r="G724" s="80" t="s">
        <v>2700</v>
      </c>
      <c r="H724" s="79">
        <v>17</v>
      </c>
      <c r="I724" s="79">
        <v>2655.23</v>
      </c>
      <c r="J724" s="79">
        <v>45138.91</v>
      </c>
    </row>
    <row r="725" spans="1:10" ht="15" thickBot="1">
      <c r="A725" s="98">
        <v>44967</v>
      </c>
      <c r="B725" s="80" t="s">
        <v>2685</v>
      </c>
      <c r="C725" s="80" t="s">
        <v>2652</v>
      </c>
      <c r="D725" s="80" t="s">
        <v>2647</v>
      </c>
      <c r="E725" s="80" t="s">
        <v>2643</v>
      </c>
      <c r="F725" s="80" t="s">
        <v>2661</v>
      </c>
      <c r="G725" s="80" t="s">
        <v>2698</v>
      </c>
      <c r="H725" s="79">
        <v>14</v>
      </c>
      <c r="I725" s="79">
        <v>4235.22</v>
      </c>
      <c r="J725" s="79">
        <v>59293.08</v>
      </c>
    </row>
    <row r="726" spans="1:10" ht="15" thickBot="1">
      <c r="A726" s="98" t="s">
        <v>2564</v>
      </c>
      <c r="B726" s="80" t="s">
        <v>2678</v>
      </c>
      <c r="C726" s="80" t="s">
        <v>2660</v>
      </c>
      <c r="D726" s="80" t="s">
        <v>2647</v>
      </c>
      <c r="E726" s="80" t="s">
        <v>2643</v>
      </c>
      <c r="F726" s="80" t="s">
        <v>2374</v>
      </c>
      <c r="G726" s="80" t="s">
        <v>2700</v>
      </c>
      <c r="H726" s="79">
        <v>20</v>
      </c>
      <c r="I726" s="79">
        <v>3393.01</v>
      </c>
      <c r="J726" s="79">
        <v>67860.2</v>
      </c>
    </row>
    <row r="727" spans="1:10" ht="15" thickBot="1">
      <c r="A727" s="98">
        <v>44961</v>
      </c>
      <c r="B727" s="80" t="s">
        <v>2685</v>
      </c>
      <c r="C727" s="80" t="s">
        <v>2649</v>
      </c>
      <c r="D727" s="80" t="s">
        <v>2645</v>
      </c>
      <c r="E727" s="80" t="s">
        <v>2642</v>
      </c>
      <c r="F727" s="80" t="s">
        <v>2370</v>
      </c>
      <c r="G727" s="80" t="s">
        <v>1335</v>
      </c>
      <c r="H727" s="79">
        <v>14</v>
      </c>
      <c r="I727" s="79">
        <v>1247.48</v>
      </c>
      <c r="J727" s="79">
        <v>17464.72</v>
      </c>
    </row>
    <row r="728" spans="1:10" ht="15" thickBot="1">
      <c r="A728" s="98">
        <v>45054</v>
      </c>
      <c r="B728" s="80" t="s">
        <v>2686</v>
      </c>
      <c r="C728" s="80" t="s">
        <v>2656</v>
      </c>
      <c r="D728" s="80" t="s">
        <v>2648</v>
      </c>
      <c r="E728" s="80" t="s">
        <v>2641</v>
      </c>
      <c r="F728" s="80" t="s">
        <v>2372</v>
      </c>
      <c r="G728" s="80" t="s">
        <v>2690</v>
      </c>
      <c r="H728" s="79">
        <v>20</v>
      </c>
      <c r="I728" s="79">
        <v>4428.59</v>
      </c>
      <c r="J728" s="79">
        <v>88571.8</v>
      </c>
    </row>
    <row r="729" spans="1:10" ht="15" thickBot="1">
      <c r="A729" s="98">
        <v>45058</v>
      </c>
      <c r="B729" s="80" t="s">
        <v>2682</v>
      </c>
      <c r="C729" s="80" t="s">
        <v>2650</v>
      </c>
      <c r="D729" s="80" t="s">
        <v>2646</v>
      </c>
      <c r="E729" s="80" t="s">
        <v>2642</v>
      </c>
      <c r="F729" s="80" t="s">
        <v>2374</v>
      </c>
      <c r="G729" s="80" t="s">
        <v>2689</v>
      </c>
      <c r="H729" s="79">
        <v>9</v>
      </c>
      <c r="I729" s="79">
        <v>2251.19</v>
      </c>
      <c r="J729" s="79">
        <v>20260.71</v>
      </c>
    </row>
    <row r="730" spans="1:10" ht="15" thickBot="1">
      <c r="A730" s="98" t="s">
        <v>2562</v>
      </c>
      <c r="B730" s="80" t="s">
        <v>2680</v>
      </c>
      <c r="C730" s="80" t="s">
        <v>2654</v>
      </c>
      <c r="D730" s="80" t="s">
        <v>2646</v>
      </c>
      <c r="E730" s="80" t="s">
        <v>2642</v>
      </c>
      <c r="F730" s="80" t="s">
        <v>2370</v>
      </c>
      <c r="G730" s="80" t="s">
        <v>2701</v>
      </c>
      <c r="H730" s="79">
        <v>19</v>
      </c>
      <c r="I730" s="79">
        <v>2240.89</v>
      </c>
      <c r="J730" s="79">
        <v>42576.91</v>
      </c>
    </row>
    <row r="731" spans="1:10" ht="15" thickBot="1">
      <c r="A731" s="98">
        <v>45117</v>
      </c>
      <c r="B731" s="80" t="s">
        <v>2683</v>
      </c>
      <c r="C731" s="80" t="s">
        <v>2660</v>
      </c>
      <c r="D731" s="80" t="s">
        <v>2647</v>
      </c>
      <c r="E731" s="80" t="s">
        <v>2643</v>
      </c>
      <c r="F731" s="80" t="s">
        <v>2373</v>
      </c>
      <c r="G731" s="80" t="s">
        <v>2703</v>
      </c>
      <c r="H731" s="79">
        <v>19</v>
      </c>
      <c r="I731" s="79">
        <v>4089.21</v>
      </c>
      <c r="J731" s="79">
        <v>77694.990000000005</v>
      </c>
    </row>
    <row r="732" spans="1:10" ht="15" thickBot="1">
      <c r="A732" s="98" t="s">
        <v>2512</v>
      </c>
      <c r="B732" s="80" t="s">
        <v>2685</v>
      </c>
      <c r="C732" s="80" t="s">
        <v>2654</v>
      </c>
      <c r="D732" s="80" t="s">
        <v>2646</v>
      </c>
      <c r="E732" s="80" t="s">
        <v>2642</v>
      </c>
      <c r="F732" s="80" t="s">
        <v>2661</v>
      </c>
      <c r="G732" s="80" t="s">
        <v>2695</v>
      </c>
      <c r="H732" s="79">
        <v>6</v>
      </c>
      <c r="I732" s="79">
        <v>4286.28</v>
      </c>
      <c r="J732" s="79">
        <v>25717.68</v>
      </c>
    </row>
    <row r="733" spans="1:10" ht="15" thickBot="1">
      <c r="A733" s="98" t="s">
        <v>2575</v>
      </c>
      <c r="B733" s="80" t="s">
        <v>2681</v>
      </c>
      <c r="C733" s="80" t="s">
        <v>2651</v>
      </c>
      <c r="D733" s="80" t="s">
        <v>2646</v>
      </c>
      <c r="E733" s="80" t="s">
        <v>2642</v>
      </c>
      <c r="F733" s="80" t="s">
        <v>2370</v>
      </c>
      <c r="G733" s="80" t="s">
        <v>1336</v>
      </c>
      <c r="H733" s="79">
        <v>20</v>
      </c>
      <c r="I733" s="79">
        <v>1316.67</v>
      </c>
      <c r="J733" s="79">
        <v>26333.4</v>
      </c>
    </row>
    <row r="734" spans="1:10" ht="15" thickBot="1">
      <c r="A734" s="98" t="s">
        <v>2457</v>
      </c>
      <c r="B734" s="80" t="s">
        <v>2685</v>
      </c>
      <c r="C734" s="80" t="s">
        <v>2396</v>
      </c>
      <c r="D734" s="80" t="s">
        <v>2648</v>
      </c>
      <c r="E734" s="80" t="s">
        <v>2641</v>
      </c>
      <c r="F734" s="80" t="s">
        <v>2372</v>
      </c>
      <c r="G734" s="80" t="s">
        <v>2699</v>
      </c>
      <c r="H734" s="79">
        <v>17</v>
      </c>
      <c r="I734" s="79">
        <v>3145.73</v>
      </c>
      <c r="J734" s="79">
        <v>53477.41</v>
      </c>
    </row>
    <row r="735" spans="1:10" ht="15" thickBot="1">
      <c r="A735" s="98" t="s">
        <v>2473</v>
      </c>
      <c r="B735" s="80" t="s">
        <v>2685</v>
      </c>
      <c r="C735" s="80" t="s">
        <v>2393</v>
      </c>
      <c r="D735" s="80" t="s">
        <v>2644</v>
      </c>
      <c r="E735" s="80" t="s">
        <v>2641</v>
      </c>
      <c r="F735" s="80" t="s">
        <v>2372</v>
      </c>
      <c r="G735" s="80" t="s">
        <v>2693</v>
      </c>
      <c r="H735" s="79">
        <v>10</v>
      </c>
      <c r="I735" s="79">
        <v>2523.59</v>
      </c>
      <c r="J735" s="79">
        <v>25235.9</v>
      </c>
    </row>
    <row r="736" spans="1:10" ht="15" thickBot="1">
      <c r="A736" s="98" t="s">
        <v>2486</v>
      </c>
      <c r="B736" s="80" t="s">
        <v>2680</v>
      </c>
      <c r="C736" s="80" t="s">
        <v>2659</v>
      </c>
      <c r="D736" s="80" t="s">
        <v>2647</v>
      </c>
      <c r="E736" s="80" t="s">
        <v>2643</v>
      </c>
      <c r="F736" s="80" t="s">
        <v>2374</v>
      </c>
      <c r="G736" s="80" t="s">
        <v>2689</v>
      </c>
      <c r="H736" s="79">
        <v>2</v>
      </c>
      <c r="I736" s="79">
        <v>2851.64</v>
      </c>
      <c r="J736" s="79">
        <v>5703.28</v>
      </c>
    </row>
    <row r="737" spans="1:10" ht="15" thickBot="1">
      <c r="A737" s="98" t="s">
        <v>2676</v>
      </c>
      <c r="B737" s="80" t="s">
        <v>2685</v>
      </c>
      <c r="C737" s="80" t="s">
        <v>2393</v>
      </c>
      <c r="D737" s="80" t="s">
        <v>2644</v>
      </c>
      <c r="E737" s="80" t="s">
        <v>2641</v>
      </c>
      <c r="F737" s="80" t="s">
        <v>2374</v>
      </c>
      <c r="G737" s="80" t="s">
        <v>2689</v>
      </c>
      <c r="H737" s="79">
        <v>20</v>
      </c>
      <c r="I737" s="79">
        <v>3193.18</v>
      </c>
      <c r="J737" s="79">
        <v>63863.6</v>
      </c>
    </row>
    <row r="738" spans="1:10" ht="15" thickBot="1">
      <c r="A738" s="98" t="s">
        <v>2614</v>
      </c>
      <c r="B738" s="80" t="s">
        <v>2680</v>
      </c>
      <c r="C738" s="80" t="s">
        <v>2652</v>
      </c>
      <c r="D738" s="80" t="s">
        <v>2647</v>
      </c>
      <c r="E738" s="80" t="s">
        <v>2643</v>
      </c>
      <c r="F738" s="80" t="s">
        <v>2372</v>
      </c>
      <c r="G738" s="80" t="s">
        <v>2693</v>
      </c>
      <c r="H738" s="79">
        <v>8</v>
      </c>
      <c r="I738" s="79">
        <v>4663.82</v>
      </c>
      <c r="J738" s="79">
        <v>37310.559999999998</v>
      </c>
    </row>
    <row r="739" spans="1:10" ht="15" thickBot="1">
      <c r="A739" s="98">
        <v>44938</v>
      </c>
      <c r="B739" s="80" t="s">
        <v>2683</v>
      </c>
      <c r="C739" s="80" t="s">
        <v>2392</v>
      </c>
      <c r="D739" s="80" t="s">
        <v>2644</v>
      </c>
      <c r="E739" s="80" t="s">
        <v>2641</v>
      </c>
      <c r="F739" s="80" t="s">
        <v>2374</v>
      </c>
      <c r="G739" s="80" t="s">
        <v>2704</v>
      </c>
      <c r="H739" s="79">
        <v>13</v>
      </c>
      <c r="I739" s="79">
        <v>4263.79</v>
      </c>
      <c r="J739" s="79">
        <v>55429.27</v>
      </c>
    </row>
    <row r="740" spans="1:10" ht="15" thickBot="1">
      <c r="A740" s="98" t="s">
        <v>2675</v>
      </c>
      <c r="B740" s="80" t="s">
        <v>2687</v>
      </c>
      <c r="C740" s="80" t="s">
        <v>2651</v>
      </c>
      <c r="D740" s="80" t="s">
        <v>2646</v>
      </c>
      <c r="E740" s="80" t="s">
        <v>2642</v>
      </c>
      <c r="F740" s="80" t="s">
        <v>2373</v>
      </c>
      <c r="G740" s="80" t="s">
        <v>2705</v>
      </c>
      <c r="H740" s="79">
        <v>11</v>
      </c>
      <c r="I740" s="79">
        <v>819.85</v>
      </c>
      <c r="J740" s="79">
        <v>9018.35</v>
      </c>
    </row>
    <row r="741" spans="1:10" ht="15" thickBot="1">
      <c r="A741" s="98" t="s">
        <v>2601</v>
      </c>
      <c r="B741" s="80" t="s">
        <v>2686</v>
      </c>
      <c r="C741" s="80" t="s">
        <v>2651</v>
      </c>
      <c r="D741" s="80" t="s">
        <v>2646</v>
      </c>
      <c r="E741" s="80" t="s">
        <v>2642</v>
      </c>
      <c r="F741" s="80" t="s">
        <v>2370</v>
      </c>
      <c r="G741" s="80" t="s">
        <v>2702</v>
      </c>
      <c r="H741" s="79">
        <v>8</v>
      </c>
      <c r="I741" s="79">
        <v>2784.08</v>
      </c>
      <c r="J741" s="79">
        <v>22272.639999999999</v>
      </c>
    </row>
    <row r="742" spans="1:10" ht="15" thickBot="1">
      <c r="A742" s="98" t="s">
        <v>2469</v>
      </c>
      <c r="B742" s="80" t="s">
        <v>2685</v>
      </c>
      <c r="C742" s="80" t="s">
        <v>2650</v>
      </c>
      <c r="D742" s="80" t="s">
        <v>2646</v>
      </c>
      <c r="E742" s="80" t="s">
        <v>2642</v>
      </c>
      <c r="F742" s="80" t="s">
        <v>2372</v>
      </c>
      <c r="G742" s="80" t="s">
        <v>2694</v>
      </c>
      <c r="H742" s="79">
        <v>8</v>
      </c>
      <c r="I742" s="79">
        <v>2240.2199999999998</v>
      </c>
      <c r="J742" s="79">
        <v>17921.759999999998</v>
      </c>
    </row>
    <row r="743" spans="1:10" ht="15" thickBot="1">
      <c r="A743" s="98">
        <v>45089</v>
      </c>
      <c r="B743" s="80" t="s">
        <v>2679</v>
      </c>
      <c r="C743" s="80" t="s">
        <v>2650</v>
      </c>
      <c r="D743" s="80" t="s">
        <v>2646</v>
      </c>
      <c r="E743" s="80" t="s">
        <v>2642</v>
      </c>
      <c r="F743" s="80" t="s">
        <v>2370</v>
      </c>
      <c r="G743" s="80" t="s">
        <v>1335</v>
      </c>
      <c r="H743" s="79">
        <v>18</v>
      </c>
      <c r="I743" s="79">
        <v>1039.3800000000001</v>
      </c>
      <c r="J743" s="79">
        <v>18708.84</v>
      </c>
    </row>
    <row r="744" spans="1:10" ht="15" thickBot="1">
      <c r="A744" s="98">
        <v>45118</v>
      </c>
      <c r="B744" s="80" t="s">
        <v>2681</v>
      </c>
      <c r="C744" s="80" t="s">
        <v>2396</v>
      </c>
      <c r="D744" s="80" t="s">
        <v>2648</v>
      </c>
      <c r="E744" s="80" t="s">
        <v>2641</v>
      </c>
      <c r="F744" s="80" t="s">
        <v>2661</v>
      </c>
      <c r="G744" s="80" t="s">
        <v>2695</v>
      </c>
      <c r="H744" s="79">
        <v>18</v>
      </c>
      <c r="I744" s="79">
        <v>1297.93</v>
      </c>
      <c r="J744" s="79">
        <v>23362.74</v>
      </c>
    </row>
    <row r="745" spans="1:10" ht="15" thickBot="1">
      <c r="A745" s="98">
        <v>45047</v>
      </c>
      <c r="B745" s="80" t="s">
        <v>2687</v>
      </c>
      <c r="C745" s="80" t="s">
        <v>2392</v>
      </c>
      <c r="D745" s="80" t="s">
        <v>2644</v>
      </c>
      <c r="E745" s="80" t="s">
        <v>2641</v>
      </c>
      <c r="F745" s="80" t="s">
        <v>2373</v>
      </c>
      <c r="G745" s="80" t="s">
        <v>2703</v>
      </c>
      <c r="H745" s="79">
        <v>4</v>
      </c>
      <c r="I745" s="79">
        <v>4293.74</v>
      </c>
      <c r="J745" s="79">
        <v>17174.96</v>
      </c>
    </row>
    <row r="746" spans="1:10" ht="15" thickBot="1">
      <c r="A746" s="98" t="s">
        <v>2635</v>
      </c>
      <c r="B746" s="80" t="s">
        <v>2682</v>
      </c>
      <c r="C746" s="80" t="s">
        <v>2652</v>
      </c>
      <c r="D746" s="80" t="s">
        <v>2647</v>
      </c>
      <c r="E746" s="80" t="s">
        <v>2643</v>
      </c>
      <c r="F746" s="80" t="s">
        <v>2370</v>
      </c>
      <c r="G746" s="80" t="s">
        <v>1335</v>
      </c>
      <c r="H746" s="79">
        <v>11</v>
      </c>
      <c r="I746" s="79">
        <v>2133.36</v>
      </c>
      <c r="J746" s="79">
        <v>23466.959999999999</v>
      </c>
    </row>
    <row r="747" spans="1:10" ht="15" thickBot="1">
      <c r="A747" s="98" t="s">
        <v>2670</v>
      </c>
      <c r="B747" s="80" t="s">
        <v>2678</v>
      </c>
      <c r="C747" s="80" t="s">
        <v>2658</v>
      </c>
      <c r="D747" s="80" t="s">
        <v>2645</v>
      </c>
      <c r="E747" s="80" t="s">
        <v>2642</v>
      </c>
      <c r="F747" s="80" t="s">
        <v>2661</v>
      </c>
      <c r="G747" s="80" t="s">
        <v>2696</v>
      </c>
      <c r="H747" s="79">
        <v>11</v>
      </c>
      <c r="I747" s="79">
        <v>735.74</v>
      </c>
      <c r="J747" s="79">
        <v>8093.14</v>
      </c>
    </row>
    <row r="748" spans="1:10" ht="15" thickBot="1">
      <c r="A748" s="98">
        <v>45141</v>
      </c>
      <c r="B748" s="80" t="s">
        <v>2680</v>
      </c>
      <c r="C748" s="80" t="s">
        <v>2660</v>
      </c>
      <c r="D748" s="80" t="s">
        <v>2647</v>
      </c>
      <c r="E748" s="80" t="s">
        <v>2643</v>
      </c>
      <c r="F748" s="80" t="s">
        <v>2372</v>
      </c>
      <c r="G748" s="80" t="s">
        <v>2690</v>
      </c>
      <c r="H748" s="79">
        <v>14</v>
      </c>
      <c r="I748" s="79">
        <v>271.27</v>
      </c>
      <c r="J748" s="79">
        <v>3797.78</v>
      </c>
    </row>
    <row r="749" spans="1:10" ht="15" thickBot="1">
      <c r="A749" s="98">
        <v>45210</v>
      </c>
      <c r="B749" s="80" t="s">
        <v>2680</v>
      </c>
      <c r="C749" s="80" t="s">
        <v>2658</v>
      </c>
      <c r="D749" s="80" t="s">
        <v>2645</v>
      </c>
      <c r="E749" s="80" t="s">
        <v>2642</v>
      </c>
      <c r="F749" s="80" t="s">
        <v>2373</v>
      </c>
      <c r="G749" s="80" t="s">
        <v>2688</v>
      </c>
      <c r="H749" s="79">
        <v>5</v>
      </c>
      <c r="I749" s="79">
        <v>4759.1899999999996</v>
      </c>
      <c r="J749" s="79">
        <v>23795.95</v>
      </c>
    </row>
    <row r="750" spans="1:10" ht="15" thickBot="1">
      <c r="A750" s="98">
        <v>45211</v>
      </c>
      <c r="B750" s="80" t="s">
        <v>2679</v>
      </c>
      <c r="C750" s="80" t="s">
        <v>2656</v>
      </c>
      <c r="D750" s="80" t="s">
        <v>2648</v>
      </c>
      <c r="E750" s="80" t="s">
        <v>2641</v>
      </c>
      <c r="F750" s="80" t="s">
        <v>2370</v>
      </c>
      <c r="G750" s="80" t="s">
        <v>1336</v>
      </c>
      <c r="H750" s="79">
        <v>11</v>
      </c>
      <c r="I750" s="79">
        <v>941.97</v>
      </c>
      <c r="J750" s="79">
        <v>10361.67</v>
      </c>
    </row>
    <row r="751" spans="1:10" ht="15" thickBot="1">
      <c r="A751" s="98">
        <v>45238</v>
      </c>
      <c r="B751" s="80" t="s">
        <v>2679</v>
      </c>
      <c r="C751" s="80" t="s">
        <v>2651</v>
      </c>
      <c r="D751" s="80" t="s">
        <v>2646</v>
      </c>
      <c r="E751" s="80" t="s">
        <v>2642</v>
      </c>
      <c r="F751" s="80" t="s">
        <v>2661</v>
      </c>
      <c r="G751" s="80" t="s">
        <v>2698</v>
      </c>
      <c r="H751" s="79">
        <v>11</v>
      </c>
      <c r="I751" s="79">
        <v>2182.46</v>
      </c>
      <c r="J751" s="79">
        <v>24007.06</v>
      </c>
    </row>
    <row r="752" spans="1:10" ht="15" thickBot="1">
      <c r="A752" s="98" t="s">
        <v>2602</v>
      </c>
      <c r="B752" s="80" t="s">
        <v>2679</v>
      </c>
      <c r="C752" s="80" t="s">
        <v>2392</v>
      </c>
      <c r="D752" s="80" t="s">
        <v>2644</v>
      </c>
      <c r="E752" s="80" t="s">
        <v>2641</v>
      </c>
      <c r="F752" s="80" t="s">
        <v>2661</v>
      </c>
      <c r="G752" s="80" t="s">
        <v>2696</v>
      </c>
      <c r="H752" s="79">
        <v>10</v>
      </c>
      <c r="I752" s="79">
        <v>2112.91</v>
      </c>
      <c r="J752" s="79">
        <v>21129.1</v>
      </c>
    </row>
    <row r="753" spans="1:10" ht="15" thickBot="1">
      <c r="A753" s="98">
        <v>45232</v>
      </c>
      <c r="B753" s="80" t="s">
        <v>2681</v>
      </c>
      <c r="C753" s="80" t="s">
        <v>2396</v>
      </c>
      <c r="D753" s="80" t="s">
        <v>2648</v>
      </c>
      <c r="E753" s="80" t="s">
        <v>2641</v>
      </c>
      <c r="F753" s="80" t="s">
        <v>2372</v>
      </c>
      <c r="G753" s="80" t="s">
        <v>2690</v>
      </c>
      <c r="H753" s="79">
        <v>13</v>
      </c>
      <c r="I753" s="79">
        <v>3495.08</v>
      </c>
      <c r="J753" s="79">
        <v>45436.04</v>
      </c>
    </row>
    <row r="754" spans="1:10" ht="15" thickBot="1">
      <c r="A754" s="98">
        <v>44932</v>
      </c>
      <c r="B754" s="80" t="s">
        <v>2678</v>
      </c>
      <c r="C754" s="80" t="s">
        <v>2659</v>
      </c>
      <c r="D754" s="80" t="s">
        <v>2647</v>
      </c>
      <c r="E754" s="80" t="s">
        <v>2643</v>
      </c>
      <c r="F754" s="80" t="s">
        <v>2661</v>
      </c>
      <c r="G754" s="80" t="s">
        <v>2691</v>
      </c>
      <c r="H754" s="79">
        <v>2</v>
      </c>
      <c r="I754" s="79">
        <v>3439.47</v>
      </c>
      <c r="J754" s="79">
        <v>6878.94</v>
      </c>
    </row>
    <row r="755" spans="1:10" ht="15" thickBot="1">
      <c r="A755" s="98">
        <v>45231</v>
      </c>
      <c r="B755" s="80" t="s">
        <v>2680</v>
      </c>
      <c r="C755" s="80" t="s">
        <v>2657</v>
      </c>
      <c r="D755" s="80" t="s">
        <v>2648</v>
      </c>
      <c r="E755" s="80" t="s">
        <v>2641</v>
      </c>
      <c r="F755" s="80" t="s">
        <v>2373</v>
      </c>
      <c r="G755" s="80" t="s">
        <v>2688</v>
      </c>
      <c r="H755" s="79">
        <v>20</v>
      </c>
      <c r="I755" s="79">
        <v>3279.25</v>
      </c>
      <c r="J755" s="79">
        <v>65585</v>
      </c>
    </row>
    <row r="756" spans="1:10" ht="15" thickBot="1">
      <c r="A756" s="98">
        <v>44928</v>
      </c>
      <c r="B756" s="80" t="s">
        <v>2680</v>
      </c>
      <c r="C756" s="80" t="s">
        <v>2652</v>
      </c>
      <c r="D756" s="80" t="s">
        <v>2647</v>
      </c>
      <c r="E756" s="80" t="s">
        <v>2643</v>
      </c>
      <c r="F756" s="80" t="s">
        <v>2373</v>
      </c>
      <c r="G756" s="80" t="s">
        <v>2697</v>
      </c>
      <c r="H756" s="79">
        <v>16</v>
      </c>
      <c r="I756" s="79">
        <v>3320.8</v>
      </c>
      <c r="J756" s="79">
        <v>53132.800000000003</v>
      </c>
    </row>
    <row r="757" spans="1:10" ht="15" thickBot="1">
      <c r="A757" s="98" t="s">
        <v>2581</v>
      </c>
      <c r="B757" s="80" t="s">
        <v>2680</v>
      </c>
      <c r="C757" s="80" t="s">
        <v>2393</v>
      </c>
      <c r="D757" s="80" t="s">
        <v>2644</v>
      </c>
      <c r="E757" s="80" t="s">
        <v>2641</v>
      </c>
      <c r="F757" s="80" t="s">
        <v>2372</v>
      </c>
      <c r="G757" s="80" t="s">
        <v>2699</v>
      </c>
      <c r="H757" s="79">
        <v>6</v>
      </c>
      <c r="I757" s="79">
        <v>4105.1899999999996</v>
      </c>
      <c r="J757" s="79">
        <v>24631.14</v>
      </c>
    </row>
    <row r="758" spans="1:10" ht="15" thickBot="1">
      <c r="A758" s="98" t="s">
        <v>2452</v>
      </c>
      <c r="B758" s="80" t="s">
        <v>2684</v>
      </c>
      <c r="C758" s="80" t="s">
        <v>2659</v>
      </c>
      <c r="D758" s="80" t="s">
        <v>2647</v>
      </c>
      <c r="E758" s="80" t="s">
        <v>2643</v>
      </c>
      <c r="F758" s="80" t="s">
        <v>2661</v>
      </c>
      <c r="G758" s="80" t="s">
        <v>2695</v>
      </c>
      <c r="H758" s="79">
        <v>7</v>
      </c>
      <c r="I758" s="79">
        <v>1830.46</v>
      </c>
      <c r="J758" s="79">
        <v>12813.22</v>
      </c>
    </row>
    <row r="759" spans="1:10" ht="15" thickBot="1">
      <c r="A759" s="98" t="s">
        <v>2638</v>
      </c>
      <c r="B759" s="80" t="s">
        <v>2679</v>
      </c>
      <c r="C759" s="80" t="s">
        <v>2659</v>
      </c>
      <c r="D759" s="80" t="s">
        <v>2647</v>
      </c>
      <c r="E759" s="80" t="s">
        <v>2643</v>
      </c>
      <c r="F759" s="80" t="s">
        <v>2374</v>
      </c>
      <c r="G759" s="80" t="s">
        <v>2704</v>
      </c>
      <c r="H759" s="79">
        <v>19</v>
      </c>
      <c r="I759" s="79">
        <v>3901.75</v>
      </c>
      <c r="J759" s="79">
        <v>74133.25</v>
      </c>
    </row>
    <row r="760" spans="1:10" ht="15" thickBot="1">
      <c r="A760" s="98" t="s">
        <v>2436</v>
      </c>
      <c r="B760" s="80" t="s">
        <v>2679</v>
      </c>
      <c r="C760" s="80" t="s">
        <v>2654</v>
      </c>
      <c r="D760" s="80" t="s">
        <v>2646</v>
      </c>
      <c r="E760" s="80" t="s">
        <v>2642</v>
      </c>
      <c r="F760" s="80" t="s">
        <v>2661</v>
      </c>
      <c r="G760" s="80" t="s">
        <v>2691</v>
      </c>
      <c r="H760" s="79">
        <v>10</v>
      </c>
      <c r="I760" s="79">
        <v>3031.91</v>
      </c>
      <c r="J760" s="79">
        <v>30319.1</v>
      </c>
    </row>
    <row r="761" spans="1:10" ht="15" thickBot="1">
      <c r="A761" s="98">
        <v>45116</v>
      </c>
      <c r="B761" s="80" t="s">
        <v>2683</v>
      </c>
      <c r="C761" s="80" t="s">
        <v>2653</v>
      </c>
      <c r="D761" s="80" t="s">
        <v>2644</v>
      </c>
      <c r="E761" s="80" t="s">
        <v>2641</v>
      </c>
      <c r="F761" s="80" t="s">
        <v>2374</v>
      </c>
      <c r="G761" s="80" t="s">
        <v>2689</v>
      </c>
      <c r="H761" s="79">
        <v>18</v>
      </c>
      <c r="I761" s="79">
        <v>3575.04</v>
      </c>
      <c r="J761" s="79">
        <v>64350.720000000001</v>
      </c>
    </row>
    <row r="762" spans="1:10" ht="15" thickBot="1">
      <c r="A762" s="98">
        <v>44935</v>
      </c>
      <c r="B762" s="80" t="s">
        <v>2684</v>
      </c>
      <c r="C762" s="80" t="s">
        <v>2658</v>
      </c>
      <c r="D762" s="80" t="s">
        <v>2645</v>
      </c>
      <c r="E762" s="80" t="s">
        <v>2642</v>
      </c>
      <c r="F762" s="80" t="s">
        <v>2661</v>
      </c>
      <c r="G762" s="80" t="s">
        <v>2696</v>
      </c>
      <c r="H762" s="79">
        <v>17</v>
      </c>
      <c r="I762" s="79">
        <v>2920.06</v>
      </c>
      <c r="J762" s="79">
        <v>49641.02</v>
      </c>
    </row>
    <row r="763" spans="1:10" ht="15" thickBot="1">
      <c r="A763" s="98" t="s">
        <v>2620</v>
      </c>
      <c r="B763" s="80" t="s">
        <v>2685</v>
      </c>
      <c r="C763" s="80" t="s">
        <v>2392</v>
      </c>
      <c r="D763" s="80" t="s">
        <v>2644</v>
      </c>
      <c r="E763" s="80" t="s">
        <v>2641</v>
      </c>
      <c r="F763" s="80" t="s">
        <v>2370</v>
      </c>
      <c r="G763" s="80" t="s">
        <v>2702</v>
      </c>
      <c r="H763" s="79">
        <v>15</v>
      </c>
      <c r="I763" s="79">
        <v>2796.48</v>
      </c>
      <c r="J763" s="79">
        <v>41947.199999999997</v>
      </c>
    </row>
    <row r="764" spans="1:10" ht="15" thickBot="1">
      <c r="A764" s="98" t="s">
        <v>2527</v>
      </c>
      <c r="B764" s="80" t="s">
        <v>2682</v>
      </c>
      <c r="C764" s="80" t="s">
        <v>2650</v>
      </c>
      <c r="D764" s="80" t="s">
        <v>2646</v>
      </c>
      <c r="E764" s="80" t="s">
        <v>2642</v>
      </c>
      <c r="F764" s="80" t="s">
        <v>2370</v>
      </c>
      <c r="G764" s="80" t="s">
        <v>1336</v>
      </c>
      <c r="H764" s="79">
        <v>1</v>
      </c>
      <c r="I764" s="79">
        <v>2918.29</v>
      </c>
      <c r="J764" s="79">
        <v>2918.29</v>
      </c>
    </row>
    <row r="765" spans="1:10" ht="15" thickBot="1">
      <c r="A765" s="98" t="s">
        <v>2576</v>
      </c>
      <c r="B765" s="80" t="s">
        <v>2684</v>
      </c>
      <c r="C765" s="80" t="s">
        <v>2656</v>
      </c>
      <c r="D765" s="80" t="s">
        <v>2648</v>
      </c>
      <c r="E765" s="80" t="s">
        <v>2641</v>
      </c>
      <c r="F765" s="80" t="s">
        <v>2373</v>
      </c>
      <c r="G765" s="80" t="s">
        <v>2697</v>
      </c>
      <c r="H765" s="79">
        <v>10</v>
      </c>
      <c r="I765" s="79">
        <v>1097.83</v>
      </c>
      <c r="J765" s="79">
        <v>10978.3</v>
      </c>
    </row>
    <row r="766" spans="1:10" ht="15" thickBot="1">
      <c r="A766" s="98">
        <v>45262</v>
      </c>
      <c r="B766" s="80" t="s">
        <v>2678</v>
      </c>
      <c r="C766" s="80" t="s">
        <v>2392</v>
      </c>
      <c r="D766" s="80" t="s">
        <v>2644</v>
      </c>
      <c r="E766" s="80" t="s">
        <v>2641</v>
      </c>
      <c r="F766" s="80" t="s">
        <v>2372</v>
      </c>
      <c r="G766" s="80" t="s">
        <v>2694</v>
      </c>
      <c r="H766" s="79">
        <v>10</v>
      </c>
      <c r="I766" s="79">
        <v>3391.5</v>
      </c>
      <c r="J766" s="79">
        <v>33915</v>
      </c>
    </row>
    <row r="767" spans="1:10" ht="15" thickBot="1">
      <c r="A767" s="98">
        <v>45176</v>
      </c>
      <c r="B767" s="80" t="s">
        <v>2686</v>
      </c>
      <c r="C767" s="80" t="s">
        <v>2652</v>
      </c>
      <c r="D767" s="80" t="s">
        <v>2647</v>
      </c>
      <c r="E767" s="80" t="s">
        <v>2643</v>
      </c>
      <c r="F767" s="80" t="s">
        <v>2661</v>
      </c>
      <c r="G767" s="80" t="s">
        <v>2696</v>
      </c>
      <c r="H767" s="79">
        <v>13</v>
      </c>
      <c r="I767" s="79">
        <v>2225.88</v>
      </c>
      <c r="J767" s="79">
        <v>28936.44</v>
      </c>
    </row>
    <row r="768" spans="1:10" ht="15" thickBot="1">
      <c r="A768" s="98">
        <v>45058</v>
      </c>
      <c r="B768" s="80" t="s">
        <v>2683</v>
      </c>
      <c r="C768" s="80" t="s">
        <v>2393</v>
      </c>
      <c r="D768" s="80" t="s">
        <v>2644</v>
      </c>
      <c r="E768" s="80" t="s">
        <v>2641</v>
      </c>
      <c r="F768" s="80" t="s">
        <v>2372</v>
      </c>
      <c r="G768" s="80" t="s">
        <v>2694</v>
      </c>
      <c r="H768" s="79">
        <v>2</v>
      </c>
      <c r="I768" s="79">
        <v>1559.76</v>
      </c>
      <c r="J768" s="79">
        <v>3119.52</v>
      </c>
    </row>
    <row r="769" spans="1:10" ht="15" thickBot="1">
      <c r="A769" s="98" t="s">
        <v>2545</v>
      </c>
      <c r="B769" s="80" t="s">
        <v>2680</v>
      </c>
      <c r="C769" s="80" t="s">
        <v>2657</v>
      </c>
      <c r="D769" s="80" t="s">
        <v>2648</v>
      </c>
      <c r="E769" s="80" t="s">
        <v>2641</v>
      </c>
      <c r="F769" s="80" t="s">
        <v>2661</v>
      </c>
      <c r="G769" s="80" t="s">
        <v>2695</v>
      </c>
      <c r="H769" s="79">
        <v>13</v>
      </c>
      <c r="I769" s="79">
        <v>4719.96</v>
      </c>
      <c r="J769" s="79">
        <v>61359.48</v>
      </c>
    </row>
    <row r="770" spans="1:10" ht="15" thickBot="1">
      <c r="A770" s="98" t="s">
        <v>2437</v>
      </c>
      <c r="B770" s="80" t="s">
        <v>2687</v>
      </c>
      <c r="C770" s="80" t="s">
        <v>2658</v>
      </c>
      <c r="D770" s="80" t="s">
        <v>2645</v>
      </c>
      <c r="E770" s="80" t="s">
        <v>2642</v>
      </c>
      <c r="F770" s="80" t="s">
        <v>2374</v>
      </c>
      <c r="G770" s="80" t="s">
        <v>2692</v>
      </c>
      <c r="H770" s="79">
        <v>5</v>
      </c>
      <c r="I770" s="79">
        <v>1593.02</v>
      </c>
      <c r="J770" s="79">
        <v>7965.1</v>
      </c>
    </row>
    <row r="771" spans="1:10" ht="15" thickBot="1">
      <c r="A771" s="98" t="s">
        <v>2540</v>
      </c>
      <c r="B771" s="80" t="s">
        <v>2682</v>
      </c>
      <c r="C771" s="80" t="s">
        <v>2650</v>
      </c>
      <c r="D771" s="80" t="s">
        <v>2646</v>
      </c>
      <c r="E771" s="80" t="s">
        <v>2642</v>
      </c>
      <c r="F771" s="80" t="s">
        <v>2372</v>
      </c>
      <c r="G771" s="80" t="s">
        <v>2690</v>
      </c>
      <c r="H771" s="79">
        <v>7</v>
      </c>
      <c r="I771" s="79">
        <v>1233.6300000000001</v>
      </c>
      <c r="J771" s="79">
        <v>8635.41</v>
      </c>
    </row>
    <row r="772" spans="1:10" ht="15" thickBot="1">
      <c r="A772" s="98" t="s">
        <v>2574</v>
      </c>
      <c r="B772" s="80" t="s">
        <v>2681</v>
      </c>
      <c r="C772" s="80" t="s">
        <v>2651</v>
      </c>
      <c r="D772" s="80" t="s">
        <v>2646</v>
      </c>
      <c r="E772" s="80" t="s">
        <v>2642</v>
      </c>
      <c r="F772" s="80" t="s">
        <v>2370</v>
      </c>
      <c r="G772" s="80" t="s">
        <v>2701</v>
      </c>
      <c r="H772" s="79">
        <v>2</v>
      </c>
      <c r="I772" s="79">
        <v>2261.69</v>
      </c>
      <c r="J772" s="79">
        <v>4523.38</v>
      </c>
    </row>
    <row r="773" spans="1:10" ht="15" thickBot="1">
      <c r="A773" s="98">
        <v>45235</v>
      </c>
      <c r="B773" s="80" t="s">
        <v>2684</v>
      </c>
      <c r="C773" s="80" t="s">
        <v>2654</v>
      </c>
      <c r="D773" s="80" t="s">
        <v>2646</v>
      </c>
      <c r="E773" s="80" t="s">
        <v>2642</v>
      </c>
      <c r="F773" s="80" t="s">
        <v>2661</v>
      </c>
      <c r="G773" s="80" t="s">
        <v>2696</v>
      </c>
      <c r="H773" s="79">
        <v>15</v>
      </c>
      <c r="I773" s="79">
        <v>1197.31</v>
      </c>
      <c r="J773" s="79">
        <v>17959.650000000001</v>
      </c>
    </row>
    <row r="774" spans="1:10" ht="15" thickBot="1">
      <c r="A774" s="98">
        <v>45173</v>
      </c>
      <c r="B774" s="80" t="s">
        <v>2679</v>
      </c>
      <c r="C774" s="80" t="s">
        <v>2649</v>
      </c>
      <c r="D774" s="80" t="s">
        <v>2645</v>
      </c>
      <c r="E774" s="80" t="s">
        <v>2642</v>
      </c>
      <c r="F774" s="80" t="s">
        <v>2374</v>
      </c>
      <c r="G774" s="80" t="s">
        <v>2692</v>
      </c>
      <c r="H774" s="79">
        <v>9</v>
      </c>
      <c r="I774" s="79">
        <v>3441.09</v>
      </c>
      <c r="J774" s="79">
        <v>30969.81</v>
      </c>
    </row>
    <row r="775" spans="1:10" ht="15" thickBot="1">
      <c r="A775" s="98" t="s">
        <v>2617</v>
      </c>
      <c r="B775" s="80" t="s">
        <v>2679</v>
      </c>
      <c r="C775" s="80" t="s">
        <v>2652</v>
      </c>
      <c r="D775" s="80" t="s">
        <v>2647</v>
      </c>
      <c r="E775" s="80" t="s">
        <v>2643</v>
      </c>
      <c r="F775" s="80" t="s">
        <v>2373</v>
      </c>
      <c r="G775" s="80" t="s">
        <v>2703</v>
      </c>
      <c r="H775" s="79">
        <v>2</v>
      </c>
      <c r="I775" s="79">
        <v>3325.99</v>
      </c>
      <c r="J775" s="79">
        <v>6651.98</v>
      </c>
    </row>
    <row r="776" spans="1:10" ht="15" thickBot="1">
      <c r="A776" s="98" t="s">
        <v>2571</v>
      </c>
      <c r="B776" s="80" t="s">
        <v>2687</v>
      </c>
      <c r="C776" s="80" t="s">
        <v>2392</v>
      </c>
      <c r="D776" s="80" t="s">
        <v>2644</v>
      </c>
      <c r="E776" s="80" t="s">
        <v>2641</v>
      </c>
      <c r="F776" s="80" t="s">
        <v>2372</v>
      </c>
      <c r="G776" s="80" t="s">
        <v>2690</v>
      </c>
      <c r="H776" s="79">
        <v>2</v>
      </c>
      <c r="I776" s="79">
        <v>991.8</v>
      </c>
      <c r="J776" s="79">
        <v>1983.6</v>
      </c>
    </row>
    <row r="777" spans="1:10" ht="15" thickBot="1">
      <c r="A777" s="98" t="s">
        <v>2573</v>
      </c>
      <c r="B777" s="80" t="s">
        <v>2686</v>
      </c>
      <c r="C777" s="80" t="s">
        <v>2652</v>
      </c>
      <c r="D777" s="80" t="s">
        <v>2647</v>
      </c>
      <c r="E777" s="80" t="s">
        <v>2643</v>
      </c>
      <c r="F777" s="80" t="s">
        <v>2661</v>
      </c>
      <c r="G777" s="80" t="s">
        <v>2691</v>
      </c>
      <c r="H777" s="79">
        <v>9</v>
      </c>
      <c r="I777" s="79">
        <v>4763.01</v>
      </c>
      <c r="J777" s="79">
        <v>42867.09</v>
      </c>
    </row>
    <row r="778" spans="1:10" ht="15" thickBot="1">
      <c r="A778" s="98" t="s">
        <v>2493</v>
      </c>
      <c r="B778" s="80" t="s">
        <v>2685</v>
      </c>
      <c r="C778" s="80" t="s">
        <v>2657</v>
      </c>
      <c r="D778" s="80" t="s">
        <v>2648</v>
      </c>
      <c r="E778" s="80" t="s">
        <v>2641</v>
      </c>
      <c r="F778" s="80" t="s">
        <v>2372</v>
      </c>
      <c r="G778" s="80" t="s">
        <v>2699</v>
      </c>
      <c r="H778" s="79">
        <v>8</v>
      </c>
      <c r="I778" s="79">
        <v>826.71</v>
      </c>
      <c r="J778" s="79">
        <v>6613.68</v>
      </c>
    </row>
    <row r="779" spans="1:10" ht="15" thickBot="1">
      <c r="A779" s="98" t="s">
        <v>2624</v>
      </c>
      <c r="B779" s="80" t="s">
        <v>2678</v>
      </c>
      <c r="C779" s="80" t="s">
        <v>2658</v>
      </c>
      <c r="D779" s="80" t="s">
        <v>2645</v>
      </c>
      <c r="E779" s="80" t="s">
        <v>2642</v>
      </c>
      <c r="F779" s="80" t="s">
        <v>2661</v>
      </c>
      <c r="G779" s="80" t="s">
        <v>2698</v>
      </c>
      <c r="H779" s="79">
        <v>9</v>
      </c>
      <c r="I779" s="79">
        <v>209.57</v>
      </c>
      <c r="J779" s="79">
        <v>1886.13</v>
      </c>
    </row>
    <row r="780" spans="1:10" ht="15" thickBot="1">
      <c r="A780" s="98" t="s">
        <v>2494</v>
      </c>
      <c r="B780" s="80" t="s">
        <v>2682</v>
      </c>
      <c r="C780" s="80" t="s">
        <v>2658</v>
      </c>
      <c r="D780" s="80" t="s">
        <v>2645</v>
      </c>
      <c r="E780" s="80" t="s">
        <v>2642</v>
      </c>
      <c r="F780" s="80" t="s">
        <v>2370</v>
      </c>
      <c r="G780" s="80" t="s">
        <v>1335</v>
      </c>
      <c r="H780" s="79">
        <v>7</v>
      </c>
      <c r="I780" s="79">
        <v>2538.4299999999998</v>
      </c>
      <c r="J780" s="79">
        <v>17769.009999999998</v>
      </c>
    </row>
    <row r="781" spans="1:10" ht="15" thickBot="1">
      <c r="A781" s="98" t="s">
        <v>2460</v>
      </c>
      <c r="B781" s="80" t="s">
        <v>2681</v>
      </c>
      <c r="C781" s="80" t="s">
        <v>2396</v>
      </c>
      <c r="D781" s="80" t="s">
        <v>2648</v>
      </c>
      <c r="E781" s="80" t="s">
        <v>2641</v>
      </c>
      <c r="F781" s="80" t="s">
        <v>2661</v>
      </c>
      <c r="G781" s="80" t="s">
        <v>2696</v>
      </c>
      <c r="H781" s="79">
        <v>7</v>
      </c>
      <c r="I781" s="79">
        <v>4116.9799999999996</v>
      </c>
      <c r="J781" s="79">
        <v>28818.86</v>
      </c>
    </row>
    <row r="782" spans="1:10" ht="15" thickBot="1">
      <c r="A782" s="98">
        <v>44933</v>
      </c>
      <c r="B782" s="80" t="s">
        <v>2679</v>
      </c>
      <c r="C782" s="80" t="s">
        <v>2393</v>
      </c>
      <c r="D782" s="80" t="s">
        <v>2644</v>
      </c>
      <c r="E782" s="80" t="s">
        <v>2641</v>
      </c>
      <c r="F782" s="80" t="s">
        <v>2370</v>
      </c>
      <c r="G782" s="80" t="s">
        <v>1336</v>
      </c>
      <c r="H782" s="79">
        <v>20</v>
      </c>
      <c r="I782" s="79">
        <v>3638.01</v>
      </c>
      <c r="J782" s="79">
        <v>72760.2</v>
      </c>
    </row>
    <row r="783" spans="1:10" ht="15" thickBot="1">
      <c r="A783" s="98" t="s">
        <v>2638</v>
      </c>
      <c r="B783" s="80" t="s">
        <v>2687</v>
      </c>
      <c r="C783" s="80" t="s">
        <v>2660</v>
      </c>
      <c r="D783" s="80" t="s">
        <v>2647</v>
      </c>
      <c r="E783" s="80" t="s">
        <v>2643</v>
      </c>
      <c r="F783" s="80" t="s">
        <v>2373</v>
      </c>
      <c r="G783" s="80" t="s">
        <v>2703</v>
      </c>
      <c r="H783" s="79">
        <v>8</v>
      </c>
      <c r="I783" s="79">
        <v>4523.4399999999996</v>
      </c>
      <c r="J783" s="79">
        <v>36187.519999999997</v>
      </c>
    </row>
    <row r="784" spans="1:10" ht="15" thickBot="1">
      <c r="A784" s="98" t="s">
        <v>2585</v>
      </c>
      <c r="B784" s="80" t="s">
        <v>2681</v>
      </c>
      <c r="C784" s="80" t="s">
        <v>2652</v>
      </c>
      <c r="D784" s="80" t="s">
        <v>2647</v>
      </c>
      <c r="E784" s="80" t="s">
        <v>2643</v>
      </c>
      <c r="F784" s="80" t="s">
        <v>2373</v>
      </c>
      <c r="G784" s="80" t="s">
        <v>2697</v>
      </c>
      <c r="H784" s="79">
        <v>17</v>
      </c>
      <c r="I784" s="79">
        <v>2042</v>
      </c>
      <c r="J784" s="79">
        <v>34714</v>
      </c>
    </row>
    <row r="785" spans="1:10" ht="15" thickBot="1">
      <c r="A785" s="98" t="s">
        <v>2671</v>
      </c>
      <c r="B785" s="80" t="s">
        <v>2687</v>
      </c>
      <c r="C785" s="80" t="s">
        <v>2651</v>
      </c>
      <c r="D785" s="80" t="s">
        <v>2646</v>
      </c>
      <c r="E785" s="80" t="s">
        <v>2642</v>
      </c>
      <c r="F785" s="80" t="s">
        <v>2374</v>
      </c>
      <c r="G785" s="80" t="s">
        <v>2689</v>
      </c>
      <c r="H785" s="79">
        <v>19</v>
      </c>
      <c r="I785" s="79">
        <v>2357.62</v>
      </c>
      <c r="J785" s="79">
        <v>44794.78</v>
      </c>
    </row>
    <row r="786" spans="1:10" ht="15" thickBot="1">
      <c r="A786" s="98">
        <v>45079</v>
      </c>
      <c r="B786" s="80" t="s">
        <v>2680</v>
      </c>
      <c r="C786" s="80" t="s">
        <v>2649</v>
      </c>
      <c r="D786" s="80" t="s">
        <v>2645</v>
      </c>
      <c r="E786" s="80" t="s">
        <v>2642</v>
      </c>
      <c r="F786" s="80" t="s">
        <v>2372</v>
      </c>
      <c r="G786" s="80" t="s">
        <v>2690</v>
      </c>
      <c r="H786" s="79">
        <v>18</v>
      </c>
      <c r="I786" s="79">
        <v>941.19</v>
      </c>
      <c r="J786" s="79">
        <v>16941.419999999998</v>
      </c>
    </row>
    <row r="787" spans="1:10" ht="15" thickBot="1">
      <c r="A787" s="98">
        <v>45021</v>
      </c>
      <c r="B787" s="80" t="s">
        <v>2686</v>
      </c>
      <c r="C787" s="80" t="s">
        <v>2654</v>
      </c>
      <c r="D787" s="80" t="s">
        <v>2646</v>
      </c>
      <c r="E787" s="80" t="s">
        <v>2642</v>
      </c>
      <c r="F787" s="80" t="s">
        <v>2372</v>
      </c>
      <c r="G787" s="80" t="s">
        <v>2694</v>
      </c>
      <c r="H787" s="79">
        <v>9</v>
      </c>
      <c r="I787" s="79">
        <v>3927.83</v>
      </c>
      <c r="J787" s="79">
        <v>35350.47</v>
      </c>
    </row>
    <row r="788" spans="1:10" ht="15" thickBot="1">
      <c r="A788" s="98" t="s">
        <v>2593</v>
      </c>
      <c r="B788" s="80" t="s">
        <v>2679</v>
      </c>
      <c r="C788" s="80" t="s">
        <v>2658</v>
      </c>
      <c r="D788" s="80" t="s">
        <v>2645</v>
      </c>
      <c r="E788" s="80" t="s">
        <v>2642</v>
      </c>
      <c r="F788" s="80" t="s">
        <v>2661</v>
      </c>
      <c r="G788" s="80" t="s">
        <v>2696</v>
      </c>
      <c r="H788" s="79">
        <v>1</v>
      </c>
      <c r="I788" s="79">
        <v>4555.42</v>
      </c>
      <c r="J788" s="79">
        <v>4555.42</v>
      </c>
    </row>
    <row r="789" spans="1:10" ht="15" thickBot="1">
      <c r="A789" s="98" t="s">
        <v>2488</v>
      </c>
      <c r="B789" s="80" t="s">
        <v>2682</v>
      </c>
      <c r="C789" s="80" t="s">
        <v>2653</v>
      </c>
      <c r="D789" s="80" t="s">
        <v>2644</v>
      </c>
      <c r="E789" s="80" t="s">
        <v>2641</v>
      </c>
      <c r="F789" s="80" t="s">
        <v>2372</v>
      </c>
      <c r="G789" s="80" t="s">
        <v>2694</v>
      </c>
      <c r="H789" s="79">
        <v>18</v>
      </c>
      <c r="I789" s="79">
        <v>3271.29</v>
      </c>
      <c r="J789" s="79">
        <v>58883.22</v>
      </c>
    </row>
    <row r="790" spans="1:10" ht="15" thickBot="1">
      <c r="A790" s="98" t="s">
        <v>2606</v>
      </c>
      <c r="B790" s="80" t="s">
        <v>2678</v>
      </c>
      <c r="C790" s="80" t="s">
        <v>2657</v>
      </c>
      <c r="D790" s="80" t="s">
        <v>2648</v>
      </c>
      <c r="E790" s="80" t="s">
        <v>2641</v>
      </c>
      <c r="F790" s="80" t="s">
        <v>2370</v>
      </c>
      <c r="G790" s="80" t="s">
        <v>2701</v>
      </c>
      <c r="H790" s="79">
        <v>15</v>
      </c>
      <c r="I790" s="79">
        <v>4406.3100000000004</v>
      </c>
      <c r="J790" s="79">
        <v>66094.649999999994</v>
      </c>
    </row>
    <row r="791" spans="1:10" ht="15" thickBot="1">
      <c r="A791" s="98">
        <v>44997</v>
      </c>
      <c r="B791" s="80" t="s">
        <v>2685</v>
      </c>
      <c r="C791" s="80" t="s">
        <v>2396</v>
      </c>
      <c r="D791" s="80" t="s">
        <v>2648</v>
      </c>
      <c r="E791" s="80" t="s">
        <v>2641</v>
      </c>
      <c r="F791" s="80" t="s">
        <v>2374</v>
      </c>
      <c r="G791" s="80" t="s">
        <v>2704</v>
      </c>
      <c r="H791" s="79">
        <v>19</v>
      </c>
      <c r="I791" s="79">
        <v>2016.56</v>
      </c>
      <c r="J791" s="79">
        <v>38314.639999999999</v>
      </c>
    </row>
    <row r="792" spans="1:10" ht="15" thickBot="1">
      <c r="A792" s="98" t="s">
        <v>2496</v>
      </c>
      <c r="B792" s="80" t="s">
        <v>2685</v>
      </c>
      <c r="C792" s="80" t="s">
        <v>2657</v>
      </c>
      <c r="D792" s="80" t="s">
        <v>2648</v>
      </c>
      <c r="E792" s="80" t="s">
        <v>2641</v>
      </c>
      <c r="F792" s="80" t="s">
        <v>2373</v>
      </c>
      <c r="G792" s="80" t="s">
        <v>2705</v>
      </c>
      <c r="H792" s="79">
        <v>13</v>
      </c>
      <c r="I792" s="79">
        <v>3531.03</v>
      </c>
      <c r="J792" s="79">
        <v>45903.39</v>
      </c>
    </row>
    <row r="793" spans="1:10" ht="15" thickBot="1">
      <c r="A793" s="98" t="s">
        <v>2525</v>
      </c>
      <c r="B793" s="80" t="s">
        <v>2683</v>
      </c>
      <c r="C793" s="80" t="s">
        <v>2654</v>
      </c>
      <c r="D793" s="80" t="s">
        <v>2646</v>
      </c>
      <c r="E793" s="80" t="s">
        <v>2642</v>
      </c>
      <c r="F793" s="80" t="s">
        <v>2373</v>
      </c>
      <c r="G793" s="80" t="s">
        <v>2688</v>
      </c>
      <c r="H793" s="79">
        <v>7</v>
      </c>
      <c r="I793" s="79">
        <v>4077.95</v>
      </c>
      <c r="J793" s="79">
        <v>28545.65</v>
      </c>
    </row>
    <row r="794" spans="1:10" ht="15" thickBot="1">
      <c r="A794" s="98" t="s">
        <v>2633</v>
      </c>
      <c r="B794" s="80" t="s">
        <v>2682</v>
      </c>
      <c r="C794" s="80" t="s">
        <v>2649</v>
      </c>
      <c r="D794" s="80" t="s">
        <v>2645</v>
      </c>
      <c r="E794" s="80" t="s">
        <v>2642</v>
      </c>
      <c r="F794" s="80" t="s">
        <v>2661</v>
      </c>
      <c r="G794" s="80" t="s">
        <v>2698</v>
      </c>
      <c r="H794" s="79">
        <v>1</v>
      </c>
      <c r="I794" s="79">
        <v>1628.88</v>
      </c>
      <c r="J794" s="79">
        <v>1628.88</v>
      </c>
    </row>
    <row r="795" spans="1:10" ht="15" thickBot="1">
      <c r="A795" s="98" t="s">
        <v>2526</v>
      </c>
      <c r="B795" s="80" t="s">
        <v>2679</v>
      </c>
      <c r="C795" s="80" t="s">
        <v>2658</v>
      </c>
      <c r="D795" s="80" t="s">
        <v>2645</v>
      </c>
      <c r="E795" s="80" t="s">
        <v>2642</v>
      </c>
      <c r="F795" s="80" t="s">
        <v>2372</v>
      </c>
      <c r="G795" s="80" t="s">
        <v>2690</v>
      </c>
      <c r="H795" s="79">
        <v>15</v>
      </c>
      <c r="I795" s="79">
        <v>2093.0300000000002</v>
      </c>
      <c r="J795" s="79">
        <v>31395.45</v>
      </c>
    </row>
    <row r="796" spans="1:10" ht="15" thickBot="1">
      <c r="A796" s="98">
        <v>44992</v>
      </c>
      <c r="B796" s="80" t="s">
        <v>2686</v>
      </c>
      <c r="C796" s="80" t="s">
        <v>2659</v>
      </c>
      <c r="D796" s="80" t="s">
        <v>2647</v>
      </c>
      <c r="E796" s="80" t="s">
        <v>2643</v>
      </c>
      <c r="F796" s="80" t="s">
        <v>2372</v>
      </c>
      <c r="G796" s="80" t="s">
        <v>2694</v>
      </c>
      <c r="H796" s="79">
        <v>14</v>
      </c>
      <c r="I796" s="79">
        <v>2441.0700000000002</v>
      </c>
      <c r="J796" s="79">
        <v>34174.980000000003</v>
      </c>
    </row>
    <row r="797" spans="1:10" ht="15" thickBot="1">
      <c r="A797" s="98">
        <v>45266</v>
      </c>
      <c r="B797" s="80" t="s">
        <v>2687</v>
      </c>
      <c r="C797" s="80" t="s">
        <v>2393</v>
      </c>
      <c r="D797" s="80" t="s">
        <v>2644</v>
      </c>
      <c r="E797" s="80" t="s">
        <v>2641</v>
      </c>
      <c r="F797" s="80" t="s">
        <v>2373</v>
      </c>
      <c r="G797" s="80" t="s">
        <v>2703</v>
      </c>
      <c r="H797" s="79">
        <v>18</v>
      </c>
      <c r="I797" s="79">
        <v>134.66999999999999</v>
      </c>
      <c r="J797" s="79">
        <v>2424.06</v>
      </c>
    </row>
    <row r="798" spans="1:10" ht="15" thickBot="1">
      <c r="A798" s="98">
        <v>45207</v>
      </c>
      <c r="B798" s="80" t="s">
        <v>2679</v>
      </c>
      <c r="C798" s="80" t="s">
        <v>2649</v>
      </c>
      <c r="D798" s="80" t="s">
        <v>2645</v>
      </c>
      <c r="E798" s="80" t="s">
        <v>2642</v>
      </c>
      <c r="F798" s="80" t="s">
        <v>2370</v>
      </c>
      <c r="G798" s="80" t="s">
        <v>1335</v>
      </c>
      <c r="H798" s="79">
        <v>8</v>
      </c>
      <c r="I798" s="79">
        <v>2518.13</v>
      </c>
      <c r="J798" s="79">
        <v>20145.04</v>
      </c>
    </row>
    <row r="799" spans="1:10" ht="15" thickBot="1">
      <c r="A799" s="98">
        <v>45054</v>
      </c>
      <c r="B799" s="80" t="s">
        <v>2680</v>
      </c>
      <c r="C799" s="80" t="s">
        <v>2659</v>
      </c>
      <c r="D799" s="80" t="s">
        <v>2647</v>
      </c>
      <c r="E799" s="80" t="s">
        <v>2643</v>
      </c>
      <c r="F799" s="80" t="s">
        <v>2374</v>
      </c>
      <c r="G799" s="80" t="s">
        <v>2700</v>
      </c>
      <c r="H799" s="79">
        <v>1</v>
      </c>
      <c r="I799" s="79">
        <v>2366.64</v>
      </c>
      <c r="J799" s="79">
        <v>2366.64</v>
      </c>
    </row>
    <row r="800" spans="1:10" ht="15" thickBot="1">
      <c r="A800" s="98">
        <v>45028</v>
      </c>
      <c r="B800" s="80" t="s">
        <v>2679</v>
      </c>
      <c r="C800" s="80" t="s">
        <v>2392</v>
      </c>
      <c r="D800" s="80" t="s">
        <v>2644</v>
      </c>
      <c r="E800" s="80" t="s">
        <v>2641</v>
      </c>
      <c r="F800" s="80" t="s">
        <v>2374</v>
      </c>
      <c r="G800" s="80" t="s">
        <v>2689</v>
      </c>
      <c r="H800" s="79">
        <v>14</v>
      </c>
      <c r="I800" s="79">
        <v>3167.49</v>
      </c>
      <c r="J800" s="79">
        <v>44344.86</v>
      </c>
    </row>
    <row r="801" spans="1:10" ht="15" thickBot="1">
      <c r="A801" s="98">
        <v>45265</v>
      </c>
      <c r="B801" s="80" t="s">
        <v>2682</v>
      </c>
      <c r="C801" s="80" t="s">
        <v>2392</v>
      </c>
      <c r="D801" s="80" t="s">
        <v>2644</v>
      </c>
      <c r="E801" s="80" t="s">
        <v>2641</v>
      </c>
      <c r="F801" s="80" t="s">
        <v>2370</v>
      </c>
      <c r="G801" s="80" t="s">
        <v>1336</v>
      </c>
      <c r="H801" s="79">
        <v>9</v>
      </c>
      <c r="I801" s="79">
        <v>109.56</v>
      </c>
      <c r="J801" s="79">
        <v>986.04</v>
      </c>
    </row>
    <row r="802" spans="1:10" ht="15" thickBot="1">
      <c r="A802" s="98">
        <v>44963</v>
      </c>
      <c r="B802" s="80" t="s">
        <v>2683</v>
      </c>
      <c r="C802" s="80" t="s">
        <v>2659</v>
      </c>
      <c r="D802" s="80" t="s">
        <v>2647</v>
      </c>
      <c r="E802" s="80" t="s">
        <v>2643</v>
      </c>
      <c r="F802" s="80" t="s">
        <v>2370</v>
      </c>
      <c r="G802" s="80" t="s">
        <v>2702</v>
      </c>
      <c r="H802" s="79">
        <v>20</v>
      </c>
      <c r="I802" s="79">
        <v>652.87</v>
      </c>
      <c r="J802" s="79">
        <v>13057.4</v>
      </c>
    </row>
    <row r="803" spans="1:10" ht="15" thickBot="1">
      <c r="A803" s="98" t="s">
        <v>2548</v>
      </c>
      <c r="B803" s="80" t="s">
        <v>2682</v>
      </c>
      <c r="C803" s="80" t="s">
        <v>2658</v>
      </c>
      <c r="D803" s="80" t="s">
        <v>2645</v>
      </c>
      <c r="E803" s="80" t="s">
        <v>2642</v>
      </c>
      <c r="F803" s="80" t="s">
        <v>2372</v>
      </c>
      <c r="G803" s="80" t="s">
        <v>2694</v>
      </c>
      <c r="H803" s="79">
        <v>4</v>
      </c>
      <c r="I803" s="79">
        <v>2563.65</v>
      </c>
      <c r="J803" s="79">
        <v>10254.6</v>
      </c>
    </row>
    <row r="804" spans="1:10" ht="15" thickBot="1">
      <c r="A804" s="98" t="s">
        <v>2640</v>
      </c>
      <c r="B804" s="80" t="s">
        <v>2681</v>
      </c>
      <c r="C804" s="80" t="s">
        <v>2650</v>
      </c>
      <c r="D804" s="80" t="s">
        <v>2646</v>
      </c>
      <c r="E804" s="80" t="s">
        <v>2642</v>
      </c>
      <c r="F804" s="80" t="s">
        <v>2661</v>
      </c>
      <c r="G804" s="80" t="s">
        <v>2695</v>
      </c>
      <c r="H804" s="79">
        <v>2</v>
      </c>
      <c r="I804" s="79">
        <v>771.23</v>
      </c>
      <c r="J804" s="79">
        <v>1542.46</v>
      </c>
    </row>
    <row r="805" spans="1:10" ht="15" thickBot="1">
      <c r="A805" s="98" t="s">
        <v>2479</v>
      </c>
      <c r="B805" s="80" t="s">
        <v>2684</v>
      </c>
      <c r="C805" s="80" t="s">
        <v>2651</v>
      </c>
      <c r="D805" s="80" t="s">
        <v>2646</v>
      </c>
      <c r="E805" s="80" t="s">
        <v>2642</v>
      </c>
      <c r="F805" s="80" t="s">
        <v>2372</v>
      </c>
      <c r="G805" s="80" t="s">
        <v>2694</v>
      </c>
      <c r="H805" s="79">
        <v>19</v>
      </c>
      <c r="I805" s="79">
        <v>2290.6799999999998</v>
      </c>
      <c r="J805" s="79">
        <v>43522.92</v>
      </c>
    </row>
    <row r="806" spans="1:10" ht="15" thickBot="1">
      <c r="A806" s="98" t="s">
        <v>2522</v>
      </c>
      <c r="B806" s="80" t="s">
        <v>2682</v>
      </c>
      <c r="C806" s="80" t="s">
        <v>2655</v>
      </c>
      <c r="D806" s="80" t="s">
        <v>2645</v>
      </c>
      <c r="E806" s="80" t="s">
        <v>2642</v>
      </c>
      <c r="F806" s="80" t="s">
        <v>2374</v>
      </c>
      <c r="G806" s="80" t="s">
        <v>2692</v>
      </c>
      <c r="H806" s="79">
        <v>9</v>
      </c>
      <c r="I806" s="79">
        <v>4965.3</v>
      </c>
      <c r="J806" s="79">
        <v>44687.7</v>
      </c>
    </row>
    <row r="807" spans="1:10" ht="15" thickBot="1">
      <c r="A807" s="98" t="s">
        <v>2486</v>
      </c>
      <c r="B807" s="80" t="s">
        <v>2681</v>
      </c>
      <c r="C807" s="80" t="s">
        <v>2653</v>
      </c>
      <c r="D807" s="80" t="s">
        <v>2644</v>
      </c>
      <c r="E807" s="80" t="s">
        <v>2641</v>
      </c>
      <c r="F807" s="80" t="s">
        <v>2370</v>
      </c>
      <c r="G807" s="80" t="s">
        <v>1336</v>
      </c>
      <c r="H807" s="79">
        <v>4</v>
      </c>
      <c r="I807" s="79">
        <v>3684.5</v>
      </c>
      <c r="J807" s="79">
        <v>14738</v>
      </c>
    </row>
    <row r="808" spans="1:10" ht="15" thickBot="1">
      <c r="A808" s="98">
        <v>45237</v>
      </c>
      <c r="B808" s="80" t="s">
        <v>2680</v>
      </c>
      <c r="C808" s="80" t="s">
        <v>2656</v>
      </c>
      <c r="D808" s="80" t="s">
        <v>2648</v>
      </c>
      <c r="E808" s="80" t="s">
        <v>2641</v>
      </c>
      <c r="F808" s="80" t="s">
        <v>2661</v>
      </c>
      <c r="G808" s="80" t="s">
        <v>2698</v>
      </c>
      <c r="H808" s="79">
        <v>14</v>
      </c>
      <c r="I808" s="79">
        <v>4566.12</v>
      </c>
      <c r="J808" s="79">
        <v>63925.68</v>
      </c>
    </row>
    <row r="809" spans="1:10" ht="15" thickBot="1">
      <c r="A809" s="98" t="s">
        <v>2547</v>
      </c>
      <c r="B809" s="80" t="s">
        <v>2683</v>
      </c>
      <c r="C809" s="80" t="s">
        <v>2650</v>
      </c>
      <c r="D809" s="80" t="s">
        <v>2646</v>
      </c>
      <c r="E809" s="80" t="s">
        <v>2642</v>
      </c>
      <c r="F809" s="80" t="s">
        <v>2373</v>
      </c>
      <c r="G809" s="80" t="s">
        <v>2705</v>
      </c>
      <c r="H809" s="79">
        <v>17</v>
      </c>
      <c r="I809" s="79">
        <v>2246.8200000000002</v>
      </c>
      <c r="J809" s="79">
        <v>38195.94</v>
      </c>
    </row>
    <row r="810" spans="1:10" ht="15" thickBot="1">
      <c r="A810" s="98">
        <v>45266</v>
      </c>
      <c r="B810" s="80" t="s">
        <v>2680</v>
      </c>
      <c r="C810" s="80" t="s">
        <v>2652</v>
      </c>
      <c r="D810" s="80" t="s">
        <v>2647</v>
      </c>
      <c r="E810" s="80" t="s">
        <v>2643</v>
      </c>
      <c r="F810" s="80" t="s">
        <v>2374</v>
      </c>
      <c r="G810" s="80" t="s">
        <v>2689</v>
      </c>
      <c r="H810" s="79">
        <v>3</v>
      </c>
      <c r="I810" s="79">
        <v>215.21</v>
      </c>
      <c r="J810" s="79">
        <v>645.63</v>
      </c>
    </row>
    <row r="811" spans="1:10" ht="15" thickBot="1">
      <c r="A811" s="98" t="s">
        <v>2436</v>
      </c>
      <c r="B811" s="80" t="s">
        <v>2687</v>
      </c>
      <c r="C811" s="80" t="s">
        <v>2658</v>
      </c>
      <c r="D811" s="80" t="s">
        <v>2645</v>
      </c>
      <c r="E811" s="80" t="s">
        <v>2642</v>
      </c>
      <c r="F811" s="80" t="s">
        <v>2370</v>
      </c>
      <c r="G811" s="80" t="s">
        <v>1335</v>
      </c>
      <c r="H811" s="79">
        <v>7</v>
      </c>
      <c r="I811" s="79">
        <v>1294.31</v>
      </c>
      <c r="J811" s="79">
        <v>9060.17</v>
      </c>
    </row>
    <row r="812" spans="1:10" ht="15" thickBot="1">
      <c r="A812" s="98" t="s">
        <v>2539</v>
      </c>
      <c r="B812" s="80" t="s">
        <v>2682</v>
      </c>
      <c r="C812" s="80" t="s">
        <v>2657</v>
      </c>
      <c r="D812" s="80" t="s">
        <v>2648</v>
      </c>
      <c r="E812" s="80" t="s">
        <v>2641</v>
      </c>
      <c r="F812" s="80" t="s">
        <v>2661</v>
      </c>
      <c r="G812" s="80" t="s">
        <v>2698</v>
      </c>
      <c r="H812" s="79">
        <v>9</v>
      </c>
      <c r="I812" s="79">
        <v>1558.74</v>
      </c>
      <c r="J812" s="79">
        <v>14028.66</v>
      </c>
    </row>
    <row r="813" spans="1:10" ht="15" thickBot="1">
      <c r="A813" s="98" t="s">
        <v>2490</v>
      </c>
      <c r="B813" s="80" t="s">
        <v>2685</v>
      </c>
      <c r="C813" s="80" t="s">
        <v>2654</v>
      </c>
      <c r="D813" s="80" t="s">
        <v>2646</v>
      </c>
      <c r="E813" s="80" t="s">
        <v>2642</v>
      </c>
      <c r="F813" s="80" t="s">
        <v>2374</v>
      </c>
      <c r="G813" s="80" t="s">
        <v>2704</v>
      </c>
      <c r="H813" s="79">
        <v>11</v>
      </c>
      <c r="I813" s="79">
        <v>4382.91</v>
      </c>
      <c r="J813" s="79">
        <v>48212.01</v>
      </c>
    </row>
    <row r="814" spans="1:10" ht="15" thickBot="1">
      <c r="A814" s="98" t="s">
        <v>2611</v>
      </c>
      <c r="B814" s="80" t="s">
        <v>2682</v>
      </c>
      <c r="C814" s="80" t="s">
        <v>2652</v>
      </c>
      <c r="D814" s="80" t="s">
        <v>2647</v>
      </c>
      <c r="E814" s="80" t="s">
        <v>2643</v>
      </c>
      <c r="F814" s="80" t="s">
        <v>2370</v>
      </c>
      <c r="G814" s="80" t="s">
        <v>2701</v>
      </c>
      <c r="H814" s="79">
        <v>6</v>
      </c>
      <c r="I814" s="79">
        <v>4197.59</v>
      </c>
      <c r="J814" s="79">
        <v>25185.54</v>
      </c>
    </row>
    <row r="815" spans="1:10" ht="15" thickBot="1">
      <c r="A815" s="98">
        <v>45018</v>
      </c>
      <c r="B815" s="80" t="s">
        <v>2678</v>
      </c>
      <c r="C815" s="80" t="s">
        <v>2650</v>
      </c>
      <c r="D815" s="80" t="s">
        <v>2646</v>
      </c>
      <c r="E815" s="80" t="s">
        <v>2642</v>
      </c>
      <c r="F815" s="80" t="s">
        <v>2374</v>
      </c>
      <c r="G815" s="80" t="s">
        <v>2704</v>
      </c>
      <c r="H815" s="79">
        <v>2</v>
      </c>
      <c r="I815" s="79">
        <v>4137.49</v>
      </c>
      <c r="J815" s="79">
        <v>8274.98</v>
      </c>
    </row>
    <row r="816" spans="1:10" ht="15" thickBot="1">
      <c r="A816" s="98">
        <v>45271</v>
      </c>
      <c r="B816" s="80" t="s">
        <v>2684</v>
      </c>
      <c r="C816" s="80" t="s">
        <v>2659</v>
      </c>
      <c r="D816" s="80" t="s">
        <v>2647</v>
      </c>
      <c r="E816" s="80" t="s">
        <v>2643</v>
      </c>
      <c r="F816" s="80" t="s">
        <v>2370</v>
      </c>
      <c r="G816" s="80" t="s">
        <v>2701</v>
      </c>
      <c r="H816" s="79">
        <v>16</v>
      </c>
      <c r="I816" s="79">
        <v>1598.06</v>
      </c>
      <c r="J816" s="79">
        <v>25568.959999999999</v>
      </c>
    </row>
    <row r="817" spans="1:10" ht="15" thickBot="1">
      <c r="A817" s="98" t="s">
        <v>2437</v>
      </c>
      <c r="B817" s="80" t="s">
        <v>2679</v>
      </c>
      <c r="C817" s="80" t="s">
        <v>2652</v>
      </c>
      <c r="D817" s="80" t="s">
        <v>2647</v>
      </c>
      <c r="E817" s="80" t="s">
        <v>2643</v>
      </c>
      <c r="F817" s="80" t="s">
        <v>2373</v>
      </c>
      <c r="G817" s="80" t="s">
        <v>2705</v>
      </c>
      <c r="H817" s="79">
        <v>3</v>
      </c>
      <c r="I817" s="79">
        <v>3044.02</v>
      </c>
      <c r="J817" s="79">
        <v>9132.06</v>
      </c>
    </row>
    <row r="818" spans="1:10" ht="15" thickBot="1">
      <c r="A818" s="98">
        <v>45170</v>
      </c>
      <c r="B818" s="80" t="s">
        <v>2678</v>
      </c>
      <c r="C818" s="80" t="s">
        <v>2393</v>
      </c>
      <c r="D818" s="80" t="s">
        <v>2644</v>
      </c>
      <c r="E818" s="80" t="s">
        <v>2641</v>
      </c>
      <c r="F818" s="80" t="s">
        <v>2372</v>
      </c>
      <c r="G818" s="80" t="s">
        <v>2699</v>
      </c>
      <c r="H818" s="79">
        <v>6</v>
      </c>
      <c r="I818" s="79">
        <v>4270.03</v>
      </c>
      <c r="J818" s="79">
        <v>25620.18</v>
      </c>
    </row>
    <row r="819" spans="1:10" ht="15" thickBot="1">
      <c r="A819" s="98">
        <v>45208</v>
      </c>
      <c r="B819" s="80" t="s">
        <v>2679</v>
      </c>
      <c r="C819" s="80" t="s">
        <v>2393</v>
      </c>
      <c r="D819" s="80" t="s">
        <v>2644</v>
      </c>
      <c r="E819" s="80" t="s">
        <v>2641</v>
      </c>
      <c r="F819" s="80" t="s">
        <v>2373</v>
      </c>
      <c r="G819" s="80" t="s">
        <v>2705</v>
      </c>
      <c r="H819" s="79">
        <v>13</v>
      </c>
      <c r="I819" s="79">
        <v>298.08999999999997</v>
      </c>
      <c r="J819" s="79">
        <v>3875.17</v>
      </c>
    </row>
    <row r="820" spans="1:10" ht="15" thickBot="1">
      <c r="A820" s="98" t="s">
        <v>2570</v>
      </c>
      <c r="B820" s="80" t="s">
        <v>2684</v>
      </c>
      <c r="C820" s="80" t="s">
        <v>2657</v>
      </c>
      <c r="D820" s="80" t="s">
        <v>2648</v>
      </c>
      <c r="E820" s="80" t="s">
        <v>2641</v>
      </c>
      <c r="F820" s="80" t="s">
        <v>2370</v>
      </c>
      <c r="G820" s="80" t="s">
        <v>1336</v>
      </c>
      <c r="H820" s="79">
        <v>3</v>
      </c>
      <c r="I820" s="79">
        <v>1453.68</v>
      </c>
      <c r="J820" s="79">
        <v>4361.04</v>
      </c>
    </row>
    <row r="821" spans="1:10" ht="15" thickBot="1">
      <c r="A821" s="98" t="s">
        <v>2598</v>
      </c>
      <c r="B821" s="80" t="s">
        <v>2686</v>
      </c>
      <c r="C821" s="80" t="s">
        <v>2659</v>
      </c>
      <c r="D821" s="80" t="s">
        <v>2647</v>
      </c>
      <c r="E821" s="80" t="s">
        <v>2643</v>
      </c>
      <c r="F821" s="80" t="s">
        <v>2374</v>
      </c>
      <c r="G821" s="80" t="s">
        <v>2700</v>
      </c>
      <c r="H821" s="79">
        <v>4</v>
      </c>
      <c r="I821" s="79">
        <v>1009.78</v>
      </c>
      <c r="J821" s="79">
        <v>4039.12</v>
      </c>
    </row>
    <row r="822" spans="1:10" ht="15" thickBot="1">
      <c r="A822" s="98">
        <v>45026</v>
      </c>
      <c r="B822" s="80" t="s">
        <v>2678</v>
      </c>
      <c r="C822" s="80" t="s">
        <v>2651</v>
      </c>
      <c r="D822" s="80" t="s">
        <v>2646</v>
      </c>
      <c r="E822" s="80" t="s">
        <v>2642</v>
      </c>
      <c r="F822" s="80" t="s">
        <v>2370</v>
      </c>
      <c r="G822" s="80" t="s">
        <v>1335</v>
      </c>
      <c r="H822" s="79">
        <v>12</v>
      </c>
      <c r="I822" s="79">
        <v>231.07</v>
      </c>
      <c r="J822" s="79">
        <v>2772.84</v>
      </c>
    </row>
    <row r="823" spans="1:10" ht="15" thickBot="1">
      <c r="A823" s="98">
        <v>45079</v>
      </c>
      <c r="B823" s="80" t="s">
        <v>2678</v>
      </c>
      <c r="C823" s="80" t="s">
        <v>2653</v>
      </c>
      <c r="D823" s="80" t="s">
        <v>2644</v>
      </c>
      <c r="E823" s="80" t="s">
        <v>2641</v>
      </c>
      <c r="F823" s="80" t="s">
        <v>2370</v>
      </c>
      <c r="G823" s="80" t="s">
        <v>1336</v>
      </c>
      <c r="H823" s="79">
        <v>12</v>
      </c>
      <c r="I823" s="79">
        <v>1410.03</v>
      </c>
      <c r="J823" s="79">
        <v>16920.36</v>
      </c>
    </row>
    <row r="824" spans="1:10" ht="15" thickBot="1">
      <c r="A824" s="98">
        <v>45171</v>
      </c>
      <c r="B824" s="80" t="s">
        <v>2684</v>
      </c>
      <c r="C824" s="80" t="s">
        <v>2393</v>
      </c>
      <c r="D824" s="80" t="s">
        <v>2644</v>
      </c>
      <c r="E824" s="80" t="s">
        <v>2641</v>
      </c>
      <c r="F824" s="80" t="s">
        <v>2374</v>
      </c>
      <c r="G824" s="80" t="s">
        <v>2692</v>
      </c>
      <c r="H824" s="79">
        <v>6</v>
      </c>
      <c r="I824" s="79">
        <v>1610.91</v>
      </c>
      <c r="J824" s="79">
        <v>9665.4599999999991</v>
      </c>
    </row>
    <row r="825" spans="1:10" ht="15" thickBot="1">
      <c r="A825" s="98">
        <v>45109</v>
      </c>
      <c r="B825" s="80" t="s">
        <v>2685</v>
      </c>
      <c r="C825" s="80" t="s">
        <v>2655</v>
      </c>
      <c r="D825" s="80" t="s">
        <v>2645</v>
      </c>
      <c r="E825" s="80" t="s">
        <v>2642</v>
      </c>
      <c r="F825" s="80" t="s">
        <v>2374</v>
      </c>
      <c r="G825" s="80" t="s">
        <v>2692</v>
      </c>
      <c r="H825" s="79">
        <v>7</v>
      </c>
      <c r="I825" s="79">
        <v>3396.62</v>
      </c>
      <c r="J825" s="79">
        <v>23776.34</v>
      </c>
    </row>
    <row r="826" spans="1:10" ht="15" thickBot="1">
      <c r="A826" s="98">
        <v>45145</v>
      </c>
      <c r="B826" s="80" t="s">
        <v>2687</v>
      </c>
      <c r="C826" s="80" t="s">
        <v>2655</v>
      </c>
      <c r="D826" s="80" t="s">
        <v>2645</v>
      </c>
      <c r="E826" s="80" t="s">
        <v>2642</v>
      </c>
      <c r="F826" s="80" t="s">
        <v>2374</v>
      </c>
      <c r="G826" s="80" t="s">
        <v>2700</v>
      </c>
      <c r="H826" s="79">
        <v>14</v>
      </c>
      <c r="I826" s="79">
        <v>4164.33</v>
      </c>
      <c r="J826" s="79">
        <v>58300.62</v>
      </c>
    </row>
    <row r="827" spans="1:10" ht="15" thickBot="1">
      <c r="A827" s="98" t="s">
        <v>2484</v>
      </c>
      <c r="B827" s="80" t="s">
        <v>2687</v>
      </c>
      <c r="C827" s="80" t="s">
        <v>2653</v>
      </c>
      <c r="D827" s="80" t="s">
        <v>2644</v>
      </c>
      <c r="E827" s="80" t="s">
        <v>2641</v>
      </c>
      <c r="F827" s="80" t="s">
        <v>2373</v>
      </c>
      <c r="G827" s="80" t="s">
        <v>2697</v>
      </c>
      <c r="H827" s="79">
        <v>12</v>
      </c>
      <c r="I827" s="79">
        <v>4414.2700000000004</v>
      </c>
      <c r="J827" s="79">
        <v>52971.24</v>
      </c>
    </row>
    <row r="828" spans="1:10" ht="15" thickBot="1">
      <c r="A828" s="98" t="s">
        <v>2447</v>
      </c>
      <c r="B828" s="80" t="s">
        <v>2685</v>
      </c>
      <c r="C828" s="80" t="s">
        <v>2650</v>
      </c>
      <c r="D828" s="80" t="s">
        <v>2646</v>
      </c>
      <c r="E828" s="80" t="s">
        <v>2642</v>
      </c>
      <c r="F828" s="80" t="s">
        <v>2372</v>
      </c>
      <c r="G828" s="80" t="s">
        <v>2699</v>
      </c>
      <c r="H828" s="79">
        <v>13</v>
      </c>
      <c r="I828" s="79">
        <v>3101.42</v>
      </c>
      <c r="J828" s="79">
        <v>40318.46</v>
      </c>
    </row>
    <row r="829" spans="1:10" ht="15" thickBot="1">
      <c r="A829" s="98" t="s">
        <v>2539</v>
      </c>
      <c r="B829" s="80" t="s">
        <v>2686</v>
      </c>
      <c r="C829" s="80" t="s">
        <v>2651</v>
      </c>
      <c r="D829" s="80" t="s">
        <v>2646</v>
      </c>
      <c r="E829" s="80" t="s">
        <v>2642</v>
      </c>
      <c r="F829" s="80" t="s">
        <v>2374</v>
      </c>
      <c r="G829" s="80" t="s">
        <v>2704</v>
      </c>
      <c r="H829" s="79">
        <v>18</v>
      </c>
      <c r="I829" s="79">
        <v>3002.55</v>
      </c>
      <c r="J829" s="79">
        <v>54045.9</v>
      </c>
    </row>
    <row r="830" spans="1:10" ht="15" thickBot="1">
      <c r="A830" s="98">
        <v>45048</v>
      </c>
      <c r="B830" s="80" t="s">
        <v>2678</v>
      </c>
      <c r="C830" s="80" t="s">
        <v>2660</v>
      </c>
      <c r="D830" s="80" t="s">
        <v>2647</v>
      </c>
      <c r="E830" s="80" t="s">
        <v>2643</v>
      </c>
      <c r="F830" s="80" t="s">
        <v>2373</v>
      </c>
      <c r="G830" s="80" t="s">
        <v>2688</v>
      </c>
      <c r="H830" s="79">
        <v>13</v>
      </c>
      <c r="I830" s="79">
        <v>2098.65</v>
      </c>
      <c r="J830" s="79">
        <v>27282.45</v>
      </c>
    </row>
    <row r="831" spans="1:10" ht="15" thickBot="1">
      <c r="A831" s="98">
        <v>45087</v>
      </c>
      <c r="B831" s="80" t="s">
        <v>2685</v>
      </c>
      <c r="C831" s="80" t="s">
        <v>2396</v>
      </c>
      <c r="D831" s="80" t="s">
        <v>2648</v>
      </c>
      <c r="E831" s="80" t="s">
        <v>2641</v>
      </c>
      <c r="F831" s="80" t="s">
        <v>2370</v>
      </c>
      <c r="G831" s="80" t="s">
        <v>2701</v>
      </c>
      <c r="H831" s="79">
        <v>5</v>
      </c>
      <c r="I831" s="79">
        <v>4106.79</v>
      </c>
      <c r="J831" s="79">
        <v>20533.95</v>
      </c>
    </row>
    <row r="832" spans="1:10" ht="15" thickBot="1">
      <c r="A832" s="98" t="s">
        <v>2518</v>
      </c>
      <c r="B832" s="80" t="s">
        <v>2681</v>
      </c>
      <c r="C832" s="80" t="s">
        <v>2659</v>
      </c>
      <c r="D832" s="80" t="s">
        <v>2647</v>
      </c>
      <c r="E832" s="80" t="s">
        <v>2643</v>
      </c>
      <c r="F832" s="80" t="s">
        <v>2372</v>
      </c>
      <c r="G832" s="80" t="s">
        <v>2690</v>
      </c>
      <c r="H832" s="79">
        <v>1</v>
      </c>
      <c r="I832" s="79">
        <v>3041.26</v>
      </c>
      <c r="J832" s="79">
        <v>3041.26</v>
      </c>
    </row>
    <row r="833" spans="1:10" ht="15" thickBot="1">
      <c r="A833" s="98" t="s">
        <v>2586</v>
      </c>
      <c r="B833" s="80" t="s">
        <v>2681</v>
      </c>
      <c r="C833" s="80" t="s">
        <v>2392</v>
      </c>
      <c r="D833" s="80" t="s">
        <v>2644</v>
      </c>
      <c r="E833" s="80" t="s">
        <v>2641</v>
      </c>
      <c r="F833" s="80" t="s">
        <v>2374</v>
      </c>
      <c r="G833" s="80" t="s">
        <v>2692</v>
      </c>
      <c r="H833" s="79">
        <v>7</v>
      </c>
      <c r="I833" s="79">
        <v>4514.21</v>
      </c>
      <c r="J833" s="79">
        <v>31599.47</v>
      </c>
    </row>
    <row r="834" spans="1:10" ht="15" thickBot="1">
      <c r="A834" s="98" t="s">
        <v>2605</v>
      </c>
      <c r="B834" s="80" t="s">
        <v>2687</v>
      </c>
      <c r="C834" s="80" t="s">
        <v>2650</v>
      </c>
      <c r="D834" s="80" t="s">
        <v>2646</v>
      </c>
      <c r="E834" s="80" t="s">
        <v>2642</v>
      </c>
      <c r="F834" s="80" t="s">
        <v>2372</v>
      </c>
      <c r="G834" s="80" t="s">
        <v>2690</v>
      </c>
      <c r="H834" s="79">
        <v>18</v>
      </c>
      <c r="I834" s="79">
        <v>2971.68</v>
      </c>
      <c r="J834" s="79">
        <v>53490.239999999998</v>
      </c>
    </row>
    <row r="835" spans="1:10" ht="15" thickBot="1">
      <c r="A835" s="98" t="s">
        <v>2538</v>
      </c>
      <c r="B835" s="80" t="s">
        <v>2684</v>
      </c>
      <c r="C835" s="80" t="s">
        <v>2649</v>
      </c>
      <c r="D835" s="80" t="s">
        <v>2645</v>
      </c>
      <c r="E835" s="80" t="s">
        <v>2642</v>
      </c>
      <c r="F835" s="80" t="s">
        <v>2661</v>
      </c>
      <c r="G835" s="80" t="s">
        <v>2691</v>
      </c>
      <c r="H835" s="79">
        <v>6</v>
      </c>
      <c r="I835" s="79">
        <v>2263.36</v>
      </c>
      <c r="J835" s="79">
        <v>13580.16</v>
      </c>
    </row>
    <row r="836" spans="1:10" ht="15" thickBot="1">
      <c r="A836" s="98" t="s">
        <v>2541</v>
      </c>
      <c r="B836" s="80" t="s">
        <v>2678</v>
      </c>
      <c r="C836" s="80" t="s">
        <v>2654</v>
      </c>
      <c r="D836" s="80" t="s">
        <v>2646</v>
      </c>
      <c r="E836" s="80" t="s">
        <v>2642</v>
      </c>
      <c r="F836" s="80" t="s">
        <v>2373</v>
      </c>
      <c r="G836" s="80" t="s">
        <v>2703</v>
      </c>
      <c r="H836" s="79">
        <v>8</v>
      </c>
      <c r="I836" s="79">
        <v>3859.28</v>
      </c>
      <c r="J836" s="79">
        <v>30874.240000000002</v>
      </c>
    </row>
    <row r="837" spans="1:10" ht="15" thickBot="1">
      <c r="A837" s="98" t="s">
        <v>2542</v>
      </c>
      <c r="B837" s="80" t="s">
        <v>2685</v>
      </c>
      <c r="C837" s="80" t="s">
        <v>2653</v>
      </c>
      <c r="D837" s="80" t="s">
        <v>2644</v>
      </c>
      <c r="E837" s="80" t="s">
        <v>2641</v>
      </c>
      <c r="F837" s="80" t="s">
        <v>2373</v>
      </c>
      <c r="G837" s="80" t="s">
        <v>2705</v>
      </c>
      <c r="H837" s="79">
        <v>14</v>
      </c>
      <c r="I837" s="79">
        <v>3044.71</v>
      </c>
      <c r="J837" s="79">
        <v>42625.94</v>
      </c>
    </row>
    <row r="838" spans="1:10" ht="15" thickBot="1">
      <c r="A838" s="98" t="s">
        <v>2566</v>
      </c>
      <c r="B838" s="80" t="s">
        <v>2681</v>
      </c>
      <c r="C838" s="80" t="s">
        <v>2655</v>
      </c>
      <c r="D838" s="80" t="s">
        <v>2645</v>
      </c>
      <c r="E838" s="80" t="s">
        <v>2642</v>
      </c>
      <c r="F838" s="80" t="s">
        <v>2374</v>
      </c>
      <c r="G838" s="80" t="s">
        <v>2700</v>
      </c>
      <c r="H838" s="79">
        <v>11</v>
      </c>
      <c r="I838" s="79">
        <v>4653.38</v>
      </c>
      <c r="J838" s="79">
        <v>51187.18</v>
      </c>
    </row>
    <row r="839" spans="1:10" ht="15" thickBot="1">
      <c r="A839" s="98">
        <v>45109</v>
      </c>
      <c r="B839" s="80" t="s">
        <v>2684</v>
      </c>
      <c r="C839" s="80" t="s">
        <v>2649</v>
      </c>
      <c r="D839" s="80" t="s">
        <v>2645</v>
      </c>
      <c r="E839" s="80" t="s">
        <v>2642</v>
      </c>
      <c r="F839" s="80" t="s">
        <v>2373</v>
      </c>
      <c r="G839" s="80" t="s">
        <v>2705</v>
      </c>
      <c r="H839" s="79">
        <v>9</v>
      </c>
      <c r="I839" s="79">
        <v>3425.59</v>
      </c>
      <c r="J839" s="79">
        <v>30830.31</v>
      </c>
    </row>
    <row r="840" spans="1:10" ht="15" thickBot="1">
      <c r="A840" s="98" t="s">
        <v>2460</v>
      </c>
      <c r="B840" s="80" t="s">
        <v>2678</v>
      </c>
      <c r="C840" s="80" t="s">
        <v>2392</v>
      </c>
      <c r="D840" s="80" t="s">
        <v>2644</v>
      </c>
      <c r="E840" s="80" t="s">
        <v>2641</v>
      </c>
      <c r="F840" s="80" t="s">
        <v>2372</v>
      </c>
      <c r="G840" s="80" t="s">
        <v>2690</v>
      </c>
      <c r="H840" s="79">
        <v>15</v>
      </c>
      <c r="I840" s="79">
        <v>4671.6899999999996</v>
      </c>
      <c r="J840" s="79">
        <v>70075.350000000006</v>
      </c>
    </row>
    <row r="841" spans="1:10" ht="15" thickBot="1">
      <c r="A841" s="98" t="s">
        <v>2513</v>
      </c>
      <c r="B841" s="80" t="s">
        <v>2679</v>
      </c>
      <c r="C841" s="80" t="s">
        <v>2393</v>
      </c>
      <c r="D841" s="80" t="s">
        <v>2644</v>
      </c>
      <c r="E841" s="80" t="s">
        <v>2641</v>
      </c>
      <c r="F841" s="80" t="s">
        <v>2374</v>
      </c>
      <c r="G841" s="80" t="s">
        <v>2704</v>
      </c>
      <c r="H841" s="79">
        <v>5</v>
      </c>
      <c r="I841" s="79">
        <v>4600.38</v>
      </c>
      <c r="J841" s="79">
        <v>23001.9</v>
      </c>
    </row>
    <row r="842" spans="1:10" ht="15" thickBot="1">
      <c r="A842" s="98">
        <v>45236</v>
      </c>
      <c r="B842" s="80" t="s">
        <v>2686</v>
      </c>
      <c r="C842" s="80" t="s">
        <v>2650</v>
      </c>
      <c r="D842" s="80" t="s">
        <v>2646</v>
      </c>
      <c r="E842" s="80" t="s">
        <v>2642</v>
      </c>
      <c r="F842" s="80" t="s">
        <v>2661</v>
      </c>
      <c r="G842" s="80" t="s">
        <v>2698</v>
      </c>
      <c r="H842" s="79">
        <v>19</v>
      </c>
      <c r="I842" s="79">
        <v>2183.09</v>
      </c>
      <c r="J842" s="79">
        <v>41478.71</v>
      </c>
    </row>
    <row r="843" spans="1:10" ht="15" thickBot="1">
      <c r="A843" s="98" t="s">
        <v>2619</v>
      </c>
      <c r="B843" s="80" t="s">
        <v>2684</v>
      </c>
      <c r="C843" s="80" t="s">
        <v>2651</v>
      </c>
      <c r="D843" s="80" t="s">
        <v>2646</v>
      </c>
      <c r="E843" s="80" t="s">
        <v>2642</v>
      </c>
      <c r="F843" s="80" t="s">
        <v>2370</v>
      </c>
      <c r="G843" s="80" t="s">
        <v>1336</v>
      </c>
      <c r="H843" s="79">
        <v>8</v>
      </c>
      <c r="I843" s="79">
        <v>1850.8</v>
      </c>
      <c r="J843" s="79">
        <v>14806.4</v>
      </c>
    </row>
    <row r="844" spans="1:10" ht="15" thickBot="1">
      <c r="A844" s="98">
        <v>45272</v>
      </c>
      <c r="B844" s="80" t="s">
        <v>2679</v>
      </c>
      <c r="C844" s="80" t="s">
        <v>2659</v>
      </c>
      <c r="D844" s="80" t="s">
        <v>2647</v>
      </c>
      <c r="E844" s="80" t="s">
        <v>2643</v>
      </c>
      <c r="F844" s="80" t="s">
        <v>2370</v>
      </c>
      <c r="G844" s="80" t="s">
        <v>2701</v>
      </c>
      <c r="H844" s="79">
        <v>12</v>
      </c>
      <c r="I844" s="79">
        <v>3695.68</v>
      </c>
      <c r="J844" s="79">
        <v>44348.160000000003</v>
      </c>
    </row>
    <row r="845" spans="1:10" ht="15" thickBot="1">
      <c r="A845" s="98">
        <v>45267</v>
      </c>
      <c r="B845" s="80" t="s">
        <v>2678</v>
      </c>
      <c r="C845" s="80" t="s">
        <v>2656</v>
      </c>
      <c r="D845" s="80" t="s">
        <v>2648</v>
      </c>
      <c r="E845" s="80" t="s">
        <v>2641</v>
      </c>
      <c r="F845" s="80" t="s">
        <v>2373</v>
      </c>
      <c r="G845" s="80" t="s">
        <v>2705</v>
      </c>
      <c r="H845" s="79">
        <v>14</v>
      </c>
      <c r="I845" s="79">
        <v>3099.57</v>
      </c>
      <c r="J845" s="79">
        <v>43393.98</v>
      </c>
    </row>
    <row r="846" spans="1:10" ht="15" thickBot="1">
      <c r="A846" s="98" t="s">
        <v>2624</v>
      </c>
      <c r="B846" s="80" t="s">
        <v>2683</v>
      </c>
      <c r="C846" s="80" t="s">
        <v>2653</v>
      </c>
      <c r="D846" s="80" t="s">
        <v>2644</v>
      </c>
      <c r="E846" s="80" t="s">
        <v>2641</v>
      </c>
      <c r="F846" s="80" t="s">
        <v>2372</v>
      </c>
      <c r="G846" s="80" t="s">
        <v>2693</v>
      </c>
      <c r="H846" s="79">
        <v>1</v>
      </c>
      <c r="I846" s="79">
        <v>3758.07</v>
      </c>
      <c r="J846" s="79">
        <v>3758.07</v>
      </c>
    </row>
    <row r="847" spans="1:10" ht="15" thickBot="1">
      <c r="A847" s="98" t="s">
        <v>2606</v>
      </c>
      <c r="B847" s="80" t="s">
        <v>2682</v>
      </c>
      <c r="C847" s="80" t="s">
        <v>2660</v>
      </c>
      <c r="D847" s="80" t="s">
        <v>2647</v>
      </c>
      <c r="E847" s="80" t="s">
        <v>2643</v>
      </c>
      <c r="F847" s="80" t="s">
        <v>2373</v>
      </c>
      <c r="G847" s="80" t="s">
        <v>2697</v>
      </c>
      <c r="H847" s="79">
        <v>5</v>
      </c>
      <c r="I847" s="79">
        <v>2536.65</v>
      </c>
      <c r="J847" s="79">
        <v>12683.25</v>
      </c>
    </row>
    <row r="848" spans="1:10" ht="15" thickBot="1">
      <c r="A848" s="98" t="s">
        <v>2528</v>
      </c>
      <c r="B848" s="80" t="s">
        <v>2683</v>
      </c>
      <c r="C848" s="80" t="s">
        <v>2392</v>
      </c>
      <c r="D848" s="80" t="s">
        <v>2644</v>
      </c>
      <c r="E848" s="80" t="s">
        <v>2641</v>
      </c>
      <c r="F848" s="80" t="s">
        <v>2661</v>
      </c>
      <c r="G848" s="80" t="s">
        <v>2696</v>
      </c>
      <c r="H848" s="79">
        <v>9</v>
      </c>
      <c r="I848" s="79">
        <v>564.08000000000004</v>
      </c>
      <c r="J848" s="79">
        <v>5076.72</v>
      </c>
    </row>
    <row r="849" spans="1:10" ht="15" thickBot="1">
      <c r="A849" s="98" t="s">
        <v>2455</v>
      </c>
      <c r="B849" s="80" t="s">
        <v>2678</v>
      </c>
      <c r="C849" s="80" t="s">
        <v>2658</v>
      </c>
      <c r="D849" s="80" t="s">
        <v>2645</v>
      </c>
      <c r="E849" s="80" t="s">
        <v>2642</v>
      </c>
      <c r="F849" s="80" t="s">
        <v>2661</v>
      </c>
      <c r="G849" s="80" t="s">
        <v>2695</v>
      </c>
      <c r="H849" s="79">
        <v>4</v>
      </c>
      <c r="I849" s="79">
        <v>3762.47</v>
      </c>
      <c r="J849" s="79">
        <v>15049.88</v>
      </c>
    </row>
    <row r="850" spans="1:10" ht="15" thickBot="1">
      <c r="A850" s="98" t="s">
        <v>2461</v>
      </c>
      <c r="B850" s="80" t="s">
        <v>2680</v>
      </c>
      <c r="C850" s="80" t="s">
        <v>2657</v>
      </c>
      <c r="D850" s="80" t="s">
        <v>2648</v>
      </c>
      <c r="E850" s="80" t="s">
        <v>2641</v>
      </c>
      <c r="F850" s="80" t="s">
        <v>2661</v>
      </c>
      <c r="G850" s="80" t="s">
        <v>2698</v>
      </c>
      <c r="H850" s="79">
        <v>5</v>
      </c>
      <c r="I850" s="79">
        <v>4180.57</v>
      </c>
      <c r="J850" s="79">
        <v>20902.849999999999</v>
      </c>
    </row>
    <row r="851" spans="1:10" ht="15" thickBot="1">
      <c r="A851" s="98" t="s">
        <v>2545</v>
      </c>
      <c r="B851" s="80" t="s">
        <v>2684</v>
      </c>
      <c r="C851" s="80" t="s">
        <v>2655</v>
      </c>
      <c r="D851" s="80" t="s">
        <v>2645</v>
      </c>
      <c r="E851" s="80" t="s">
        <v>2642</v>
      </c>
      <c r="F851" s="80" t="s">
        <v>2373</v>
      </c>
      <c r="G851" s="80" t="s">
        <v>2697</v>
      </c>
      <c r="H851" s="79">
        <v>5</v>
      </c>
      <c r="I851" s="79">
        <v>1947.01</v>
      </c>
      <c r="J851" s="79">
        <v>9735.0499999999993</v>
      </c>
    </row>
    <row r="852" spans="1:10" ht="15" thickBot="1">
      <c r="A852" s="98" t="s">
        <v>2598</v>
      </c>
      <c r="B852" s="80" t="s">
        <v>2678</v>
      </c>
      <c r="C852" s="80" t="s">
        <v>2653</v>
      </c>
      <c r="D852" s="80" t="s">
        <v>2644</v>
      </c>
      <c r="E852" s="80" t="s">
        <v>2641</v>
      </c>
      <c r="F852" s="80" t="s">
        <v>2372</v>
      </c>
      <c r="G852" s="80" t="s">
        <v>2694</v>
      </c>
      <c r="H852" s="79">
        <v>13</v>
      </c>
      <c r="I852" s="79">
        <v>4686.21</v>
      </c>
      <c r="J852" s="79">
        <v>60920.73</v>
      </c>
    </row>
    <row r="853" spans="1:10" ht="15" thickBot="1">
      <c r="A853" s="98" t="s">
        <v>2640</v>
      </c>
      <c r="B853" s="80" t="s">
        <v>2680</v>
      </c>
      <c r="C853" s="80" t="s">
        <v>2653</v>
      </c>
      <c r="D853" s="80" t="s">
        <v>2644</v>
      </c>
      <c r="E853" s="80" t="s">
        <v>2641</v>
      </c>
      <c r="F853" s="80" t="s">
        <v>2373</v>
      </c>
      <c r="G853" s="80" t="s">
        <v>2688</v>
      </c>
      <c r="H853" s="79">
        <v>7</v>
      </c>
      <c r="I853" s="79">
        <v>4418.17</v>
      </c>
      <c r="J853" s="79">
        <v>30927.19</v>
      </c>
    </row>
    <row r="854" spans="1:10" ht="15" thickBot="1">
      <c r="A854" s="98">
        <v>45179</v>
      </c>
      <c r="B854" s="80" t="s">
        <v>2684</v>
      </c>
      <c r="C854" s="80" t="s">
        <v>2393</v>
      </c>
      <c r="D854" s="80" t="s">
        <v>2644</v>
      </c>
      <c r="E854" s="80" t="s">
        <v>2641</v>
      </c>
      <c r="F854" s="80" t="s">
        <v>2372</v>
      </c>
      <c r="G854" s="80" t="s">
        <v>2699</v>
      </c>
      <c r="H854" s="79">
        <v>19</v>
      </c>
      <c r="I854" s="79">
        <v>4186.6400000000003</v>
      </c>
      <c r="J854" s="79">
        <v>79546.16</v>
      </c>
    </row>
    <row r="855" spans="1:10" ht="15" thickBot="1">
      <c r="A855" s="98">
        <v>45084</v>
      </c>
      <c r="B855" s="80" t="s">
        <v>2679</v>
      </c>
      <c r="C855" s="80" t="s">
        <v>2396</v>
      </c>
      <c r="D855" s="80" t="s">
        <v>2648</v>
      </c>
      <c r="E855" s="80" t="s">
        <v>2641</v>
      </c>
      <c r="F855" s="80" t="s">
        <v>2373</v>
      </c>
      <c r="G855" s="80" t="s">
        <v>2688</v>
      </c>
      <c r="H855" s="79">
        <v>6</v>
      </c>
      <c r="I855" s="79">
        <v>1003.96</v>
      </c>
      <c r="J855" s="79">
        <v>6023.76</v>
      </c>
    </row>
    <row r="856" spans="1:10" ht="15" thickBot="1">
      <c r="A856" s="98" t="s">
        <v>2583</v>
      </c>
      <c r="B856" s="80" t="s">
        <v>2685</v>
      </c>
      <c r="C856" s="80" t="s">
        <v>2651</v>
      </c>
      <c r="D856" s="80" t="s">
        <v>2646</v>
      </c>
      <c r="E856" s="80" t="s">
        <v>2642</v>
      </c>
      <c r="F856" s="80" t="s">
        <v>2370</v>
      </c>
      <c r="G856" s="80" t="s">
        <v>1336</v>
      </c>
      <c r="H856" s="79">
        <v>13</v>
      </c>
      <c r="I856" s="79">
        <v>1028.74</v>
      </c>
      <c r="J856" s="79">
        <v>13373.62</v>
      </c>
    </row>
    <row r="857" spans="1:10" ht="15" thickBot="1">
      <c r="A857" s="98" t="s">
        <v>2596</v>
      </c>
      <c r="B857" s="80" t="s">
        <v>2682</v>
      </c>
      <c r="C857" s="80" t="s">
        <v>2654</v>
      </c>
      <c r="D857" s="80" t="s">
        <v>2646</v>
      </c>
      <c r="E857" s="80" t="s">
        <v>2642</v>
      </c>
      <c r="F857" s="80" t="s">
        <v>2372</v>
      </c>
      <c r="G857" s="80" t="s">
        <v>2699</v>
      </c>
      <c r="H857" s="79">
        <v>20</v>
      </c>
      <c r="I857" s="79">
        <v>4751.1400000000003</v>
      </c>
      <c r="J857" s="79">
        <v>95022.8</v>
      </c>
    </row>
    <row r="858" spans="1:10" ht="15" thickBot="1">
      <c r="A858" s="98" t="s">
        <v>2627</v>
      </c>
      <c r="B858" s="80" t="s">
        <v>2678</v>
      </c>
      <c r="C858" s="80" t="s">
        <v>2649</v>
      </c>
      <c r="D858" s="80" t="s">
        <v>2645</v>
      </c>
      <c r="E858" s="80" t="s">
        <v>2642</v>
      </c>
      <c r="F858" s="80" t="s">
        <v>2372</v>
      </c>
      <c r="G858" s="80" t="s">
        <v>2694</v>
      </c>
      <c r="H858" s="79">
        <v>8</v>
      </c>
      <c r="I858" s="79">
        <v>565.82000000000005</v>
      </c>
      <c r="J858" s="79">
        <v>4526.5600000000004</v>
      </c>
    </row>
    <row r="859" spans="1:10" ht="15" thickBot="1">
      <c r="A859" s="98" t="s">
        <v>2567</v>
      </c>
      <c r="B859" s="80" t="s">
        <v>2680</v>
      </c>
      <c r="C859" s="80" t="s">
        <v>2393</v>
      </c>
      <c r="D859" s="80" t="s">
        <v>2644</v>
      </c>
      <c r="E859" s="80" t="s">
        <v>2641</v>
      </c>
      <c r="F859" s="80" t="s">
        <v>2370</v>
      </c>
      <c r="G859" s="80" t="s">
        <v>2701</v>
      </c>
      <c r="H859" s="79">
        <v>1</v>
      </c>
      <c r="I859" s="79">
        <v>1903.53</v>
      </c>
      <c r="J859" s="79">
        <v>1903.53</v>
      </c>
    </row>
    <row r="860" spans="1:10" ht="15" thickBot="1">
      <c r="A860" s="98">
        <v>45149</v>
      </c>
      <c r="B860" s="80" t="s">
        <v>2682</v>
      </c>
      <c r="C860" s="80" t="s">
        <v>2657</v>
      </c>
      <c r="D860" s="80" t="s">
        <v>2648</v>
      </c>
      <c r="E860" s="80" t="s">
        <v>2641</v>
      </c>
      <c r="F860" s="80" t="s">
        <v>2374</v>
      </c>
      <c r="G860" s="80" t="s">
        <v>2689</v>
      </c>
      <c r="H860" s="79">
        <v>20</v>
      </c>
      <c r="I860" s="79">
        <v>3286.69</v>
      </c>
      <c r="J860" s="79">
        <v>65733.8</v>
      </c>
    </row>
    <row r="861" spans="1:10" ht="15" thickBot="1">
      <c r="A861" s="98" t="s">
        <v>2541</v>
      </c>
      <c r="B861" s="80" t="s">
        <v>2678</v>
      </c>
      <c r="C861" s="80" t="s">
        <v>2652</v>
      </c>
      <c r="D861" s="80" t="s">
        <v>2647</v>
      </c>
      <c r="E861" s="80" t="s">
        <v>2643</v>
      </c>
      <c r="F861" s="80" t="s">
        <v>2374</v>
      </c>
      <c r="G861" s="80" t="s">
        <v>2700</v>
      </c>
      <c r="H861" s="79">
        <v>20</v>
      </c>
      <c r="I861" s="79">
        <v>1176.4000000000001</v>
      </c>
      <c r="J861" s="79">
        <v>23528</v>
      </c>
    </row>
    <row r="862" spans="1:10" ht="15" thickBot="1">
      <c r="A862" s="98" t="s">
        <v>2533</v>
      </c>
      <c r="B862" s="80" t="s">
        <v>2678</v>
      </c>
      <c r="C862" s="80" t="s">
        <v>2396</v>
      </c>
      <c r="D862" s="80" t="s">
        <v>2648</v>
      </c>
      <c r="E862" s="80" t="s">
        <v>2641</v>
      </c>
      <c r="F862" s="80" t="s">
        <v>2374</v>
      </c>
      <c r="G862" s="80" t="s">
        <v>2689</v>
      </c>
      <c r="H862" s="79">
        <v>11</v>
      </c>
      <c r="I862" s="79">
        <v>2038.9</v>
      </c>
      <c r="J862" s="79">
        <v>22427.9</v>
      </c>
    </row>
    <row r="863" spans="1:10" ht="15" thickBot="1">
      <c r="A863" s="98">
        <v>44929</v>
      </c>
      <c r="B863" s="80" t="s">
        <v>2680</v>
      </c>
      <c r="C863" s="80" t="s">
        <v>2654</v>
      </c>
      <c r="D863" s="80" t="s">
        <v>2646</v>
      </c>
      <c r="E863" s="80" t="s">
        <v>2642</v>
      </c>
      <c r="F863" s="80" t="s">
        <v>2374</v>
      </c>
      <c r="G863" s="80" t="s">
        <v>2704</v>
      </c>
      <c r="H863" s="79">
        <v>19</v>
      </c>
      <c r="I863" s="79">
        <v>3990.16</v>
      </c>
      <c r="J863" s="79">
        <v>75813.039999999994</v>
      </c>
    </row>
    <row r="864" spans="1:10" ht="15" thickBot="1">
      <c r="A864" s="98" t="s">
        <v>2625</v>
      </c>
      <c r="B864" s="80" t="s">
        <v>2687</v>
      </c>
      <c r="C864" s="80" t="s">
        <v>2660</v>
      </c>
      <c r="D864" s="80" t="s">
        <v>2647</v>
      </c>
      <c r="E864" s="80" t="s">
        <v>2643</v>
      </c>
      <c r="F864" s="80" t="s">
        <v>2372</v>
      </c>
      <c r="G864" s="80" t="s">
        <v>2693</v>
      </c>
      <c r="H864" s="79">
        <v>15</v>
      </c>
      <c r="I864" s="79">
        <v>3765.36</v>
      </c>
      <c r="J864" s="79">
        <v>56480.4</v>
      </c>
    </row>
    <row r="865" spans="1:10" ht="15" thickBot="1">
      <c r="A865" s="98" t="s">
        <v>2531</v>
      </c>
      <c r="B865" s="80" t="s">
        <v>2681</v>
      </c>
      <c r="C865" s="80" t="s">
        <v>2650</v>
      </c>
      <c r="D865" s="80" t="s">
        <v>2646</v>
      </c>
      <c r="E865" s="80" t="s">
        <v>2642</v>
      </c>
      <c r="F865" s="80" t="s">
        <v>2372</v>
      </c>
      <c r="G865" s="80" t="s">
        <v>2694</v>
      </c>
      <c r="H865" s="79">
        <v>12</v>
      </c>
      <c r="I865" s="79">
        <v>1794.88</v>
      </c>
      <c r="J865" s="79">
        <v>21538.560000000001</v>
      </c>
    </row>
    <row r="866" spans="1:10" ht="15" thickBot="1">
      <c r="A866" s="98" t="s">
        <v>2594</v>
      </c>
      <c r="B866" s="80" t="s">
        <v>2683</v>
      </c>
      <c r="C866" s="80" t="s">
        <v>2658</v>
      </c>
      <c r="D866" s="80" t="s">
        <v>2645</v>
      </c>
      <c r="E866" s="80" t="s">
        <v>2642</v>
      </c>
      <c r="F866" s="80" t="s">
        <v>2370</v>
      </c>
      <c r="G866" s="80" t="s">
        <v>2701</v>
      </c>
      <c r="H866" s="79">
        <v>19</v>
      </c>
      <c r="I866" s="79">
        <v>2750.97</v>
      </c>
      <c r="J866" s="79">
        <v>52268.43</v>
      </c>
    </row>
    <row r="867" spans="1:10" ht="15" thickBot="1">
      <c r="A867" s="98" t="s">
        <v>2538</v>
      </c>
      <c r="B867" s="80" t="s">
        <v>2687</v>
      </c>
      <c r="C867" s="80" t="s">
        <v>2653</v>
      </c>
      <c r="D867" s="80" t="s">
        <v>2644</v>
      </c>
      <c r="E867" s="80" t="s">
        <v>2641</v>
      </c>
      <c r="F867" s="80" t="s">
        <v>2374</v>
      </c>
      <c r="G867" s="80" t="s">
        <v>2689</v>
      </c>
      <c r="H867" s="79">
        <v>17</v>
      </c>
      <c r="I867" s="79">
        <v>3677.4</v>
      </c>
      <c r="J867" s="79">
        <v>62515.8</v>
      </c>
    </row>
    <row r="868" spans="1:10" ht="15" thickBot="1">
      <c r="A868" s="98" t="s">
        <v>2521</v>
      </c>
      <c r="B868" s="80" t="s">
        <v>2687</v>
      </c>
      <c r="C868" s="80" t="s">
        <v>2393</v>
      </c>
      <c r="D868" s="80" t="s">
        <v>2644</v>
      </c>
      <c r="E868" s="80" t="s">
        <v>2641</v>
      </c>
      <c r="F868" s="80" t="s">
        <v>2374</v>
      </c>
      <c r="G868" s="80" t="s">
        <v>2689</v>
      </c>
      <c r="H868" s="79">
        <v>7</v>
      </c>
      <c r="I868" s="79">
        <v>2253.94</v>
      </c>
      <c r="J868" s="79">
        <v>15777.58</v>
      </c>
    </row>
    <row r="869" spans="1:10" ht="15" thickBot="1">
      <c r="A869" s="98" t="s">
        <v>2588</v>
      </c>
      <c r="B869" s="80" t="s">
        <v>2680</v>
      </c>
      <c r="C869" s="80" t="s">
        <v>2658</v>
      </c>
      <c r="D869" s="80" t="s">
        <v>2645</v>
      </c>
      <c r="E869" s="80" t="s">
        <v>2642</v>
      </c>
      <c r="F869" s="80" t="s">
        <v>2661</v>
      </c>
      <c r="G869" s="80" t="s">
        <v>2696</v>
      </c>
      <c r="H869" s="79">
        <v>8</v>
      </c>
      <c r="I869" s="79">
        <v>1762.43</v>
      </c>
      <c r="J869" s="79">
        <v>14099.44</v>
      </c>
    </row>
    <row r="870" spans="1:10" ht="15" thickBot="1">
      <c r="A870" s="98" t="s">
        <v>2580</v>
      </c>
      <c r="B870" s="80" t="s">
        <v>2680</v>
      </c>
      <c r="C870" s="80" t="s">
        <v>2654</v>
      </c>
      <c r="D870" s="80" t="s">
        <v>2646</v>
      </c>
      <c r="E870" s="80" t="s">
        <v>2642</v>
      </c>
      <c r="F870" s="80" t="s">
        <v>2373</v>
      </c>
      <c r="G870" s="80" t="s">
        <v>2697</v>
      </c>
      <c r="H870" s="79">
        <v>20</v>
      </c>
      <c r="I870" s="79">
        <v>278.55</v>
      </c>
      <c r="J870" s="79">
        <v>5571</v>
      </c>
    </row>
    <row r="871" spans="1:10" ht="15" thickBot="1">
      <c r="A871" s="98" t="s">
        <v>2667</v>
      </c>
      <c r="B871" s="80" t="s">
        <v>2678</v>
      </c>
      <c r="C871" s="80" t="s">
        <v>2653</v>
      </c>
      <c r="D871" s="80" t="s">
        <v>2644</v>
      </c>
      <c r="E871" s="80" t="s">
        <v>2641</v>
      </c>
      <c r="F871" s="80" t="s">
        <v>2373</v>
      </c>
      <c r="G871" s="80" t="s">
        <v>2697</v>
      </c>
      <c r="H871" s="79">
        <v>7</v>
      </c>
      <c r="I871" s="79">
        <v>1940.86</v>
      </c>
      <c r="J871" s="79">
        <v>13586.02</v>
      </c>
    </row>
    <row r="872" spans="1:10" ht="15" thickBot="1">
      <c r="A872" s="98">
        <v>44967</v>
      </c>
      <c r="B872" s="80" t="s">
        <v>2678</v>
      </c>
      <c r="C872" s="80" t="s">
        <v>2654</v>
      </c>
      <c r="D872" s="80" t="s">
        <v>2646</v>
      </c>
      <c r="E872" s="80" t="s">
        <v>2642</v>
      </c>
      <c r="F872" s="80" t="s">
        <v>2661</v>
      </c>
      <c r="G872" s="80" t="s">
        <v>2695</v>
      </c>
      <c r="H872" s="79">
        <v>1</v>
      </c>
      <c r="I872" s="79">
        <v>414.64</v>
      </c>
      <c r="J872" s="79">
        <v>414.64</v>
      </c>
    </row>
    <row r="873" spans="1:10" ht="15" thickBot="1">
      <c r="A873" s="98">
        <v>45026</v>
      </c>
      <c r="B873" s="80" t="s">
        <v>2680</v>
      </c>
      <c r="C873" s="80" t="s">
        <v>2655</v>
      </c>
      <c r="D873" s="80" t="s">
        <v>2645</v>
      </c>
      <c r="E873" s="80" t="s">
        <v>2642</v>
      </c>
      <c r="F873" s="80" t="s">
        <v>2374</v>
      </c>
      <c r="G873" s="80" t="s">
        <v>2692</v>
      </c>
      <c r="H873" s="79">
        <v>7</v>
      </c>
      <c r="I873" s="79">
        <v>1073.54</v>
      </c>
      <c r="J873" s="79">
        <v>7514.78</v>
      </c>
    </row>
    <row r="874" spans="1:10" ht="15" thickBot="1">
      <c r="A874" s="98">
        <v>45146</v>
      </c>
      <c r="B874" s="80" t="s">
        <v>2683</v>
      </c>
      <c r="C874" s="80" t="s">
        <v>2654</v>
      </c>
      <c r="D874" s="80" t="s">
        <v>2646</v>
      </c>
      <c r="E874" s="80" t="s">
        <v>2642</v>
      </c>
      <c r="F874" s="80" t="s">
        <v>2370</v>
      </c>
      <c r="G874" s="80" t="s">
        <v>2702</v>
      </c>
      <c r="H874" s="79">
        <v>2</v>
      </c>
      <c r="I874" s="79">
        <v>2078.33</v>
      </c>
      <c r="J874" s="79">
        <v>4156.66</v>
      </c>
    </row>
    <row r="875" spans="1:10" ht="15" thickBot="1">
      <c r="A875" s="98" t="s">
        <v>2484</v>
      </c>
      <c r="B875" s="80" t="s">
        <v>2681</v>
      </c>
      <c r="C875" s="80" t="s">
        <v>2652</v>
      </c>
      <c r="D875" s="80" t="s">
        <v>2647</v>
      </c>
      <c r="E875" s="80" t="s">
        <v>2643</v>
      </c>
      <c r="F875" s="80" t="s">
        <v>2373</v>
      </c>
      <c r="G875" s="80" t="s">
        <v>2703</v>
      </c>
      <c r="H875" s="79">
        <v>15</v>
      </c>
      <c r="I875" s="79">
        <v>4188.84</v>
      </c>
      <c r="J875" s="79">
        <v>62832.6</v>
      </c>
    </row>
    <row r="876" spans="1:10" ht="15" thickBot="1">
      <c r="A876" s="98">
        <v>45175</v>
      </c>
      <c r="B876" s="80" t="s">
        <v>2685</v>
      </c>
      <c r="C876" s="80" t="s">
        <v>2654</v>
      </c>
      <c r="D876" s="80" t="s">
        <v>2646</v>
      </c>
      <c r="E876" s="80" t="s">
        <v>2642</v>
      </c>
      <c r="F876" s="80" t="s">
        <v>2372</v>
      </c>
      <c r="G876" s="80" t="s">
        <v>2699</v>
      </c>
      <c r="H876" s="79">
        <v>16</v>
      </c>
      <c r="I876" s="79">
        <v>3046.66</v>
      </c>
      <c r="J876" s="79">
        <v>48746.559999999998</v>
      </c>
    </row>
    <row r="877" spans="1:10" ht="15" thickBot="1">
      <c r="A877" s="98">
        <v>45085</v>
      </c>
      <c r="B877" s="80" t="s">
        <v>2683</v>
      </c>
      <c r="C877" s="80" t="s">
        <v>2654</v>
      </c>
      <c r="D877" s="80" t="s">
        <v>2646</v>
      </c>
      <c r="E877" s="80" t="s">
        <v>2642</v>
      </c>
      <c r="F877" s="80" t="s">
        <v>2372</v>
      </c>
      <c r="G877" s="80" t="s">
        <v>2699</v>
      </c>
      <c r="H877" s="79">
        <v>13</v>
      </c>
      <c r="I877" s="79">
        <v>566.55999999999995</v>
      </c>
      <c r="J877" s="79">
        <v>7365.28</v>
      </c>
    </row>
    <row r="878" spans="1:10" ht="15" thickBot="1">
      <c r="A878" s="98">
        <v>45207</v>
      </c>
      <c r="B878" s="80" t="s">
        <v>2683</v>
      </c>
      <c r="C878" s="80" t="s">
        <v>2659</v>
      </c>
      <c r="D878" s="80" t="s">
        <v>2647</v>
      </c>
      <c r="E878" s="80" t="s">
        <v>2643</v>
      </c>
      <c r="F878" s="80" t="s">
        <v>2370</v>
      </c>
      <c r="G878" s="80" t="s">
        <v>2702</v>
      </c>
      <c r="H878" s="79">
        <v>9</v>
      </c>
      <c r="I878" s="79">
        <v>4726.68</v>
      </c>
      <c r="J878" s="79">
        <v>42540.12</v>
      </c>
    </row>
    <row r="879" spans="1:10" ht="15" thickBot="1">
      <c r="A879" s="98" t="s">
        <v>2493</v>
      </c>
      <c r="B879" s="80" t="s">
        <v>2687</v>
      </c>
      <c r="C879" s="80" t="s">
        <v>2655</v>
      </c>
      <c r="D879" s="80" t="s">
        <v>2645</v>
      </c>
      <c r="E879" s="80" t="s">
        <v>2642</v>
      </c>
      <c r="F879" s="80" t="s">
        <v>2372</v>
      </c>
      <c r="G879" s="80" t="s">
        <v>2699</v>
      </c>
      <c r="H879" s="79">
        <v>15</v>
      </c>
      <c r="I879" s="79">
        <v>2503.4699999999998</v>
      </c>
      <c r="J879" s="79">
        <v>37552.050000000003</v>
      </c>
    </row>
    <row r="880" spans="1:10" ht="15" thickBot="1">
      <c r="A880" s="98">
        <v>45237</v>
      </c>
      <c r="B880" s="80" t="s">
        <v>2680</v>
      </c>
      <c r="C880" s="80" t="s">
        <v>2655</v>
      </c>
      <c r="D880" s="80" t="s">
        <v>2645</v>
      </c>
      <c r="E880" s="80" t="s">
        <v>2642</v>
      </c>
      <c r="F880" s="80" t="s">
        <v>2661</v>
      </c>
      <c r="G880" s="80" t="s">
        <v>2695</v>
      </c>
      <c r="H880" s="79">
        <v>13</v>
      </c>
      <c r="I880" s="79">
        <v>2244.77</v>
      </c>
      <c r="J880" s="79">
        <v>29182.01</v>
      </c>
    </row>
    <row r="881" spans="1:10" ht="15" thickBot="1">
      <c r="A881" s="98">
        <v>45242</v>
      </c>
      <c r="B881" s="80" t="s">
        <v>2684</v>
      </c>
      <c r="C881" s="80" t="s">
        <v>2393</v>
      </c>
      <c r="D881" s="80" t="s">
        <v>2644</v>
      </c>
      <c r="E881" s="80" t="s">
        <v>2641</v>
      </c>
      <c r="F881" s="80" t="s">
        <v>2374</v>
      </c>
      <c r="G881" s="80" t="s">
        <v>2689</v>
      </c>
      <c r="H881" s="79">
        <v>18</v>
      </c>
      <c r="I881" s="79">
        <v>3559.2</v>
      </c>
      <c r="J881" s="79">
        <v>64065.599999999999</v>
      </c>
    </row>
    <row r="882" spans="1:10" ht="15" thickBot="1">
      <c r="A882" s="98" t="s">
        <v>2619</v>
      </c>
      <c r="B882" s="80" t="s">
        <v>2681</v>
      </c>
      <c r="C882" s="80" t="s">
        <v>2649</v>
      </c>
      <c r="D882" s="80" t="s">
        <v>2645</v>
      </c>
      <c r="E882" s="80" t="s">
        <v>2642</v>
      </c>
      <c r="F882" s="80" t="s">
        <v>2372</v>
      </c>
      <c r="G882" s="80" t="s">
        <v>2699</v>
      </c>
      <c r="H882" s="79">
        <v>16</v>
      </c>
      <c r="I882" s="79">
        <v>4238.6400000000003</v>
      </c>
      <c r="J882" s="79">
        <v>67818.240000000005</v>
      </c>
    </row>
    <row r="883" spans="1:10" ht="15" thickBot="1">
      <c r="A883" s="98" t="s">
        <v>2487</v>
      </c>
      <c r="B883" s="80" t="s">
        <v>2682</v>
      </c>
      <c r="C883" s="80" t="s">
        <v>2392</v>
      </c>
      <c r="D883" s="80" t="s">
        <v>2644</v>
      </c>
      <c r="E883" s="80" t="s">
        <v>2641</v>
      </c>
      <c r="F883" s="80" t="s">
        <v>2372</v>
      </c>
      <c r="G883" s="80" t="s">
        <v>2699</v>
      </c>
      <c r="H883" s="79">
        <v>13</v>
      </c>
      <c r="I883" s="79">
        <v>151.65</v>
      </c>
      <c r="J883" s="79">
        <v>1971.45</v>
      </c>
    </row>
    <row r="884" spans="1:10" ht="15" thickBot="1">
      <c r="A884" s="98">
        <v>45175</v>
      </c>
      <c r="B884" s="80" t="s">
        <v>2678</v>
      </c>
      <c r="C884" s="80" t="s">
        <v>2392</v>
      </c>
      <c r="D884" s="80" t="s">
        <v>2644</v>
      </c>
      <c r="E884" s="80" t="s">
        <v>2641</v>
      </c>
      <c r="F884" s="80" t="s">
        <v>2373</v>
      </c>
      <c r="G884" s="80" t="s">
        <v>2705</v>
      </c>
      <c r="H884" s="79">
        <v>11</v>
      </c>
      <c r="I884" s="79">
        <v>4242.8999999999996</v>
      </c>
      <c r="J884" s="79">
        <v>46671.9</v>
      </c>
    </row>
    <row r="885" spans="1:10" ht="15" thickBot="1">
      <c r="A885" s="98" t="s">
        <v>2587</v>
      </c>
      <c r="B885" s="80" t="s">
        <v>2679</v>
      </c>
      <c r="C885" s="80" t="s">
        <v>2396</v>
      </c>
      <c r="D885" s="80" t="s">
        <v>2648</v>
      </c>
      <c r="E885" s="80" t="s">
        <v>2641</v>
      </c>
      <c r="F885" s="80" t="s">
        <v>2661</v>
      </c>
      <c r="G885" s="80" t="s">
        <v>2691</v>
      </c>
      <c r="H885" s="79">
        <v>9</v>
      </c>
      <c r="I885" s="79">
        <v>4639.93</v>
      </c>
      <c r="J885" s="79">
        <v>41759.370000000003</v>
      </c>
    </row>
    <row r="886" spans="1:10" ht="15" thickBot="1">
      <c r="A886" s="98" t="s">
        <v>2454</v>
      </c>
      <c r="B886" s="80" t="s">
        <v>2684</v>
      </c>
      <c r="C886" s="80" t="s">
        <v>2651</v>
      </c>
      <c r="D886" s="80" t="s">
        <v>2646</v>
      </c>
      <c r="E886" s="80" t="s">
        <v>2642</v>
      </c>
      <c r="F886" s="80" t="s">
        <v>2372</v>
      </c>
      <c r="G886" s="80" t="s">
        <v>2693</v>
      </c>
      <c r="H886" s="79">
        <v>4</v>
      </c>
      <c r="I886" s="79">
        <v>4336.92</v>
      </c>
      <c r="J886" s="79">
        <v>17347.68</v>
      </c>
    </row>
    <row r="887" spans="1:10" ht="15" thickBot="1">
      <c r="A887" s="98" t="s">
        <v>2552</v>
      </c>
      <c r="B887" s="80" t="s">
        <v>2678</v>
      </c>
      <c r="C887" s="80" t="s">
        <v>2660</v>
      </c>
      <c r="D887" s="80" t="s">
        <v>2647</v>
      </c>
      <c r="E887" s="80" t="s">
        <v>2643</v>
      </c>
      <c r="F887" s="80" t="s">
        <v>2373</v>
      </c>
      <c r="G887" s="80" t="s">
        <v>2688</v>
      </c>
      <c r="H887" s="79">
        <v>17</v>
      </c>
      <c r="I887" s="79">
        <v>1005.44</v>
      </c>
      <c r="J887" s="79">
        <v>17092.48</v>
      </c>
    </row>
    <row r="888" spans="1:10" ht="15" thickBot="1">
      <c r="A888" s="98">
        <v>45233</v>
      </c>
      <c r="B888" s="80" t="s">
        <v>2679</v>
      </c>
      <c r="C888" s="80" t="s">
        <v>2649</v>
      </c>
      <c r="D888" s="80" t="s">
        <v>2645</v>
      </c>
      <c r="E888" s="80" t="s">
        <v>2642</v>
      </c>
      <c r="F888" s="80" t="s">
        <v>2373</v>
      </c>
      <c r="G888" s="80" t="s">
        <v>2703</v>
      </c>
      <c r="H888" s="79">
        <v>18</v>
      </c>
      <c r="I888" s="79">
        <v>2231.56</v>
      </c>
      <c r="J888" s="79">
        <v>40168.080000000002</v>
      </c>
    </row>
    <row r="889" spans="1:10" ht="15" thickBot="1">
      <c r="A889" s="98">
        <v>45237</v>
      </c>
      <c r="B889" s="80" t="s">
        <v>2678</v>
      </c>
      <c r="C889" s="80" t="s">
        <v>2393</v>
      </c>
      <c r="D889" s="80" t="s">
        <v>2644</v>
      </c>
      <c r="E889" s="80" t="s">
        <v>2641</v>
      </c>
      <c r="F889" s="80" t="s">
        <v>2373</v>
      </c>
      <c r="G889" s="80" t="s">
        <v>2697</v>
      </c>
      <c r="H889" s="79">
        <v>14</v>
      </c>
      <c r="I889" s="79">
        <v>3677.67</v>
      </c>
      <c r="J889" s="79">
        <v>51487.38</v>
      </c>
    </row>
    <row r="890" spans="1:10" ht="15" thickBot="1">
      <c r="A890" s="98" t="s">
        <v>2568</v>
      </c>
      <c r="B890" s="80" t="s">
        <v>2680</v>
      </c>
      <c r="C890" s="80" t="s">
        <v>2651</v>
      </c>
      <c r="D890" s="80" t="s">
        <v>2646</v>
      </c>
      <c r="E890" s="80" t="s">
        <v>2642</v>
      </c>
      <c r="F890" s="80" t="s">
        <v>2370</v>
      </c>
      <c r="G890" s="80" t="s">
        <v>2702</v>
      </c>
      <c r="H890" s="79">
        <v>6</v>
      </c>
      <c r="I890" s="79">
        <v>1047.72</v>
      </c>
      <c r="J890" s="79">
        <v>6286.32</v>
      </c>
    </row>
    <row r="891" spans="1:10" ht="15" thickBot="1">
      <c r="A891" s="98" t="s">
        <v>2548</v>
      </c>
      <c r="B891" s="80" t="s">
        <v>2679</v>
      </c>
      <c r="C891" s="80" t="s">
        <v>2651</v>
      </c>
      <c r="D891" s="80" t="s">
        <v>2646</v>
      </c>
      <c r="E891" s="80" t="s">
        <v>2642</v>
      </c>
      <c r="F891" s="80" t="s">
        <v>2374</v>
      </c>
      <c r="G891" s="80" t="s">
        <v>2704</v>
      </c>
      <c r="H891" s="79">
        <v>20</v>
      </c>
      <c r="I891" s="79">
        <v>827.08</v>
      </c>
      <c r="J891" s="79">
        <v>16541.599999999999</v>
      </c>
    </row>
    <row r="892" spans="1:10" ht="15" thickBot="1">
      <c r="A892" s="98" t="s">
        <v>2448</v>
      </c>
      <c r="B892" s="80" t="s">
        <v>2679</v>
      </c>
      <c r="C892" s="80" t="s">
        <v>2655</v>
      </c>
      <c r="D892" s="80" t="s">
        <v>2645</v>
      </c>
      <c r="E892" s="80" t="s">
        <v>2642</v>
      </c>
      <c r="F892" s="80" t="s">
        <v>2374</v>
      </c>
      <c r="G892" s="80" t="s">
        <v>2692</v>
      </c>
      <c r="H892" s="79">
        <v>19</v>
      </c>
      <c r="I892" s="79">
        <v>1726.65</v>
      </c>
      <c r="J892" s="79">
        <v>32806.35</v>
      </c>
    </row>
    <row r="893" spans="1:10" ht="15" thickBot="1">
      <c r="A893" s="98">
        <v>45143</v>
      </c>
      <c r="B893" s="80" t="s">
        <v>2682</v>
      </c>
      <c r="C893" s="80" t="s">
        <v>2658</v>
      </c>
      <c r="D893" s="80" t="s">
        <v>2645</v>
      </c>
      <c r="E893" s="80" t="s">
        <v>2642</v>
      </c>
      <c r="F893" s="80" t="s">
        <v>2374</v>
      </c>
      <c r="G893" s="80" t="s">
        <v>2700</v>
      </c>
      <c r="H893" s="79">
        <v>17</v>
      </c>
      <c r="I893" s="79">
        <v>2339.5700000000002</v>
      </c>
      <c r="J893" s="79">
        <v>39772.69</v>
      </c>
    </row>
    <row r="894" spans="1:10" ht="15" thickBot="1">
      <c r="A894" s="98">
        <v>44962</v>
      </c>
      <c r="B894" s="80" t="s">
        <v>2682</v>
      </c>
      <c r="C894" s="80" t="s">
        <v>2651</v>
      </c>
      <c r="D894" s="80" t="s">
        <v>2646</v>
      </c>
      <c r="E894" s="80" t="s">
        <v>2642</v>
      </c>
      <c r="F894" s="80" t="s">
        <v>2372</v>
      </c>
      <c r="G894" s="80" t="s">
        <v>2693</v>
      </c>
      <c r="H894" s="79">
        <v>8</v>
      </c>
      <c r="I894" s="79">
        <v>4984.96</v>
      </c>
      <c r="J894" s="79">
        <v>39879.68</v>
      </c>
    </row>
    <row r="895" spans="1:10" ht="15" thickBot="1">
      <c r="A895" s="98">
        <v>45021</v>
      </c>
      <c r="B895" s="80" t="s">
        <v>2687</v>
      </c>
      <c r="C895" s="80" t="s">
        <v>2659</v>
      </c>
      <c r="D895" s="80" t="s">
        <v>2647</v>
      </c>
      <c r="E895" s="80" t="s">
        <v>2643</v>
      </c>
      <c r="F895" s="80" t="s">
        <v>2370</v>
      </c>
      <c r="G895" s="80" t="s">
        <v>2701</v>
      </c>
      <c r="H895" s="79">
        <v>17</v>
      </c>
      <c r="I895" s="79">
        <v>3259.21</v>
      </c>
      <c r="J895" s="79">
        <v>55406.57</v>
      </c>
    </row>
    <row r="896" spans="1:10" ht="15" thickBot="1">
      <c r="A896" s="98" t="s">
        <v>2596</v>
      </c>
      <c r="B896" s="80" t="s">
        <v>2679</v>
      </c>
      <c r="C896" s="80" t="s">
        <v>2654</v>
      </c>
      <c r="D896" s="80" t="s">
        <v>2646</v>
      </c>
      <c r="E896" s="80" t="s">
        <v>2642</v>
      </c>
      <c r="F896" s="80" t="s">
        <v>2373</v>
      </c>
      <c r="G896" s="80" t="s">
        <v>2688</v>
      </c>
      <c r="H896" s="79">
        <v>7</v>
      </c>
      <c r="I896" s="79">
        <v>4847.62</v>
      </c>
      <c r="J896" s="79">
        <v>33933.339999999997</v>
      </c>
    </row>
    <row r="897" spans="1:10" ht="15" thickBot="1">
      <c r="A897" s="98" t="s">
        <v>2483</v>
      </c>
      <c r="B897" s="80" t="s">
        <v>2680</v>
      </c>
      <c r="C897" s="80" t="s">
        <v>2650</v>
      </c>
      <c r="D897" s="80" t="s">
        <v>2646</v>
      </c>
      <c r="E897" s="80" t="s">
        <v>2642</v>
      </c>
      <c r="F897" s="80" t="s">
        <v>2661</v>
      </c>
      <c r="G897" s="80" t="s">
        <v>2695</v>
      </c>
      <c r="H897" s="79">
        <v>6</v>
      </c>
      <c r="I897" s="79">
        <v>2260.16</v>
      </c>
      <c r="J897" s="79">
        <v>13560.96</v>
      </c>
    </row>
    <row r="898" spans="1:10" ht="15" thickBot="1">
      <c r="A898" s="98">
        <v>45269</v>
      </c>
      <c r="B898" s="80" t="s">
        <v>2683</v>
      </c>
      <c r="C898" s="80" t="s">
        <v>2652</v>
      </c>
      <c r="D898" s="80" t="s">
        <v>2647</v>
      </c>
      <c r="E898" s="80" t="s">
        <v>2643</v>
      </c>
      <c r="F898" s="80" t="s">
        <v>2373</v>
      </c>
      <c r="G898" s="80" t="s">
        <v>2697</v>
      </c>
      <c r="H898" s="79">
        <v>16</v>
      </c>
      <c r="I898" s="79">
        <v>1795.37</v>
      </c>
      <c r="J898" s="79">
        <v>28725.919999999998</v>
      </c>
    </row>
    <row r="899" spans="1:10" ht="15" thickBot="1">
      <c r="A899" s="98">
        <v>44990</v>
      </c>
      <c r="B899" s="80" t="s">
        <v>2683</v>
      </c>
      <c r="C899" s="80" t="s">
        <v>2657</v>
      </c>
      <c r="D899" s="80" t="s">
        <v>2648</v>
      </c>
      <c r="E899" s="80" t="s">
        <v>2641</v>
      </c>
      <c r="F899" s="80" t="s">
        <v>2370</v>
      </c>
      <c r="G899" s="80" t="s">
        <v>2702</v>
      </c>
      <c r="H899" s="79">
        <v>19</v>
      </c>
      <c r="I899" s="79">
        <v>2040.79</v>
      </c>
      <c r="J899" s="79">
        <v>38775.01</v>
      </c>
    </row>
    <row r="900" spans="1:10" ht="15" thickBot="1">
      <c r="A900" s="98" t="s">
        <v>2626</v>
      </c>
      <c r="B900" s="80" t="s">
        <v>2686</v>
      </c>
      <c r="C900" s="80" t="s">
        <v>2655</v>
      </c>
      <c r="D900" s="80" t="s">
        <v>2645</v>
      </c>
      <c r="E900" s="80" t="s">
        <v>2642</v>
      </c>
      <c r="F900" s="80" t="s">
        <v>2373</v>
      </c>
      <c r="G900" s="80" t="s">
        <v>2705</v>
      </c>
      <c r="H900" s="79">
        <v>13</v>
      </c>
      <c r="I900" s="79">
        <v>1764.64</v>
      </c>
      <c r="J900" s="79">
        <v>22940.32</v>
      </c>
    </row>
    <row r="901" spans="1:10" ht="15" thickBot="1">
      <c r="A901" s="98" t="s">
        <v>2576</v>
      </c>
      <c r="B901" s="80" t="s">
        <v>2678</v>
      </c>
      <c r="C901" s="80" t="s">
        <v>2654</v>
      </c>
      <c r="D901" s="80" t="s">
        <v>2646</v>
      </c>
      <c r="E901" s="80" t="s">
        <v>2642</v>
      </c>
      <c r="F901" s="80" t="s">
        <v>2661</v>
      </c>
      <c r="G901" s="80" t="s">
        <v>2695</v>
      </c>
      <c r="H901" s="79">
        <v>6</v>
      </c>
      <c r="I901" s="79">
        <v>746.23</v>
      </c>
      <c r="J901" s="79">
        <v>4477.38</v>
      </c>
    </row>
    <row r="902" spans="1:10" ht="15" thickBot="1">
      <c r="A902" s="98">
        <v>45210</v>
      </c>
      <c r="B902" s="80" t="s">
        <v>2680</v>
      </c>
      <c r="C902" s="80" t="s">
        <v>2652</v>
      </c>
      <c r="D902" s="80" t="s">
        <v>2647</v>
      </c>
      <c r="E902" s="80" t="s">
        <v>2643</v>
      </c>
      <c r="F902" s="80" t="s">
        <v>2373</v>
      </c>
      <c r="G902" s="80" t="s">
        <v>2703</v>
      </c>
      <c r="H902" s="79">
        <v>14</v>
      </c>
      <c r="I902" s="79">
        <v>2385.9899999999998</v>
      </c>
      <c r="J902" s="79">
        <v>33403.86</v>
      </c>
    </row>
    <row r="903" spans="1:10" ht="15" thickBot="1">
      <c r="A903" s="98">
        <v>45264</v>
      </c>
      <c r="B903" s="80" t="s">
        <v>2678</v>
      </c>
      <c r="C903" s="80" t="s">
        <v>2657</v>
      </c>
      <c r="D903" s="80" t="s">
        <v>2648</v>
      </c>
      <c r="E903" s="80" t="s">
        <v>2641</v>
      </c>
      <c r="F903" s="80" t="s">
        <v>2370</v>
      </c>
      <c r="G903" s="80" t="s">
        <v>1335</v>
      </c>
      <c r="H903" s="79">
        <v>1</v>
      </c>
      <c r="I903" s="79">
        <v>2362.15</v>
      </c>
      <c r="J903" s="79">
        <v>2362.15</v>
      </c>
    </row>
    <row r="904" spans="1:10" ht="15" thickBot="1">
      <c r="A904" s="98" t="s">
        <v>2515</v>
      </c>
      <c r="B904" s="80" t="s">
        <v>2683</v>
      </c>
      <c r="C904" s="80" t="s">
        <v>2652</v>
      </c>
      <c r="D904" s="80" t="s">
        <v>2647</v>
      </c>
      <c r="E904" s="80" t="s">
        <v>2643</v>
      </c>
      <c r="F904" s="80" t="s">
        <v>2372</v>
      </c>
      <c r="G904" s="80" t="s">
        <v>2693</v>
      </c>
      <c r="H904" s="79">
        <v>16</v>
      </c>
      <c r="I904" s="79">
        <v>1236.8</v>
      </c>
      <c r="J904" s="79">
        <v>19788.8</v>
      </c>
    </row>
    <row r="905" spans="1:10" ht="15" thickBot="1">
      <c r="A905" s="98">
        <v>45140</v>
      </c>
      <c r="B905" s="80" t="s">
        <v>2681</v>
      </c>
      <c r="C905" s="80" t="s">
        <v>2652</v>
      </c>
      <c r="D905" s="80" t="s">
        <v>2647</v>
      </c>
      <c r="E905" s="80" t="s">
        <v>2643</v>
      </c>
      <c r="F905" s="80" t="s">
        <v>2370</v>
      </c>
      <c r="G905" s="80" t="s">
        <v>1336</v>
      </c>
      <c r="H905" s="79">
        <v>17</v>
      </c>
      <c r="I905" s="79">
        <v>1248.03</v>
      </c>
      <c r="J905" s="79">
        <v>21216.51</v>
      </c>
    </row>
    <row r="906" spans="1:10" ht="15" thickBot="1">
      <c r="A906" s="98">
        <v>44991</v>
      </c>
      <c r="B906" s="80" t="s">
        <v>2686</v>
      </c>
      <c r="C906" s="80" t="s">
        <v>2659</v>
      </c>
      <c r="D906" s="80" t="s">
        <v>2647</v>
      </c>
      <c r="E906" s="80" t="s">
        <v>2643</v>
      </c>
      <c r="F906" s="80" t="s">
        <v>2374</v>
      </c>
      <c r="G906" s="80" t="s">
        <v>2692</v>
      </c>
      <c r="H906" s="79">
        <v>16</v>
      </c>
      <c r="I906" s="79">
        <v>665.83</v>
      </c>
      <c r="J906" s="79">
        <v>10653.28</v>
      </c>
    </row>
    <row r="907" spans="1:10" ht="15" thickBot="1">
      <c r="A907" s="98">
        <v>45082</v>
      </c>
      <c r="B907" s="80" t="s">
        <v>2678</v>
      </c>
      <c r="C907" s="80" t="s">
        <v>2393</v>
      </c>
      <c r="D907" s="80" t="s">
        <v>2644</v>
      </c>
      <c r="E907" s="80" t="s">
        <v>2641</v>
      </c>
      <c r="F907" s="80" t="s">
        <v>2370</v>
      </c>
      <c r="G907" s="80" t="s">
        <v>2701</v>
      </c>
      <c r="H907" s="79">
        <v>16</v>
      </c>
      <c r="I907" s="79">
        <v>615.70000000000005</v>
      </c>
      <c r="J907" s="79">
        <v>9851.2000000000007</v>
      </c>
    </row>
    <row r="908" spans="1:10" ht="15" thickBot="1">
      <c r="A908" s="98" t="s">
        <v>2668</v>
      </c>
      <c r="B908" s="80" t="s">
        <v>2684</v>
      </c>
      <c r="C908" s="80" t="s">
        <v>2655</v>
      </c>
      <c r="D908" s="80" t="s">
        <v>2645</v>
      </c>
      <c r="E908" s="80" t="s">
        <v>2642</v>
      </c>
      <c r="F908" s="80" t="s">
        <v>2374</v>
      </c>
      <c r="G908" s="80" t="s">
        <v>2704</v>
      </c>
      <c r="H908" s="79">
        <v>13</v>
      </c>
      <c r="I908" s="79">
        <v>3616.99</v>
      </c>
      <c r="J908" s="79">
        <v>47020.87</v>
      </c>
    </row>
    <row r="909" spans="1:10" ht="15" thickBot="1">
      <c r="A909" s="98">
        <v>45144</v>
      </c>
      <c r="B909" s="80" t="s">
        <v>2687</v>
      </c>
      <c r="C909" s="80" t="s">
        <v>2651</v>
      </c>
      <c r="D909" s="80" t="s">
        <v>2646</v>
      </c>
      <c r="E909" s="80" t="s">
        <v>2642</v>
      </c>
      <c r="F909" s="80" t="s">
        <v>2372</v>
      </c>
      <c r="G909" s="80" t="s">
        <v>2693</v>
      </c>
      <c r="H909" s="79">
        <v>9</v>
      </c>
      <c r="I909" s="79">
        <v>1940.11</v>
      </c>
      <c r="J909" s="79">
        <v>17460.990000000002</v>
      </c>
    </row>
    <row r="910" spans="1:10" ht="15" thickBot="1">
      <c r="A910" s="98" t="s">
        <v>2552</v>
      </c>
      <c r="B910" s="80" t="s">
        <v>2685</v>
      </c>
      <c r="C910" s="80" t="s">
        <v>2651</v>
      </c>
      <c r="D910" s="80" t="s">
        <v>2646</v>
      </c>
      <c r="E910" s="80" t="s">
        <v>2642</v>
      </c>
      <c r="F910" s="80" t="s">
        <v>2370</v>
      </c>
      <c r="G910" s="80" t="s">
        <v>1336</v>
      </c>
      <c r="H910" s="79">
        <v>16</v>
      </c>
      <c r="I910" s="79">
        <v>1064.93</v>
      </c>
      <c r="J910" s="79">
        <v>17038.88</v>
      </c>
    </row>
    <row r="911" spans="1:10" ht="15" thickBot="1">
      <c r="A911" s="98">
        <v>45232</v>
      </c>
      <c r="B911" s="80" t="s">
        <v>2685</v>
      </c>
      <c r="C911" s="80" t="s">
        <v>2392</v>
      </c>
      <c r="D911" s="80" t="s">
        <v>2644</v>
      </c>
      <c r="E911" s="80" t="s">
        <v>2641</v>
      </c>
      <c r="F911" s="80" t="s">
        <v>2372</v>
      </c>
      <c r="G911" s="80" t="s">
        <v>2699</v>
      </c>
      <c r="H911" s="79">
        <v>2</v>
      </c>
      <c r="I911" s="79">
        <v>4845.74</v>
      </c>
      <c r="J911" s="79">
        <v>9691.48</v>
      </c>
    </row>
    <row r="912" spans="1:10" ht="15" thickBot="1">
      <c r="A912" s="98" t="s">
        <v>2596</v>
      </c>
      <c r="B912" s="80" t="s">
        <v>2681</v>
      </c>
      <c r="C912" s="80" t="s">
        <v>2649</v>
      </c>
      <c r="D912" s="80" t="s">
        <v>2645</v>
      </c>
      <c r="E912" s="80" t="s">
        <v>2642</v>
      </c>
      <c r="F912" s="80" t="s">
        <v>2661</v>
      </c>
      <c r="G912" s="80" t="s">
        <v>2698</v>
      </c>
      <c r="H912" s="79">
        <v>3</v>
      </c>
      <c r="I912" s="79">
        <v>4766.28</v>
      </c>
      <c r="J912" s="79">
        <v>14298.84</v>
      </c>
    </row>
    <row r="913" spans="1:10" ht="15" thickBot="1">
      <c r="A913" s="98">
        <v>45233</v>
      </c>
      <c r="B913" s="80" t="s">
        <v>2679</v>
      </c>
      <c r="C913" s="80" t="s">
        <v>2652</v>
      </c>
      <c r="D913" s="80" t="s">
        <v>2647</v>
      </c>
      <c r="E913" s="80" t="s">
        <v>2643</v>
      </c>
      <c r="F913" s="80" t="s">
        <v>2372</v>
      </c>
      <c r="G913" s="80" t="s">
        <v>2699</v>
      </c>
      <c r="H913" s="79">
        <v>15</v>
      </c>
      <c r="I913" s="79">
        <v>3946.23</v>
      </c>
      <c r="J913" s="79">
        <v>59193.45</v>
      </c>
    </row>
    <row r="914" spans="1:10" ht="15" thickBot="1">
      <c r="A914" s="98">
        <v>45145</v>
      </c>
      <c r="B914" s="80" t="s">
        <v>2684</v>
      </c>
      <c r="C914" s="80" t="s">
        <v>2656</v>
      </c>
      <c r="D914" s="80" t="s">
        <v>2648</v>
      </c>
      <c r="E914" s="80" t="s">
        <v>2641</v>
      </c>
      <c r="F914" s="80" t="s">
        <v>2372</v>
      </c>
      <c r="G914" s="80" t="s">
        <v>2693</v>
      </c>
      <c r="H914" s="79">
        <v>12</v>
      </c>
      <c r="I914" s="79">
        <v>1804.27</v>
      </c>
      <c r="J914" s="79">
        <v>21651.24</v>
      </c>
    </row>
    <row r="915" spans="1:10" ht="15" thickBot="1">
      <c r="A915" s="98" t="s">
        <v>2557</v>
      </c>
      <c r="B915" s="80" t="s">
        <v>2682</v>
      </c>
      <c r="C915" s="80" t="s">
        <v>2653</v>
      </c>
      <c r="D915" s="80" t="s">
        <v>2644</v>
      </c>
      <c r="E915" s="80" t="s">
        <v>2641</v>
      </c>
      <c r="F915" s="80" t="s">
        <v>2370</v>
      </c>
      <c r="G915" s="80" t="s">
        <v>1335</v>
      </c>
      <c r="H915" s="79">
        <v>3</v>
      </c>
      <c r="I915" s="79">
        <v>2055.4499999999998</v>
      </c>
      <c r="J915" s="79">
        <v>6166.35</v>
      </c>
    </row>
    <row r="916" spans="1:10" ht="15" thickBot="1">
      <c r="A916" s="98">
        <v>45056</v>
      </c>
      <c r="B916" s="80" t="s">
        <v>2682</v>
      </c>
      <c r="C916" s="80" t="s">
        <v>2652</v>
      </c>
      <c r="D916" s="80" t="s">
        <v>2647</v>
      </c>
      <c r="E916" s="80" t="s">
        <v>2643</v>
      </c>
      <c r="F916" s="80" t="s">
        <v>2373</v>
      </c>
      <c r="G916" s="80" t="s">
        <v>2697</v>
      </c>
      <c r="H916" s="79">
        <v>5</v>
      </c>
      <c r="I916" s="79">
        <v>1568.68</v>
      </c>
      <c r="J916" s="79">
        <v>7843.4</v>
      </c>
    </row>
    <row r="917" spans="1:10" ht="15" thickBot="1">
      <c r="A917" s="98" t="s">
        <v>2536</v>
      </c>
      <c r="B917" s="80" t="s">
        <v>2683</v>
      </c>
      <c r="C917" s="80" t="s">
        <v>2649</v>
      </c>
      <c r="D917" s="80" t="s">
        <v>2645</v>
      </c>
      <c r="E917" s="80" t="s">
        <v>2642</v>
      </c>
      <c r="F917" s="80" t="s">
        <v>2373</v>
      </c>
      <c r="G917" s="80" t="s">
        <v>2703</v>
      </c>
      <c r="H917" s="79">
        <v>16</v>
      </c>
      <c r="I917" s="79">
        <v>2288.6799999999998</v>
      </c>
      <c r="J917" s="79">
        <v>36618.879999999997</v>
      </c>
    </row>
    <row r="918" spans="1:10" ht="15" thickBot="1">
      <c r="A918" s="98">
        <v>45113</v>
      </c>
      <c r="B918" s="80" t="s">
        <v>2686</v>
      </c>
      <c r="C918" s="80" t="s">
        <v>2651</v>
      </c>
      <c r="D918" s="80" t="s">
        <v>2646</v>
      </c>
      <c r="E918" s="80" t="s">
        <v>2642</v>
      </c>
      <c r="F918" s="80" t="s">
        <v>2373</v>
      </c>
      <c r="G918" s="80" t="s">
        <v>2705</v>
      </c>
      <c r="H918" s="79">
        <v>12</v>
      </c>
      <c r="I918" s="79">
        <v>2133.0500000000002</v>
      </c>
      <c r="J918" s="79">
        <v>25596.6</v>
      </c>
    </row>
    <row r="919" spans="1:10" ht="15" thickBot="1">
      <c r="A919" s="98">
        <v>45050</v>
      </c>
      <c r="B919" s="80" t="s">
        <v>2686</v>
      </c>
      <c r="C919" s="80" t="s">
        <v>2393</v>
      </c>
      <c r="D919" s="80" t="s">
        <v>2644</v>
      </c>
      <c r="E919" s="80" t="s">
        <v>2641</v>
      </c>
      <c r="F919" s="80" t="s">
        <v>2661</v>
      </c>
      <c r="G919" s="80" t="s">
        <v>2696</v>
      </c>
      <c r="H919" s="79">
        <v>4</v>
      </c>
      <c r="I919" s="79">
        <v>1208.42</v>
      </c>
      <c r="J919" s="79">
        <v>4833.68</v>
      </c>
    </row>
    <row r="920" spans="1:10" ht="15" thickBot="1">
      <c r="A920" s="98">
        <v>45175</v>
      </c>
      <c r="B920" s="80" t="s">
        <v>2686</v>
      </c>
      <c r="C920" s="80" t="s">
        <v>2660</v>
      </c>
      <c r="D920" s="80" t="s">
        <v>2647</v>
      </c>
      <c r="E920" s="80" t="s">
        <v>2643</v>
      </c>
      <c r="F920" s="80" t="s">
        <v>2374</v>
      </c>
      <c r="G920" s="80" t="s">
        <v>2689</v>
      </c>
      <c r="H920" s="79">
        <v>14</v>
      </c>
      <c r="I920" s="79">
        <v>630.45000000000005</v>
      </c>
      <c r="J920" s="79">
        <v>8826.2999999999993</v>
      </c>
    </row>
    <row r="921" spans="1:10" ht="15" thickBot="1">
      <c r="A921" s="98" t="s">
        <v>2615</v>
      </c>
      <c r="B921" s="80" t="s">
        <v>2682</v>
      </c>
      <c r="C921" s="80" t="s">
        <v>2653</v>
      </c>
      <c r="D921" s="80" t="s">
        <v>2644</v>
      </c>
      <c r="E921" s="80" t="s">
        <v>2641</v>
      </c>
      <c r="F921" s="80" t="s">
        <v>2372</v>
      </c>
      <c r="G921" s="80" t="s">
        <v>2690</v>
      </c>
      <c r="H921" s="79">
        <v>14</v>
      </c>
      <c r="I921" s="79">
        <v>2713.47</v>
      </c>
      <c r="J921" s="79">
        <v>37988.58</v>
      </c>
    </row>
    <row r="922" spans="1:10" ht="15" thickBot="1">
      <c r="A922" s="98">
        <v>45173</v>
      </c>
      <c r="B922" s="80" t="s">
        <v>2678</v>
      </c>
      <c r="C922" s="80" t="s">
        <v>2660</v>
      </c>
      <c r="D922" s="80" t="s">
        <v>2647</v>
      </c>
      <c r="E922" s="80" t="s">
        <v>2643</v>
      </c>
      <c r="F922" s="80" t="s">
        <v>2373</v>
      </c>
      <c r="G922" s="80" t="s">
        <v>2705</v>
      </c>
      <c r="H922" s="79">
        <v>7</v>
      </c>
      <c r="I922" s="79">
        <v>3273.61</v>
      </c>
      <c r="J922" s="79">
        <v>22915.27</v>
      </c>
    </row>
    <row r="923" spans="1:10" ht="15" thickBot="1">
      <c r="A923" s="98" t="s">
        <v>2458</v>
      </c>
      <c r="B923" s="80" t="s">
        <v>2682</v>
      </c>
      <c r="C923" s="80" t="s">
        <v>2393</v>
      </c>
      <c r="D923" s="80" t="s">
        <v>2644</v>
      </c>
      <c r="E923" s="80" t="s">
        <v>2641</v>
      </c>
      <c r="F923" s="80" t="s">
        <v>2372</v>
      </c>
      <c r="G923" s="80" t="s">
        <v>2694</v>
      </c>
      <c r="H923" s="79">
        <v>9</v>
      </c>
      <c r="I923" s="79">
        <v>566.91999999999996</v>
      </c>
      <c r="J923" s="79">
        <v>5102.28</v>
      </c>
    </row>
    <row r="924" spans="1:10" ht="15" thickBot="1">
      <c r="A924" s="98" t="s">
        <v>2511</v>
      </c>
      <c r="B924" s="80" t="s">
        <v>2685</v>
      </c>
      <c r="C924" s="80" t="s">
        <v>2649</v>
      </c>
      <c r="D924" s="80" t="s">
        <v>2645</v>
      </c>
      <c r="E924" s="80" t="s">
        <v>2642</v>
      </c>
      <c r="F924" s="80" t="s">
        <v>2370</v>
      </c>
      <c r="G924" s="80" t="s">
        <v>1336</v>
      </c>
      <c r="H924" s="79">
        <v>2</v>
      </c>
      <c r="I924" s="79">
        <v>3830.39</v>
      </c>
      <c r="J924" s="79">
        <v>7660.78</v>
      </c>
    </row>
    <row r="925" spans="1:10" ht="15" thickBot="1">
      <c r="A925" s="98" t="s">
        <v>2437</v>
      </c>
      <c r="B925" s="80" t="s">
        <v>2681</v>
      </c>
      <c r="C925" s="80" t="s">
        <v>2393</v>
      </c>
      <c r="D925" s="80" t="s">
        <v>2644</v>
      </c>
      <c r="E925" s="80" t="s">
        <v>2641</v>
      </c>
      <c r="F925" s="80" t="s">
        <v>2370</v>
      </c>
      <c r="G925" s="80" t="s">
        <v>2701</v>
      </c>
      <c r="H925" s="79">
        <v>7</v>
      </c>
      <c r="I925" s="79">
        <v>4456.5</v>
      </c>
      <c r="J925" s="79">
        <v>31195.5</v>
      </c>
    </row>
    <row r="926" spans="1:10" ht="15" thickBot="1">
      <c r="A926" s="98" t="s">
        <v>2464</v>
      </c>
      <c r="B926" s="80" t="s">
        <v>2678</v>
      </c>
      <c r="C926" s="80" t="s">
        <v>2650</v>
      </c>
      <c r="D926" s="80" t="s">
        <v>2646</v>
      </c>
      <c r="E926" s="80" t="s">
        <v>2642</v>
      </c>
      <c r="F926" s="80" t="s">
        <v>2374</v>
      </c>
      <c r="G926" s="80" t="s">
        <v>2700</v>
      </c>
      <c r="H926" s="79">
        <v>15</v>
      </c>
      <c r="I926" s="79">
        <v>202.66</v>
      </c>
      <c r="J926" s="79">
        <v>3039.9</v>
      </c>
    </row>
    <row r="927" spans="1:10" ht="15" thickBot="1">
      <c r="A927" s="98" t="s">
        <v>2552</v>
      </c>
      <c r="B927" s="80" t="s">
        <v>2685</v>
      </c>
      <c r="C927" s="80" t="s">
        <v>2653</v>
      </c>
      <c r="D927" s="80" t="s">
        <v>2644</v>
      </c>
      <c r="E927" s="80" t="s">
        <v>2641</v>
      </c>
      <c r="F927" s="80" t="s">
        <v>2372</v>
      </c>
      <c r="G927" s="80" t="s">
        <v>2693</v>
      </c>
      <c r="H927" s="79">
        <v>10</v>
      </c>
      <c r="I927" s="79">
        <v>1018.19</v>
      </c>
      <c r="J927" s="79">
        <v>10181.9</v>
      </c>
    </row>
    <row r="928" spans="1:10" ht="15" thickBot="1">
      <c r="A928" s="98">
        <v>45050</v>
      </c>
      <c r="B928" s="80" t="s">
        <v>2678</v>
      </c>
      <c r="C928" s="80" t="s">
        <v>2656</v>
      </c>
      <c r="D928" s="80" t="s">
        <v>2648</v>
      </c>
      <c r="E928" s="80" t="s">
        <v>2641</v>
      </c>
      <c r="F928" s="80" t="s">
        <v>2372</v>
      </c>
      <c r="G928" s="80" t="s">
        <v>2693</v>
      </c>
      <c r="H928" s="79">
        <v>4</v>
      </c>
      <c r="I928" s="79">
        <v>3300.36</v>
      </c>
      <c r="J928" s="79">
        <v>13201.44</v>
      </c>
    </row>
    <row r="929" spans="1:10" ht="15" thickBot="1">
      <c r="A929" s="98" t="s">
        <v>2516</v>
      </c>
      <c r="B929" s="80" t="s">
        <v>2679</v>
      </c>
      <c r="C929" s="80" t="s">
        <v>2652</v>
      </c>
      <c r="D929" s="80" t="s">
        <v>2647</v>
      </c>
      <c r="E929" s="80" t="s">
        <v>2643</v>
      </c>
      <c r="F929" s="80" t="s">
        <v>2372</v>
      </c>
      <c r="G929" s="80" t="s">
        <v>2693</v>
      </c>
      <c r="H929" s="79">
        <v>12</v>
      </c>
      <c r="I929" s="79">
        <v>957.01</v>
      </c>
      <c r="J929" s="79">
        <v>11484.12</v>
      </c>
    </row>
    <row r="930" spans="1:10" ht="15" thickBot="1">
      <c r="A930" s="98" t="s">
        <v>2487</v>
      </c>
      <c r="B930" s="80" t="s">
        <v>2679</v>
      </c>
      <c r="C930" s="80" t="s">
        <v>2650</v>
      </c>
      <c r="D930" s="80" t="s">
        <v>2646</v>
      </c>
      <c r="E930" s="80" t="s">
        <v>2642</v>
      </c>
      <c r="F930" s="80" t="s">
        <v>2661</v>
      </c>
      <c r="G930" s="80" t="s">
        <v>2695</v>
      </c>
      <c r="H930" s="79">
        <v>19</v>
      </c>
      <c r="I930" s="79">
        <v>1933.19</v>
      </c>
      <c r="J930" s="79">
        <v>36730.61</v>
      </c>
    </row>
    <row r="931" spans="1:10" ht="15" thickBot="1">
      <c r="A931" s="98" t="s">
        <v>2447</v>
      </c>
      <c r="B931" s="80" t="s">
        <v>2680</v>
      </c>
      <c r="C931" s="80" t="s">
        <v>2660</v>
      </c>
      <c r="D931" s="80" t="s">
        <v>2647</v>
      </c>
      <c r="E931" s="80" t="s">
        <v>2643</v>
      </c>
      <c r="F931" s="80" t="s">
        <v>2373</v>
      </c>
      <c r="G931" s="80" t="s">
        <v>2705</v>
      </c>
      <c r="H931" s="79">
        <v>15</v>
      </c>
      <c r="I931" s="79">
        <v>834.13</v>
      </c>
      <c r="J931" s="79">
        <v>12511.95</v>
      </c>
    </row>
    <row r="932" spans="1:10" ht="15" thickBot="1">
      <c r="A932" s="98" t="s">
        <v>2446</v>
      </c>
      <c r="B932" s="80" t="s">
        <v>2683</v>
      </c>
      <c r="C932" s="80" t="s">
        <v>2649</v>
      </c>
      <c r="D932" s="80" t="s">
        <v>2645</v>
      </c>
      <c r="E932" s="80" t="s">
        <v>2642</v>
      </c>
      <c r="F932" s="80" t="s">
        <v>2374</v>
      </c>
      <c r="G932" s="80" t="s">
        <v>2700</v>
      </c>
      <c r="H932" s="79">
        <v>18</v>
      </c>
      <c r="I932" s="79">
        <v>2535.8200000000002</v>
      </c>
      <c r="J932" s="79">
        <v>45644.76</v>
      </c>
    </row>
    <row r="933" spans="1:10" ht="15" thickBot="1">
      <c r="A933" s="98">
        <v>45202</v>
      </c>
      <c r="B933" s="80" t="s">
        <v>2679</v>
      </c>
      <c r="C933" s="80" t="s">
        <v>2650</v>
      </c>
      <c r="D933" s="80" t="s">
        <v>2646</v>
      </c>
      <c r="E933" s="80" t="s">
        <v>2642</v>
      </c>
      <c r="F933" s="80" t="s">
        <v>2661</v>
      </c>
      <c r="G933" s="80" t="s">
        <v>2698</v>
      </c>
      <c r="H933" s="79">
        <v>18</v>
      </c>
      <c r="I933" s="79">
        <v>2299.9299999999998</v>
      </c>
      <c r="J933" s="79">
        <v>41398.74</v>
      </c>
    </row>
    <row r="934" spans="1:10" ht="15" thickBot="1">
      <c r="A934" s="98" t="s">
        <v>2499</v>
      </c>
      <c r="B934" s="80" t="s">
        <v>2683</v>
      </c>
      <c r="C934" s="80" t="s">
        <v>2656</v>
      </c>
      <c r="D934" s="80" t="s">
        <v>2648</v>
      </c>
      <c r="E934" s="80" t="s">
        <v>2641</v>
      </c>
      <c r="F934" s="80" t="s">
        <v>2373</v>
      </c>
      <c r="G934" s="80" t="s">
        <v>2697</v>
      </c>
      <c r="H934" s="79">
        <v>5</v>
      </c>
      <c r="I934" s="79">
        <v>606.49</v>
      </c>
      <c r="J934" s="79">
        <v>3032.45</v>
      </c>
    </row>
    <row r="935" spans="1:10" ht="15" thickBot="1">
      <c r="A935" s="98" t="s">
        <v>2469</v>
      </c>
      <c r="B935" s="80" t="s">
        <v>2682</v>
      </c>
      <c r="C935" s="80" t="s">
        <v>2655</v>
      </c>
      <c r="D935" s="80" t="s">
        <v>2645</v>
      </c>
      <c r="E935" s="80" t="s">
        <v>2642</v>
      </c>
      <c r="F935" s="80" t="s">
        <v>2374</v>
      </c>
      <c r="G935" s="80" t="s">
        <v>2692</v>
      </c>
      <c r="H935" s="79">
        <v>6</v>
      </c>
      <c r="I935" s="79">
        <v>1919.03</v>
      </c>
      <c r="J935" s="79">
        <v>11514.18</v>
      </c>
    </row>
    <row r="936" spans="1:10" ht="15" thickBot="1">
      <c r="A936" s="98">
        <v>44963</v>
      </c>
      <c r="B936" s="80" t="s">
        <v>2678</v>
      </c>
      <c r="C936" s="80" t="s">
        <v>2655</v>
      </c>
      <c r="D936" s="80" t="s">
        <v>2645</v>
      </c>
      <c r="E936" s="80" t="s">
        <v>2642</v>
      </c>
      <c r="F936" s="80" t="s">
        <v>2374</v>
      </c>
      <c r="G936" s="80" t="s">
        <v>2700</v>
      </c>
      <c r="H936" s="79">
        <v>9</v>
      </c>
      <c r="I936" s="79">
        <v>662.41</v>
      </c>
      <c r="J936" s="79">
        <v>5961.69</v>
      </c>
    </row>
    <row r="937" spans="1:10" ht="15" thickBot="1">
      <c r="A937" s="98">
        <v>45170</v>
      </c>
      <c r="B937" s="80" t="s">
        <v>2687</v>
      </c>
      <c r="C937" s="80" t="s">
        <v>2651</v>
      </c>
      <c r="D937" s="80" t="s">
        <v>2646</v>
      </c>
      <c r="E937" s="80" t="s">
        <v>2642</v>
      </c>
      <c r="F937" s="80" t="s">
        <v>2374</v>
      </c>
      <c r="G937" s="80" t="s">
        <v>2704</v>
      </c>
      <c r="H937" s="79">
        <v>18</v>
      </c>
      <c r="I937" s="79">
        <v>970.52</v>
      </c>
      <c r="J937" s="79">
        <v>17469.36</v>
      </c>
    </row>
    <row r="938" spans="1:10" ht="15" thickBot="1">
      <c r="A938" s="98">
        <v>45056</v>
      </c>
      <c r="B938" s="80" t="s">
        <v>2686</v>
      </c>
      <c r="C938" s="80" t="s">
        <v>2652</v>
      </c>
      <c r="D938" s="80" t="s">
        <v>2647</v>
      </c>
      <c r="E938" s="80" t="s">
        <v>2643</v>
      </c>
      <c r="F938" s="80" t="s">
        <v>2370</v>
      </c>
      <c r="G938" s="80" t="s">
        <v>2701</v>
      </c>
      <c r="H938" s="79">
        <v>2</v>
      </c>
      <c r="I938" s="79">
        <v>4112.53</v>
      </c>
      <c r="J938" s="79">
        <v>8225.06</v>
      </c>
    </row>
    <row r="939" spans="1:10" ht="15" thickBot="1">
      <c r="A939" s="98">
        <v>45021</v>
      </c>
      <c r="B939" s="80" t="s">
        <v>2683</v>
      </c>
      <c r="C939" s="80" t="s">
        <v>2649</v>
      </c>
      <c r="D939" s="80" t="s">
        <v>2645</v>
      </c>
      <c r="E939" s="80" t="s">
        <v>2642</v>
      </c>
      <c r="F939" s="80" t="s">
        <v>2370</v>
      </c>
      <c r="G939" s="80" t="s">
        <v>2701</v>
      </c>
      <c r="H939" s="79">
        <v>4</v>
      </c>
      <c r="I939" s="79">
        <v>4968.93</v>
      </c>
      <c r="J939" s="79">
        <v>19875.72</v>
      </c>
    </row>
    <row r="940" spans="1:10" ht="15" thickBot="1">
      <c r="A940" s="98" t="s">
        <v>2639</v>
      </c>
      <c r="B940" s="80" t="s">
        <v>2684</v>
      </c>
      <c r="C940" s="80" t="s">
        <v>2658</v>
      </c>
      <c r="D940" s="80" t="s">
        <v>2645</v>
      </c>
      <c r="E940" s="80" t="s">
        <v>2642</v>
      </c>
      <c r="F940" s="80" t="s">
        <v>2372</v>
      </c>
      <c r="G940" s="80" t="s">
        <v>2694</v>
      </c>
      <c r="H940" s="79">
        <v>2</v>
      </c>
      <c r="I940" s="79">
        <v>339.56</v>
      </c>
      <c r="J940" s="79">
        <v>679.12</v>
      </c>
    </row>
    <row r="941" spans="1:10" ht="15" thickBot="1">
      <c r="A941" s="98" t="s">
        <v>2463</v>
      </c>
      <c r="B941" s="80" t="s">
        <v>2679</v>
      </c>
      <c r="C941" s="80" t="s">
        <v>2649</v>
      </c>
      <c r="D941" s="80" t="s">
        <v>2645</v>
      </c>
      <c r="E941" s="80" t="s">
        <v>2642</v>
      </c>
      <c r="F941" s="80" t="s">
        <v>2374</v>
      </c>
      <c r="G941" s="80" t="s">
        <v>2689</v>
      </c>
      <c r="H941" s="79">
        <v>3</v>
      </c>
      <c r="I941" s="79">
        <v>3853.05</v>
      </c>
      <c r="J941" s="79">
        <v>11559.15</v>
      </c>
    </row>
    <row r="942" spans="1:10" ht="15" thickBot="1">
      <c r="A942" s="98" t="s">
        <v>2470</v>
      </c>
      <c r="B942" s="80" t="s">
        <v>2680</v>
      </c>
      <c r="C942" s="80" t="s">
        <v>2660</v>
      </c>
      <c r="D942" s="80" t="s">
        <v>2647</v>
      </c>
      <c r="E942" s="80" t="s">
        <v>2643</v>
      </c>
      <c r="F942" s="80" t="s">
        <v>2372</v>
      </c>
      <c r="G942" s="80" t="s">
        <v>2690</v>
      </c>
      <c r="H942" s="79">
        <v>11</v>
      </c>
      <c r="I942" s="79">
        <v>2212.9</v>
      </c>
      <c r="J942" s="79">
        <v>24341.9</v>
      </c>
    </row>
    <row r="943" spans="1:10" ht="15" thickBot="1">
      <c r="A943" s="98">
        <v>45113</v>
      </c>
      <c r="B943" s="80" t="s">
        <v>2685</v>
      </c>
      <c r="C943" s="80" t="s">
        <v>2650</v>
      </c>
      <c r="D943" s="80" t="s">
        <v>2646</v>
      </c>
      <c r="E943" s="80" t="s">
        <v>2642</v>
      </c>
      <c r="F943" s="80" t="s">
        <v>2374</v>
      </c>
      <c r="G943" s="80" t="s">
        <v>2704</v>
      </c>
      <c r="H943" s="79">
        <v>18</v>
      </c>
      <c r="I943" s="79">
        <v>509.79</v>
      </c>
      <c r="J943" s="79">
        <v>9176.2199999999993</v>
      </c>
    </row>
    <row r="944" spans="1:10" ht="15" thickBot="1">
      <c r="A944" s="98">
        <v>45052</v>
      </c>
      <c r="B944" s="80" t="s">
        <v>2687</v>
      </c>
      <c r="C944" s="80" t="s">
        <v>2658</v>
      </c>
      <c r="D944" s="80" t="s">
        <v>2645</v>
      </c>
      <c r="E944" s="80" t="s">
        <v>2642</v>
      </c>
      <c r="F944" s="80" t="s">
        <v>2373</v>
      </c>
      <c r="G944" s="80" t="s">
        <v>2697</v>
      </c>
      <c r="H944" s="79">
        <v>16</v>
      </c>
      <c r="I944" s="79">
        <v>2724.77</v>
      </c>
      <c r="J944" s="79">
        <v>43596.32</v>
      </c>
    </row>
    <row r="945" spans="1:10" ht="15" thickBot="1">
      <c r="A945" s="98" t="s">
        <v>2594</v>
      </c>
      <c r="B945" s="80" t="s">
        <v>2686</v>
      </c>
      <c r="C945" s="80" t="s">
        <v>2653</v>
      </c>
      <c r="D945" s="80" t="s">
        <v>2644</v>
      </c>
      <c r="E945" s="80" t="s">
        <v>2641</v>
      </c>
      <c r="F945" s="80" t="s">
        <v>2372</v>
      </c>
      <c r="G945" s="80" t="s">
        <v>2693</v>
      </c>
      <c r="H945" s="79">
        <v>18</v>
      </c>
      <c r="I945" s="79">
        <v>4718.22</v>
      </c>
      <c r="J945" s="79">
        <v>84927.96</v>
      </c>
    </row>
    <row r="946" spans="1:10" ht="15" thickBot="1">
      <c r="A946" s="98" t="s">
        <v>2549</v>
      </c>
      <c r="B946" s="80" t="s">
        <v>2686</v>
      </c>
      <c r="C946" s="80" t="s">
        <v>2651</v>
      </c>
      <c r="D946" s="80" t="s">
        <v>2646</v>
      </c>
      <c r="E946" s="80" t="s">
        <v>2642</v>
      </c>
      <c r="F946" s="80" t="s">
        <v>2370</v>
      </c>
      <c r="G946" s="80" t="s">
        <v>2702</v>
      </c>
      <c r="H946" s="79">
        <v>9</v>
      </c>
      <c r="I946" s="79">
        <v>4811.76</v>
      </c>
      <c r="J946" s="79">
        <v>43305.84</v>
      </c>
    </row>
    <row r="947" spans="1:10" ht="15" thickBot="1">
      <c r="A947" s="98">
        <v>45108</v>
      </c>
      <c r="B947" s="80" t="s">
        <v>2678</v>
      </c>
      <c r="C947" s="80" t="s">
        <v>2650</v>
      </c>
      <c r="D947" s="80" t="s">
        <v>2646</v>
      </c>
      <c r="E947" s="80" t="s">
        <v>2642</v>
      </c>
      <c r="F947" s="80" t="s">
        <v>2373</v>
      </c>
      <c r="G947" s="80" t="s">
        <v>2705</v>
      </c>
      <c r="H947" s="79">
        <v>8</v>
      </c>
      <c r="I947" s="79">
        <v>4021.86</v>
      </c>
      <c r="J947" s="79">
        <v>32174.880000000001</v>
      </c>
    </row>
    <row r="948" spans="1:10" ht="15" thickBot="1">
      <c r="A948" s="98" t="s">
        <v>2489</v>
      </c>
      <c r="B948" s="80" t="s">
        <v>2687</v>
      </c>
      <c r="C948" s="80" t="s">
        <v>2649</v>
      </c>
      <c r="D948" s="80" t="s">
        <v>2645</v>
      </c>
      <c r="E948" s="80" t="s">
        <v>2642</v>
      </c>
      <c r="F948" s="80" t="s">
        <v>2373</v>
      </c>
      <c r="G948" s="80" t="s">
        <v>2697</v>
      </c>
      <c r="H948" s="79">
        <v>16</v>
      </c>
      <c r="I948" s="79">
        <v>4008.72</v>
      </c>
      <c r="J948" s="79">
        <v>64139.519999999997</v>
      </c>
    </row>
    <row r="949" spans="1:10" ht="15" thickBot="1">
      <c r="A949" s="98" t="s">
        <v>2673</v>
      </c>
      <c r="B949" s="80" t="s">
        <v>2678</v>
      </c>
      <c r="C949" s="80" t="s">
        <v>2396</v>
      </c>
      <c r="D949" s="80" t="s">
        <v>2648</v>
      </c>
      <c r="E949" s="80" t="s">
        <v>2641</v>
      </c>
      <c r="F949" s="80" t="s">
        <v>2373</v>
      </c>
      <c r="G949" s="80" t="s">
        <v>2705</v>
      </c>
      <c r="H949" s="79">
        <v>14</v>
      </c>
      <c r="I949" s="79">
        <v>4793.38</v>
      </c>
      <c r="J949" s="79">
        <v>67107.320000000007</v>
      </c>
    </row>
    <row r="950" spans="1:10" ht="15" thickBot="1">
      <c r="A950" s="98" t="s">
        <v>2638</v>
      </c>
      <c r="B950" s="80" t="s">
        <v>2683</v>
      </c>
      <c r="C950" s="80" t="s">
        <v>2659</v>
      </c>
      <c r="D950" s="80" t="s">
        <v>2647</v>
      </c>
      <c r="E950" s="80" t="s">
        <v>2643</v>
      </c>
      <c r="F950" s="80" t="s">
        <v>2373</v>
      </c>
      <c r="G950" s="80" t="s">
        <v>2703</v>
      </c>
      <c r="H950" s="79">
        <v>14</v>
      </c>
      <c r="I950" s="79">
        <v>4816.3900000000003</v>
      </c>
      <c r="J950" s="79">
        <v>67429.460000000006</v>
      </c>
    </row>
    <row r="951" spans="1:10" ht="15" thickBot="1">
      <c r="A951" s="98" t="s">
        <v>2608</v>
      </c>
      <c r="B951" s="80" t="s">
        <v>2682</v>
      </c>
      <c r="C951" s="80" t="s">
        <v>2657</v>
      </c>
      <c r="D951" s="80" t="s">
        <v>2648</v>
      </c>
      <c r="E951" s="80" t="s">
        <v>2641</v>
      </c>
      <c r="F951" s="80" t="s">
        <v>2373</v>
      </c>
      <c r="G951" s="80" t="s">
        <v>2688</v>
      </c>
      <c r="H951" s="79">
        <v>6</v>
      </c>
      <c r="I951" s="79">
        <v>4072.51</v>
      </c>
      <c r="J951" s="79">
        <v>24435.06</v>
      </c>
    </row>
    <row r="952" spans="1:10" ht="15" thickBot="1">
      <c r="A952" s="98">
        <v>45263</v>
      </c>
      <c r="B952" s="80" t="s">
        <v>2684</v>
      </c>
      <c r="C952" s="80" t="s">
        <v>2392</v>
      </c>
      <c r="D952" s="80" t="s">
        <v>2644</v>
      </c>
      <c r="E952" s="80" t="s">
        <v>2641</v>
      </c>
      <c r="F952" s="80" t="s">
        <v>2661</v>
      </c>
      <c r="G952" s="80" t="s">
        <v>2698</v>
      </c>
      <c r="H952" s="79">
        <v>2</v>
      </c>
      <c r="I952" s="79">
        <v>1269.81</v>
      </c>
      <c r="J952" s="79">
        <v>2539.62</v>
      </c>
    </row>
    <row r="953" spans="1:10" ht="15" thickBot="1">
      <c r="A953" s="98" t="s">
        <v>2615</v>
      </c>
      <c r="B953" s="80" t="s">
        <v>2685</v>
      </c>
      <c r="C953" s="80" t="s">
        <v>2657</v>
      </c>
      <c r="D953" s="80" t="s">
        <v>2648</v>
      </c>
      <c r="E953" s="80" t="s">
        <v>2641</v>
      </c>
      <c r="F953" s="80" t="s">
        <v>2661</v>
      </c>
      <c r="G953" s="80" t="s">
        <v>2696</v>
      </c>
      <c r="H953" s="79">
        <v>13</v>
      </c>
      <c r="I953" s="79">
        <v>3071.93</v>
      </c>
      <c r="J953" s="79">
        <v>39935.089999999997</v>
      </c>
    </row>
    <row r="954" spans="1:10" ht="15" thickBot="1">
      <c r="A954" s="98" t="s">
        <v>2507</v>
      </c>
      <c r="B954" s="80" t="s">
        <v>2681</v>
      </c>
      <c r="C954" s="80" t="s">
        <v>2656</v>
      </c>
      <c r="D954" s="80" t="s">
        <v>2648</v>
      </c>
      <c r="E954" s="80" t="s">
        <v>2641</v>
      </c>
      <c r="F954" s="80" t="s">
        <v>2372</v>
      </c>
      <c r="G954" s="80" t="s">
        <v>2690</v>
      </c>
      <c r="H954" s="79">
        <v>5</v>
      </c>
      <c r="I954" s="79">
        <v>4686.67</v>
      </c>
      <c r="J954" s="79">
        <v>23433.35</v>
      </c>
    </row>
    <row r="955" spans="1:10" ht="15" thickBot="1">
      <c r="A955" s="98" t="s">
        <v>2550</v>
      </c>
      <c r="B955" s="80" t="s">
        <v>2687</v>
      </c>
      <c r="C955" s="80" t="s">
        <v>2653</v>
      </c>
      <c r="D955" s="80" t="s">
        <v>2644</v>
      </c>
      <c r="E955" s="80" t="s">
        <v>2641</v>
      </c>
      <c r="F955" s="80" t="s">
        <v>2373</v>
      </c>
      <c r="G955" s="80" t="s">
        <v>2703</v>
      </c>
      <c r="H955" s="79">
        <v>5</v>
      </c>
      <c r="I955" s="79">
        <v>4504.17</v>
      </c>
      <c r="J955" s="79">
        <v>22520.85</v>
      </c>
    </row>
    <row r="956" spans="1:10" ht="15" thickBot="1">
      <c r="A956" s="98" t="s">
        <v>2631</v>
      </c>
      <c r="B956" s="80" t="s">
        <v>2678</v>
      </c>
      <c r="C956" s="80" t="s">
        <v>2658</v>
      </c>
      <c r="D956" s="80" t="s">
        <v>2645</v>
      </c>
      <c r="E956" s="80" t="s">
        <v>2642</v>
      </c>
      <c r="F956" s="80" t="s">
        <v>2373</v>
      </c>
      <c r="G956" s="80" t="s">
        <v>2688</v>
      </c>
      <c r="H956" s="79">
        <v>3</v>
      </c>
      <c r="I956" s="79">
        <v>559.70000000000005</v>
      </c>
      <c r="J956" s="79">
        <v>1679.1</v>
      </c>
    </row>
    <row r="957" spans="1:10" ht="15" thickBot="1">
      <c r="A957" s="98" t="s">
        <v>2450</v>
      </c>
      <c r="B957" s="80" t="s">
        <v>2680</v>
      </c>
      <c r="C957" s="80" t="s">
        <v>2649</v>
      </c>
      <c r="D957" s="80" t="s">
        <v>2645</v>
      </c>
      <c r="E957" s="80" t="s">
        <v>2642</v>
      </c>
      <c r="F957" s="80" t="s">
        <v>2661</v>
      </c>
      <c r="G957" s="80" t="s">
        <v>2695</v>
      </c>
      <c r="H957" s="79">
        <v>17</v>
      </c>
      <c r="I957" s="79">
        <v>1975.71</v>
      </c>
      <c r="J957" s="79">
        <v>33587.07</v>
      </c>
    </row>
    <row r="958" spans="1:10" ht="15" thickBot="1">
      <c r="A958" s="98">
        <v>45180</v>
      </c>
      <c r="B958" s="80" t="s">
        <v>2681</v>
      </c>
      <c r="C958" s="80" t="s">
        <v>2659</v>
      </c>
      <c r="D958" s="80" t="s">
        <v>2647</v>
      </c>
      <c r="E958" s="80" t="s">
        <v>2643</v>
      </c>
      <c r="F958" s="80" t="s">
        <v>2373</v>
      </c>
      <c r="G958" s="80" t="s">
        <v>2688</v>
      </c>
      <c r="H958" s="79">
        <v>8</v>
      </c>
      <c r="I958" s="79">
        <v>4175.5600000000004</v>
      </c>
      <c r="J958" s="79">
        <v>33404.480000000003</v>
      </c>
    </row>
    <row r="959" spans="1:10" ht="15" thickBot="1">
      <c r="A959" s="98" t="s">
        <v>2584</v>
      </c>
      <c r="B959" s="80" t="s">
        <v>2678</v>
      </c>
      <c r="C959" s="80" t="s">
        <v>2649</v>
      </c>
      <c r="D959" s="80" t="s">
        <v>2645</v>
      </c>
      <c r="E959" s="80" t="s">
        <v>2642</v>
      </c>
      <c r="F959" s="80" t="s">
        <v>2370</v>
      </c>
      <c r="G959" s="80" t="s">
        <v>2701</v>
      </c>
      <c r="H959" s="79">
        <v>14</v>
      </c>
      <c r="I959" s="79">
        <v>2535.08</v>
      </c>
      <c r="J959" s="79">
        <v>35491.120000000003</v>
      </c>
    </row>
    <row r="960" spans="1:10" ht="15" thickBot="1">
      <c r="A960" s="98">
        <v>45023</v>
      </c>
      <c r="B960" s="80" t="s">
        <v>2682</v>
      </c>
      <c r="C960" s="80" t="s">
        <v>2650</v>
      </c>
      <c r="D960" s="80" t="s">
        <v>2646</v>
      </c>
      <c r="E960" s="80" t="s">
        <v>2642</v>
      </c>
      <c r="F960" s="80" t="s">
        <v>2370</v>
      </c>
      <c r="G960" s="80" t="s">
        <v>1335</v>
      </c>
      <c r="H960" s="79">
        <v>14</v>
      </c>
      <c r="I960" s="79">
        <v>2161.65</v>
      </c>
      <c r="J960" s="79">
        <v>30263.1</v>
      </c>
    </row>
    <row r="961" spans="1:10" ht="15" thickBot="1">
      <c r="A961" s="98">
        <v>45087</v>
      </c>
      <c r="B961" s="80" t="s">
        <v>2682</v>
      </c>
      <c r="C961" s="80" t="s">
        <v>2659</v>
      </c>
      <c r="D961" s="80" t="s">
        <v>2647</v>
      </c>
      <c r="E961" s="80" t="s">
        <v>2643</v>
      </c>
      <c r="F961" s="80" t="s">
        <v>2370</v>
      </c>
      <c r="G961" s="80" t="s">
        <v>2702</v>
      </c>
      <c r="H961" s="79">
        <v>11</v>
      </c>
      <c r="I961" s="79">
        <v>3424.45</v>
      </c>
      <c r="J961" s="79">
        <v>37668.949999999997</v>
      </c>
    </row>
    <row r="962" spans="1:10" ht="15" thickBot="1">
      <c r="A962" s="98" t="s">
        <v>2524</v>
      </c>
      <c r="B962" s="80" t="s">
        <v>2684</v>
      </c>
      <c r="C962" s="80" t="s">
        <v>2657</v>
      </c>
      <c r="D962" s="80" t="s">
        <v>2648</v>
      </c>
      <c r="E962" s="80" t="s">
        <v>2641</v>
      </c>
      <c r="F962" s="80" t="s">
        <v>2661</v>
      </c>
      <c r="G962" s="80" t="s">
        <v>2691</v>
      </c>
      <c r="H962" s="79">
        <v>10</v>
      </c>
      <c r="I962" s="79">
        <v>1167.21</v>
      </c>
      <c r="J962" s="79">
        <v>11672.1</v>
      </c>
    </row>
    <row r="963" spans="1:10" ht="15" thickBot="1">
      <c r="A963" s="98" t="s">
        <v>2671</v>
      </c>
      <c r="B963" s="80" t="s">
        <v>2685</v>
      </c>
      <c r="C963" s="80" t="s">
        <v>2657</v>
      </c>
      <c r="D963" s="80" t="s">
        <v>2648</v>
      </c>
      <c r="E963" s="80" t="s">
        <v>2641</v>
      </c>
      <c r="F963" s="80" t="s">
        <v>2374</v>
      </c>
      <c r="G963" s="80" t="s">
        <v>2689</v>
      </c>
      <c r="H963" s="79">
        <v>7</v>
      </c>
      <c r="I963" s="79">
        <v>500.63</v>
      </c>
      <c r="J963" s="79">
        <v>3504.41</v>
      </c>
    </row>
    <row r="964" spans="1:10" ht="15" thickBot="1">
      <c r="A964" s="98">
        <v>45027</v>
      </c>
      <c r="B964" s="80" t="s">
        <v>2683</v>
      </c>
      <c r="C964" s="80" t="s">
        <v>2660</v>
      </c>
      <c r="D964" s="80" t="s">
        <v>2647</v>
      </c>
      <c r="E964" s="80" t="s">
        <v>2643</v>
      </c>
      <c r="F964" s="80" t="s">
        <v>2373</v>
      </c>
      <c r="G964" s="80" t="s">
        <v>2705</v>
      </c>
      <c r="H964" s="79">
        <v>10</v>
      </c>
      <c r="I964" s="79">
        <v>1050.8399999999999</v>
      </c>
      <c r="J964" s="79">
        <v>10508.4</v>
      </c>
    </row>
    <row r="965" spans="1:10" ht="15" thickBot="1">
      <c r="A965" s="98" t="s">
        <v>2596</v>
      </c>
      <c r="B965" s="80" t="s">
        <v>2687</v>
      </c>
      <c r="C965" s="80" t="s">
        <v>2655</v>
      </c>
      <c r="D965" s="80" t="s">
        <v>2645</v>
      </c>
      <c r="E965" s="80" t="s">
        <v>2642</v>
      </c>
      <c r="F965" s="80" t="s">
        <v>2373</v>
      </c>
      <c r="G965" s="80" t="s">
        <v>2703</v>
      </c>
      <c r="H965" s="79">
        <v>14</v>
      </c>
      <c r="I965" s="79">
        <v>3726.3</v>
      </c>
      <c r="J965" s="79">
        <v>52168.2</v>
      </c>
    </row>
    <row r="966" spans="1:10" ht="15" thickBot="1">
      <c r="A966" s="98" t="s">
        <v>2499</v>
      </c>
      <c r="B966" s="80" t="s">
        <v>2681</v>
      </c>
      <c r="C966" s="80" t="s">
        <v>2650</v>
      </c>
      <c r="D966" s="80" t="s">
        <v>2646</v>
      </c>
      <c r="E966" s="80" t="s">
        <v>2642</v>
      </c>
      <c r="F966" s="80" t="s">
        <v>2372</v>
      </c>
      <c r="G966" s="80" t="s">
        <v>2693</v>
      </c>
      <c r="H966" s="79">
        <v>10</v>
      </c>
      <c r="I966" s="79">
        <v>651.83000000000004</v>
      </c>
      <c r="J966" s="79">
        <v>6518.3</v>
      </c>
    </row>
    <row r="967" spans="1:10" ht="15" thickBot="1">
      <c r="A967" s="98" t="s">
        <v>2566</v>
      </c>
      <c r="B967" s="80" t="s">
        <v>2684</v>
      </c>
      <c r="C967" s="80" t="s">
        <v>2393</v>
      </c>
      <c r="D967" s="80" t="s">
        <v>2644</v>
      </c>
      <c r="E967" s="80" t="s">
        <v>2641</v>
      </c>
      <c r="F967" s="80" t="s">
        <v>2373</v>
      </c>
      <c r="G967" s="80" t="s">
        <v>2705</v>
      </c>
      <c r="H967" s="79">
        <v>4</v>
      </c>
      <c r="I967" s="79">
        <v>1077.23</v>
      </c>
      <c r="J967" s="79">
        <v>4308.92</v>
      </c>
    </row>
    <row r="968" spans="1:10" ht="15" thickBot="1">
      <c r="A968" s="98" t="s">
        <v>2570</v>
      </c>
      <c r="B968" s="80" t="s">
        <v>2687</v>
      </c>
      <c r="C968" s="80" t="s">
        <v>2660</v>
      </c>
      <c r="D968" s="80" t="s">
        <v>2647</v>
      </c>
      <c r="E968" s="80" t="s">
        <v>2643</v>
      </c>
      <c r="F968" s="80" t="s">
        <v>2370</v>
      </c>
      <c r="G968" s="80" t="s">
        <v>1336</v>
      </c>
      <c r="H968" s="79">
        <v>15</v>
      </c>
      <c r="I968" s="79">
        <v>4554.78</v>
      </c>
      <c r="J968" s="79">
        <v>68321.7</v>
      </c>
    </row>
    <row r="969" spans="1:10" ht="15" thickBot="1">
      <c r="A969" s="98" t="s">
        <v>2621</v>
      </c>
      <c r="B969" s="80" t="s">
        <v>2682</v>
      </c>
      <c r="C969" s="80" t="s">
        <v>2396</v>
      </c>
      <c r="D969" s="80" t="s">
        <v>2648</v>
      </c>
      <c r="E969" s="80" t="s">
        <v>2641</v>
      </c>
      <c r="F969" s="80" t="s">
        <v>2374</v>
      </c>
      <c r="G969" s="80" t="s">
        <v>2700</v>
      </c>
      <c r="H969" s="79">
        <v>19</v>
      </c>
      <c r="I969" s="79">
        <v>1003.13</v>
      </c>
      <c r="J969" s="79">
        <v>19059.47</v>
      </c>
    </row>
    <row r="970" spans="1:10" ht="15" thickBot="1">
      <c r="A970" s="98" t="s">
        <v>2572</v>
      </c>
      <c r="B970" s="80" t="s">
        <v>2678</v>
      </c>
      <c r="C970" s="80" t="s">
        <v>2655</v>
      </c>
      <c r="D970" s="80" t="s">
        <v>2645</v>
      </c>
      <c r="E970" s="80" t="s">
        <v>2642</v>
      </c>
      <c r="F970" s="80" t="s">
        <v>2661</v>
      </c>
      <c r="G970" s="80" t="s">
        <v>2695</v>
      </c>
      <c r="H970" s="79">
        <v>7</v>
      </c>
      <c r="I970" s="79">
        <v>3168.77</v>
      </c>
      <c r="J970" s="79">
        <v>22181.39</v>
      </c>
    </row>
    <row r="971" spans="1:10" ht="15" thickBot="1">
      <c r="A971" s="98" t="s">
        <v>2449</v>
      </c>
      <c r="B971" s="80" t="s">
        <v>2682</v>
      </c>
      <c r="C971" s="80" t="s">
        <v>2660</v>
      </c>
      <c r="D971" s="80" t="s">
        <v>2647</v>
      </c>
      <c r="E971" s="80" t="s">
        <v>2643</v>
      </c>
      <c r="F971" s="80" t="s">
        <v>2374</v>
      </c>
      <c r="G971" s="80" t="s">
        <v>2692</v>
      </c>
      <c r="H971" s="79">
        <v>19</v>
      </c>
      <c r="I971" s="79">
        <v>4528.95</v>
      </c>
      <c r="J971" s="79">
        <v>86050.05</v>
      </c>
    </row>
    <row r="972" spans="1:10" ht="15" thickBot="1">
      <c r="A972" s="98" t="s">
        <v>2567</v>
      </c>
      <c r="B972" s="80" t="s">
        <v>2680</v>
      </c>
      <c r="C972" s="80" t="s">
        <v>2655</v>
      </c>
      <c r="D972" s="80" t="s">
        <v>2645</v>
      </c>
      <c r="E972" s="80" t="s">
        <v>2642</v>
      </c>
      <c r="F972" s="80" t="s">
        <v>2370</v>
      </c>
      <c r="G972" s="80" t="s">
        <v>1336</v>
      </c>
      <c r="H972" s="79">
        <v>5</v>
      </c>
      <c r="I972" s="79">
        <v>2480.84</v>
      </c>
      <c r="J972" s="79">
        <v>12404.2</v>
      </c>
    </row>
    <row r="973" spans="1:10" ht="15" thickBot="1">
      <c r="A973" s="98">
        <v>45051</v>
      </c>
      <c r="B973" s="80" t="s">
        <v>2685</v>
      </c>
      <c r="C973" s="80" t="s">
        <v>2652</v>
      </c>
      <c r="D973" s="80" t="s">
        <v>2647</v>
      </c>
      <c r="E973" s="80" t="s">
        <v>2643</v>
      </c>
      <c r="F973" s="80" t="s">
        <v>2372</v>
      </c>
      <c r="G973" s="80" t="s">
        <v>2699</v>
      </c>
      <c r="H973" s="79">
        <v>11</v>
      </c>
      <c r="I973" s="79">
        <v>4740.79</v>
      </c>
      <c r="J973" s="79">
        <v>52148.69</v>
      </c>
    </row>
    <row r="974" spans="1:10" ht="15" thickBot="1">
      <c r="A974" s="98" t="s">
        <v>2485</v>
      </c>
      <c r="B974" s="80" t="s">
        <v>2683</v>
      </c>
      <c r="C974" s="80" t="s">
        <v>2652</v>
      </c>
      <c r="D974" s="80" t="s">
        <v>2647</v>
      </c>
      <c r="E974" s="80" t="s">
        <v>2643</v>
      </c>
      <c r="F974" s="80" t="s">
        <v>2661</v>
      </c>
      <c r="G974" s="80" t="s">
        <v>2691</v>
      </c>
      <c r="H974" s="79">
        <v>16</v>
      </c>
      <c r="I974" s="79">
        <v>2687.77</v>
      </c>
      <c r="J974" s="79">
        <v>43004.32</v>
      </c>
    </row>
    <row r="975" spans="1:10" ht="15" thickBot="1">
      <c r="A975" s="98">
        <v>45024</v>
      </c>
      <c r="B975" s="80" t="s">
        <v>2682</v>
      </c>
      <c r="C975" s="80" t="s">
        <v>2651</v>
      </c>
      <c r="D975" s="80" t="s">
        <v>2646</v>
      </c>
      <c r="E975" s="80" t="s">
        <v>2642</v>
      </c>
      <c r="F975" s="80" t="s">
        <v>2661</v>
      </c>
      <c r="G975" s="80" t="s">
        <v>2695</v>
      </c>
      <c r="H975" s="79">
        <v>15</v>
      </c>
      <c r="I975" s="79">
        <v>2472.8000000000002</v>
      </c>
      <c r="J975" s="79">
        <v>37092</v>
      </c>
    </row>
    <row r="976" spans="1:10" ht="15" thickBot="1">
      <c r="A976" s="98" t="s">
        <v>2444</v>
      </c>
      <c r="B976" s="80" t="s">
        <v>2687</v>
      </c>
      <c r="C976" s="80" t="s">
        <v>2652</v>
      </c>
      <c r="D976" s="80" t="s">
        <v>2647</v>
      </c>
      <c r="E976" s="80" t="s">
        <v>2643</v>
      </c>
      <c r="F976" s="80" t="s">
        <v>2373</v>
      </c>
      <c r="G976" s="80" t="s">
        <v>2688</v>
      </c>
      <c r="H976" s="79">
        <v>3</v>
      </c>
      <c r="I976" s="79">
        <v>3814.12</v>
      </c>
      <c r="J976" s="79">
        <v>11442.36</v>
      </c>
    </row>
    <row r="977" spans="1:10" ht="15" thickBot="1">
      <c r="A977" s="98" t="s">
        <v>2467</v>
      </c>
      <c r="B977" s="80" t="s">
        <v>2687</v>
      </c>
      <c r="C977" s="80" t="s">
        <v>2656</v>
      </c>
      <c r="D977" s="80" t="s">
        <v>2648</v>
      </c>
      <c r="E977" s="80" t="s">
        <v>2641</v>
      </c>
      <c r="F977" s="80" t="s">
        <v>2373</v>
      </c>
      <c r="G977" s="80" t="s">
        <v>2697</v>
      </c>
      <c r="H977" s="79">
        <v>1</v>
      </c>
      <c r="I977" s="79">
        <v>2333.7800000000002</v>
      </c>
      <c r="J977" s="79">
        <v>2333.7800000000002</v>
      </c>
    </row>
    <row r="978" spans="1:10" ht="15" thickBot="1">
      <c r="A978" s="98" t="s">
        <v>2489</v>
      </c>
      <c r="B978" s="80" t="s">
        <v>2681</v>
      </c>
      <c r="C978" s="80" t="s">
        <v>2653</v>
      </c>
      <c r="D978" s="80" t="s">
        <v>2644</v>
      </c>
      <c r="E978" s="80" t="s">
        <v>2641</v>
      </c>
      <c r="F978" s="80" t="s">
        <v>2661</v>
      </c>
      <c r="G978" s="80" t="s">
        <v>2691</v>
      </c>
      <c r="H978" s="79">
        <v>10</v>
      </c>
      <c r="I978" s="79">
        <v>2628.56</v>
      </c>
      <c r="J978" s="79">
        <v>26285.599999999999</v>
      </c>
    </row>
    <row r="979" spans="1:10" ht="15" thickBot="1">
      <c r="A979" s="98" t="s">
        <v>2474</v>
      </c>
      <c r="B979" s="80" t="s">
        <v>2680</v>
      </c>
      <c r="C979" s="80" t="s">
        <v>2651</v>
      </c>
      <c r="D979" s="80" t="s">
        <v>2646</v>
      </c>
      <c r="E979" s="80" t="s">
        <v>2642</v>
      </c>
      <c r="F979" s="80" t="s">
        <v>2370</v>
      </c>
      <c r="G979" s="80" t="s">
        <v>1335</v>
      </c>
      <c r="H979" s="79">
        <v>16</v>
      </c>
      <c r="I979" s="79">
        <v>284.02</v>
      </c>
      <c r="J979" s="79">
        <v>4544.32</v>
      </c>
    </row>
    <row r="980" spans="1:10" ht="15" thickBot="1">
      <c r="A980" s="98" t="s">
        <v>2503</v>
      </c>
      <c r="B980" s="80" t="s">
        <v>2684</v>
      </c>
      <c r="C980" s="80" t="s">
        <v>2658</v>
      </c>
      <c r="D980" s="80" t="s">
        <v>2645</v>
      </c>
      <c r="E980" s="80" t="s">
        <v>2642</v>
      </c>
      <c r="F980" s="80" t="s">
        <v>2661</v>
      </c>
      <c r="G980" s="80" t="s">
        <v>2695</v>
      </c>
      <c r="H980" s="79">
        <v>8</v>
      </c>
      <c r="I980" s="79">
        <v>1011.67</v>
      </c>
      <c r="J980" s="79">
        <v>8093.36</v>
      </c>
    </row>
    <row r="981" spans="1:10" ht="15" thickBot="1">
      <c r="A981" s="98">
        <v>45141</v>
      </c>
      <c r="B981" s="80" t="s">
        <v>2685</v>
      </c>
      <c r="C981" s="80" t="s">
        <v>2659</v>
      </c>
      <c r="D981" s="80" t="s">
        <v>2647</v>
      </c>
      <c r="E981" s="80" t="s">
        <v>2643</v>
      </c>
      <c r="F981" s="80" t="s">
        <v>2661</v>
      </c>
      <c r="G981" s="80" t="s">
        <v>2696</v>
      </c>
      <c r="H981" s="79">
        <v>6</v>
      </c>
      <c r="I981" s="79">
        <v>3918.07</v>
      </c>
      <c r="J981" s="79">
        <v>23508.42</v>
      </c>
    </row>
    <row r="982" spans="1:10" ht="15" thickBot="1">
      <c r="A982" s="98" t="s">
        <v>2557</v>
      </c>
      <c r="B982" s="80" t="s">
        <v>2684</v>
      </c>
      <c r="C982" s="80" t="s">
        <v>2649</v>
      </c>
      <c r="D982" s="80" t="s">
        <v>2645</v>
      </c>
      <c r="E982" s="80" t="s">
        <v>2642</v>
      </c>
      <c r="F982" s="80" t="s">
        <v>2372</v>
      </c>
      <c r="G982" s="80" t="s">
        <v>2694</v>
      </c>
      <c r="H982" s="79">
        <v>2</v>
      </c>
      <c r="I982" s="79">
        <v>3313.63</v>
      </c>
      <c r="J982" s="79">
        <v>6627.26</v>
      </c>
    </row>
    <row r="983" spans="1:10" ht="15" thickBot="1">
      <c r="A983" s="98" t="s">
        <v>2610</v>
      </c>
      <c r="B983" s="80" t="s">
        <v>2686</v>
      </c>
      <c r="C983" s="80" t="s">
        <v>2654</v>
      </c>
      <c r="D983" s="80" t="s">
        <v>2646</v>
      </c>
      <c r="E983" s="80" t="s">
        <v>2642</v>
      </c>
      <c r="F983" s="80" t="s">
        <v>2372</v>
      </c>
      <c r="G983" s="80" t="s">
        <v>2693</v>
      </c>
      <c r="H983" s="79">
        <v>18</v>
      </c>
      <c r="I983" s="79">
        <v>809.24</v>
      </c>
      <c r="J983" s="79">
        <v>14566.32</v>
      </c>
    </row>
    <row r="984" spans="1:10" ht="15" thickBot="1">
      <c r="A984" s="98" t="s">
        <v>2589</v>
      </c>
      <c r="B984" s="80" t="s">
        <v>2680</v>
      </c>
      <c r="C984" s="80" t="s">
        <v>2660</v>
      </c>
      <c r="D984" s="80" t="s">
        <v>2647</v>
      </c>
      <c r="E984" s="80" t="s">
        <v>2643</v>
      </c>
      <c r="F984" s="80" t="s">
        <v>2661</v>
      </c>
      <c r="G984" s="80" t="s">
        <v>2698</v>
      </c>
      <c r="H984" s="79">
        <v>2</v>
      </c>
      <c r="I984" s="79">
        <v>2338.61</v>
      </c>
      <c r="J984" s="79">
        <v>4677.22</v>
      </c>
    </row>
    <row r="985" spans="1:10" ht="15" thickBot="1">
      <c r="A985" s="98" t="s">
        <v>2500</v>
      </c>
      <c r="B985" s="80" t="s">
        <v>2687</v>
      </c>
      <c r="C985" s="80" t="s">
        <v>2655</v>
      </c>
      <c r="D985" s="80" t="s">
        <v>2645</v>
      </c>
      <c r="E985" s="80" t="s">
        <v>2642</v>
      </c>
      <c r="F985" s="80" t="s">
        <v>2661</v>
      </c>
      <c r="G985" s="80" t="s">
        <v>2698</v>
      </c>
      <c r="H985" s="79">
        <v>18</v>
      </c>
      <c r="I985" s="79">
        <v>2773.93</v>
      </c>
      <c r="J985" s="79">
        <v>49930.74</v>
      </c>
    </row>
    <row r="986" spans="1:10" ht="15" thickBot="1">
      <c r="A986" s="98">
        <v>45172</v>
      </c>
      <c r="B986" s="80" t="s">
        <v>2681</v>
      </c>
      <c r="C986" s="80" t="s">
        <v>2393</v>
      </c>
      <c r="D986" s="80" t="s">
        <v>2644</v>
      </c>
      <c r="E986" s="80" t="s">
        <v>2641</v>
      </c>
      <c r="F986" s="80" t="s">
        <v>2661</v>
      </c>
      <c r="G986" s="80" t="s">
        <v>2696</v>
      </c>
      <c r="H986" s="79">
        <v>15</v>
      </c>
      <c r="I986" s="79">
        <v>2540.06</v>
      </c>
      <c r="J986" s="79">
        <v>38100.9</v>
      </c>
    </row>
    <row r="987" spans="1:10" ht="15" thickBot="1">
      <c r="A987" s="98" t="s">
        <v>2621</v>
      </c>
      <c r="B987" s="80" t="s">
        <v>2678</v>
      </c>
      <c r="C987" s="80" t="s">
        <v>2659</v>
      </c>
      <c r="D987" s="80" t="s">
        <v>2647</v>
      </c>
      <c r="E987" s="80" t="s">
        <v>2643</v>
      </c>
      <c r="F987" s="80" t="s">
        <v>2372</v>
      </c>
      <c r="G987" s="80" t="s">
        <v>2690</v>
      </c>
      <c r="H987" s="79">
        <v>4</v>
      </c>
      <c r="I987" s="79">
        <v>1178.71</v>
      </c>
      <c r="J987" s="79">
        <v>4714.84</v>
      </c>
    </row>
    <row r="988" spans="1:10" ht="15" thickBot="1">
      <c r="A988" s="98" t="s">
        <v>2602</v>
      </c>
      <c r="B988" s="80" t="s">
        <v>2685</v>
      </c>
      <c r="C988" s="80" t="s">
        <v>2654</v>
      </c>
      <c r="D988" s="80" t="s">
        <v>2646</v>
      </c>
      <c r="E988" s="80" t="s">
        <v>2642</v>
      </c>
      <c r="F988" s="80" t="s">
        <v>2661</v>
      </c>
      <c r="G988" s="80" t="s">
        <v>2691</v>
      </c>
      <c r="H988" s="79">
        <v>4</v>
      </c>
      <c r="I988" s="79">
        <v>4724.33</v>
      </c>
      <c r="J988" s="79">
        <v>18897.32</v>
      </c>
    </row>
    <row r="989" spans="1:10" ht="15" thickBot="1">
      <c r="A989" s="98" t="s">
        <v>2576</v>
      </c>
      <c r="B989" s="80" t="s">
        <v>2685</v>
      </c>
      <c r="C989" s="80" t="s">
        <v>2652</v>
      </c>
      <c r="D989" s="80" t="s">
        <v>2647</v>
      </c>
      <c r="E989" s="80" t="s">
        <v>2643</v>
      </c>
      <c r="F989" s="80" t="s">
        <v>2370</v>
      </c>
      <c r="G989" s="80" t="s">
        <v>2701</v>
      </c>
      <c r="H989" s="79">
        <v>7</v>
      </c>
      <c r="I989" s="79">
        <v>3481</v>
      </c>
      <c r="J989" s="79">
        <v>24367</v>
      </c>
    </row>
    <row r="990" spans="1:10" ht="15" thickBot="1">
      <c r="A990" s="98" t="s">
        <v>2553</v>
      </c>
      <c r="B990" s="80" t="s">
        <v>2687</v>
      </c>
      <c r="C990" s="80" t="s">
        <v>2656</v>
      </c>
      <c r="D990" s="80" t="s">
        <v>2648</v>
      </c>
      <c r="E990" s="80" t="s">
        <v>2641</v>
      </c>
      <c r="F990" s="80" t="s">
        <v>2373</v>
      </c>
      <c r="G990" s="80" t="s">
        <v>2688</v>
      </c>
      <c r="H990" s="79">
        <v>16</v>
      </c>
      <c r="I990" s="79">
        <v>4608.55</v>
      </c>
      <c r="J990" s="79">
        <v>73736.800000000003</v>
      </c>
    </row>
    <row r="991" spans="1:10" ht="15" thickBot="1">
      <c r="A991" s="98" t="s">
        <v>2595</v>
      </c>
      <c r="B991" s="80" t="s">
        <v>2686</v>
      </c>
      <c r="C991" s="80" t="s">
        <v>2393</v>
      </c>
      <c r="D991" s="80" t="s">
        <v>2644</v>
      </c>
      <c r="E991" s="80" t="s">
        <v>2641</v>
      </c>
      <c r="F991" s="80" t="s">
        <v>2370</v>
      </c>
      <c r="G991" s="80" t="s">
        <v>2702</v>
      </c>
      <c r="H991" s="79">
        <v>10</v>
      </c>
      <c r="I991" s="79">
        <v>2336.88</v>
      </c>
      <c r="J991" s="79">
        <v>23368.799999999999</v>
      </c>
    </row>
    <row r="992" spans="1:10" ht="15" thickBot="1">
      <c r="A992" s="98" t="s">
        <v>2547</v>
      </c>
      <c r="B992" s="80" t="s">
        <v>2678</v>
      </c>
      <c r="C992" s="80" t="s">
        <v>2650</v>
      </c>
      <c r="D992" s="80" t="s">
        <v>2646</v>
      </c>
      <c r="E992" s="80" t="s">
        <v>2642</v>
      </c>
      <c r="F992" s="80" t="s">
        <v>2374</v>
      </c>
      <c r="G992" s="80" t="s">
        <v>2704</v>
      </c>
      <c r="H992" s="79">
        <v>1</v>
      </c>
      <c r="I992" s="79">
        <v>2993.55</v>
      </c>
      <c r="J992" s="79">
        <v>2993.55</v>
      </c>
    </row>
    <row r="993" spans="1:10" ht="15" thickBot="1">
      <c r="A993" s="98" t="s">
        <v>2674</v>
      </c>
      <c r="B993" s="80" t="s">
        <v>2684</v>
      </c>
      <c r="C993" s="80" t="s">
        <v>2651</v>
      </c>
      <c r="D993" s="80" t="s">
        <v>2646</v>
      </c>
      <c r="E993" s="80" t="s">
        <v>2642</v>
      </c>
      <c r="F993" s="80" t="s">
        <v>2372</v>
      </c>
      <c r="G993" s="80" t="s">
        <v>2694</v>
      </c>
      <c r="H993" s="79">
        <v>19</v>
      </c>
      <c r="I993" s="79">
        <v>4080.77</v>
      </c>
      <c r="J993" s="79">
        <v>77534.63</v>
      </c>
    </row>
    <row r="994" spans="1:10" ht="15" thickBot="1">
      <c r="A994" s="98" t="s">
        <v>2635</v>
      </c>
      <c r="B994" s="80" t="s">
        <v>2679</v>
      </c>
      <c r="C994" s="80" t="s">
        <v>2655</v>
      </c>
      <c r="D994" s="80" t="s">
        <v>2645</v>
      </c>
      <c r="E994" s="80" t="s">
        <v>2642</v>
      </c>
      <c r="F994" s="80" t="s">
        <v>2372</v>
      </c>
      <c r="G994" s="80" t="s">
        <v>2699</v>
      </c>
      <c r="H994" s="79">
        <v>4</v>
      </c>
      <c r="I994" s="79">
        <v>3659.61</v>
      </c>
      <c r="J994" s="79">
        <v>14638.44</v>
      </c>
    </row>
    <row r="995" spans="1:10" ht="15" thickBot="1">
      <c r="A995" s="98">
        <v>45109</v>
      </c>
      <c r="B995" s="80" t="s">
        <v>2682</v>
      </c>
      <c r="C995" s="80" t="s">
        <v>2652</v>
      </c>
      <c r="D995" s="80" t="s">
        <v>2647</v>
      </c>
      <c r="E995" s="80" t="s">
        <v>2643</v>
      </c>
      <c r="F995" s="80" t="s">
        <v>2372</v>
      </c>
      <c r="G995" s="80" t="s">
        <v>2699</v>
      </c>
      <c r="H995" s="79">
        <v>12</v>
      </c>
      <c r="I995" s="79">
        <v>1819.46</v>
      </c>
      <c r="J995" s="79">
        <v>21833.52</v>
      </c>
    </row>
    <row r="996" spans="1:10" ht="15" thickBot="1">
      <c r="A996" s="98" t="s">
        <v>2636</v>
      </c>
      <c r="B996" s="80" t="s">
        <v>2681</v>
      </c>
      <c r="C996" s="80" t="s">
        <v>2650</v>
      </c>
      <c r="D996" s="80" t="s">
        <v>2646</v>
      </c>
      <c r="E996" s="80" t="s">
        <v>2642</v>
      </c>
      <c r="F996" s="80" t="s">
        <v>2370</v>
      </c>
      <c r="G996" s="80" t="s">
        <v>2701</v>
      </c>
      <c r="H996" s="79">
        <v>13</v>
      </c>
      <c r="I996" s="79">
        <v>3520.87</v>
      </c>
      <c r="J996" s="79">
        <v>45771.31</v>
      </c>
    </row>
    <row r="997" spans="1:10" ht="15" thickBot="1">
      <c r="A997" s="98" t="s">
        <v>2510</v>
      </c>
      <c r="B997" s="80" t="s">
        <v>2684</v>
      </c>
      <c r="C997" s="80" t="s">
        <v>2654</v>
      </c>
      <c r="D997" s="80" t="s">
        <v>2646</v>
      </c>
      <c r="E997" s="80" t="s">
        <v>2642</v>
      </c>
      <c r="F997" s="80" t="s">
        <v>2661</v>
      </c>
      <c r="G997" s="80" t="s">
        <v>2698</v>
      </c>
      <c r="H997" s="79">
        <v>14</v>
      </c>
      <c r="I997" s="79">
        <v>4532.88</v>
      </c>
      <c r="J997" s="79">
        <v>63460.32</v>
      </c>
    </row>
    <row r="998" spans="1:10" ht="15" thickBot="1">
      <c r="A998" s="98" t="s">
        <v>2497</v>
      </c>
      <c r="B998" s="80" t="s">
        <v>2682</v>
      </c>
      <c r="C998" s="80" t="s">
        <v>2653</v>
      </c>
      <c r="D998" s="80" t="s">
        <v>2644</v>
      </c>
      <c r="E998" s="80" t="s">
        <v>2641</v>
      </c>
      <c r="F998" s="80" t="s">
        <v>2373</v>
      </c>
      <c r="G998" s="80" t="s">
        <v>2697</v>
      </c>
      <c r="H998" s="79">
        <v>6</v>
      </c>
      <c r="I998" s="79">
        <v>1709.52</v>
      </c>
      <c r="J998" s="79">
        <v>10257.120000000001</v>
      </c>
    </row>
    <row r="999" spans="1:10" ht="15" thickBot="1">
      <c r="A999" s="98" t="s">
        <v>2669</v>
      </c>
      <c r="B999" s="80" t="s">
        <v>2687</v>
      </c>
      <c r="C999" s="80" t="s">
        <v>2658</v>
      </c>
      <c r="D999" s="80" t="s">
        <v>2645</v>
      </c>
      <c r="E999" s="80" t="s">
        <v>2642</v>
      </c>
      <c r="F999" s="80" t="s">
        <v>2372</v>
      </c>
      <c r="G999" s="80" t="s">
        <v>2690</v>
      </c>
      <c r="H999" s="79">
        <v>10</v>
      </c>
      <c r="I999" s="79">
        <v>3803.22</v>
      </c>
      <c r="J999" s="79">
        <v>38032.199999999997</v>
      </c>
    </row>
    <row r="1000" spans="1:10" ht="15" thickBot="1">
      <c r="A1000" s="98">
        <v>44958</v>
      </c>
      <c r="B1000" s="80" t="s">
        <v>2686</v>
      </c>
      <c r="C1000" s="80" t="s">
        <v>2658</v>
      </c>
      <c r="D1000" s="80" t="s">
        <v>2645</v>
      </c>
      <c r="E1000" s="80" t="s">
        <v>2642</v>
      </c>
      <c r="F1000" s="80" t="s">
        <v>2374</v>
      </c>
      <c r="G1000" s="80" t="s">
        <v>2704</v>
      </c>
      <c r="H1000" s="79">
        <v>15</v>
      </c>
      <c r="I1000" s="79">
        <v>1853</v>
      </c>
      <c r="J1000" s="79">
        <v>27795</v>
      </c>
    </row>
    <row r="1001" spans="1:10" ht="15" thickBot="1">
      <c r="A1001" s="98">
        <v>45018</v>
      </c>
      <c r="B1001" s="80" t="s">
        <v>2687</v>
      </c>
      <c r="C1001" s="80" t="s">
        <v>2392</v>
      </c>
      <c r="D1001" s="80" t="s">
        <v>2644</v>
      </c>
      <c r="E1001" s="80" t="s">
        <v>2641</v>
      </c>
      <c r="F1001" s="80" t="s">
        <v>2372</v>
      </c>
      <c r="G1001" s="80" t="s">
        <v>2693</v>
      </c>
      <c r="H1001" s="79">
        <v>2</v>
      </c>
      <c r="I1001" s="79">
        <v>2623.43</v>
      </c>
      <c r="J1001" s="79">
        <v>5246.86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76A79-C943-4AEA-8DC6-F04E22F65EC9}">
  <sheetPr codeName="Sheet15"/>
  <dimension ref="A3:B9"/>
  <sheetViews>
    <sheetView workbookViewId="0">
      <selection activeCell="B5" sqref="B5"/>
    </sheetView>
  </sheetViews>
  <sheetFormatPr defaultRowHeight="14.5"/>
  <cols>
    <col min="1" max="1" width="12.36328125" bestFit="1" customWidth="1"/>
    <col min="2" max="2" width="14.54296875" bestFit="1" customWidth="1"/>
    <col min="3" max="3" width="5.7265625" bestFit="1" customWidth="1"/>
    <col min="4" max="4" width="5.1796875" bestFit="1" customWidth="1"/>
    <col min="5" max="5" width="10.7265625" bestFit="1" customWidth="1"/>
    <col min="6" max="6" width="9.453125" bestFit="1" customWidth="1"/>
    <col min="7" max="7" width="10.453125" bestFit="1" customWidth="1"/>
    <col min="8" max="8" width="7.7265625" bestFit="1" customWidth="1"/>
    <col min="9" max="9" width="9.81640625" bestFit="1" customWidth="1"/>
    <col min="10" max="10" width="8.6328125" bestFit="1" customWidth="1"/>
    <col min="11" max="11" width="8.7265625" bestFit="1" customWidth="1"/>
    <col min="12" max="12" width="9.453125" bestFit="1" customWidth="1"/>
    <col min="13" max="13" width="10.453125" bestFit="1" customWidth="1"/>
    <col min="14" max="14" width="7.7265625" bestFit="1" customWidth="1"/>
    <col min="15" max="15" width="9.81640625" bestFit="1" customWidth="1"/>
    <col min="16" max="16" width="8.6328125" bestFit="1" customWidth="1"/>
    <col min="18" max="18" width="9.453125" bestFit="1" customWidth="1"/>
    <col min="19" max="19" width="9.90625" bestFit="1" customWidth="1"/>
    <col min="20" max="20" width="10.7265625" bestFit="1" customWidth="1"/>
  </cols>
  <sheetData>
    <row r="3" spans="1:2">
      <c r="A3" s="124" t="s">
        <v>2837</v>
      </c>
      <c r="B3" t="s">
        <v>2839</v>
      </c>
    </row>
    <row r="4" spans="1:2">
      <c r="A4" s="125" t="s">
        <v>2647</v>
      </c>
      <c r="B4" s="126">
        <v>2067</v>
      </c>
    </row>
    <row r="5" spans="1:2">
      <c r="A5" s="125" t="s">
        <v>2648</v>
      </c>
      <c r="B5" s="126">
        <v>1933</v>
      </c>
    </row>
    <row r="6" spans="1:2">
      <c r="A6" s="125" t="s">
        <v>2645</v>
      </c>
      <c r="B6" s="126">
        <v>2170</v>
      </c>
    </row>
    <row r="7" spans="1:2">
      <c r="A7" s="125" t="s">
        <v>2644</v>
      </c>
      <c r="B7" s="126">
        <v>2140</v>
      </c>
    </row>
    <row r="8" spans="1:2">
      <c r="A8" s="125" t="s">
        <v>2646</v>
      </c>
      <c r="B8" s="126">
        <v>2264</v>
      </c>
    </row>
    <row r="9" spans="1:2">
      <c r="A9" s="125" t="s">
        <v>2838</v>
      </c>
      <c r="B9" s="126">
        <v>10574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A3F89-53DD-4F07-B925-FCA3F7889829}">
  <sheetPr codeName="Sheet16"/>
  <dimension ref="A1:J1001"/>
  <sheetViews>
    <sheetView workbookViewId="0">
      <selection activeCell="J1" sqref="A1:J1001"/>
    </sheetView>
  </sheetViews>
  <sheetFormatPr defaultRowHeight="14.5"/>
  <cols>
    <col min="1" max="1" width="15" customWidth="1"/>
    <col min="2" max="2" width="15.54296875" customWidth="1"/>
    <col min="3" max="3" width="11.36328125" customWidth="1"/>
    <col min="4" max="4" width="12.08984375" customWidth="1"/>
    <col min="5" max="5" width="9" customWidth="1"/>
    <col min="6" max="6" width="16.08984375" customWidth="1"/>
    <col min="7" max="7" width="14.26953125" customWidth="1"/>
    <col min="8" max="8" width="9.1796875" customWidth="1"/>
    <col min="9" max="9" width="14.26953125" customWidth="1"/>
    <col min="10" max="10" width="13.6328125" customWidth="1"/>
  </cols>
  <sheetData>
    <row r="1" spans="1:10" ht="15" thickBot="1">
      <c r="A1" s="123" t="s">
        <v>2425</v>
      </c>
      <c r="B1" s="123" t="s">
        <v>2662</v>
      </c>
      <c r="C1" s="123" t="s">
        <v>2428</v>
      </c>
      <c r="D1" s="123" t="s">
        <v>2427</v>
      </c>
      <c r="E1" s="123" t="s">
        <v>2426</v>
      </c>
      <c r="F1" s="123" t="s">
        <v>2663</v>
      </c>
      <c r="G1" s="123" t="s">
        <v>2664</v>
      </c>
      <c r="H1" s="123" t="s">
        <v>2430</v>
      </c>
      <c r="I1" s="123" t="s">
        <v>2431</v>
      </c>
      <c r="J1" s="123" t="s">
        <v>2432</v>
      </c>
    </row>
    <row r="2" spans="1:10" ht="15" thickBot="1">
      <c r="A2" s="98" t="s">
        <v>2665</v>
      </c>
      <c r="B2" s="80" t="s">
        <v>2678</v>
      </c>
      <c r="C2" s="80" t="s">
        <v>2653</v>
      </c>
      <c r="D2" s="80" t="s">
        <v>2644</v>
      </c>
      <c r="E2" s="80" t="s">
        <v>2641</v>
      </c>
      <c r="F2" s="80" t="s">
        <v>2373</v>
      </c>
      <c r="G2" s="80" t="s">
        <v>2688</v>
      </c>
      <c r="H2" s="79">
        <v>6</v>
      </c>
      <c r="I2" s="79">
        <v>4016.25</v>
      </c>
      <c r="J2" s="79">
        <v>24097.5</v>
      </c>
    </row>
    <row r="3" spans="1:10" ht="15" thickBot="1">
      <c r="A3" s="98">
        <v>44937</v>
      </c>
      <c r="B3" s="80" t="s">
        <v>2679</v>
      </c>
      <c r="C3" s="80" t="s">
        <v>2654</v>
      </c>
      <c r="D3" s="80" t="s">
        <v>2646</v>
      </c>
      <c r="E3" s="80" t="s">
        <v>2642</v>
      </c>
      <c r="F3" s="80" t="s">
        <v>2374</v>
      </c>
      <c r="G3" s="80" t="s">
        <v>2689</v>
      </c>
      <c r="H3" s="79">
        <v>9</v>
      </c>
      <c r="I3" s="79">
        <v>3801.85</v>
      </c>
      <c r="J3" s="79">
        <v>34216.65</v>
      </c>
    </row>
    <row r="4" spans="1:10" ht="15" thickBot="1">
      <c r="A4" s="98">
        <v>45081</v>
      </c>
      <c r="B4" s="80" t="s">
        <v>2680</v>
      </c>
      <c r="C4" s="80" t="s">
        <v>2658</v>
      </c>
      <c r="D4" s="80" t="s">
        <v>2645</v>
      </c>
      <c r="E4" s="80" t="s">
        <v>2642</v>
      </c>
      <c r="F4" s="80" t="s">
        <v>2374</v>
      </c>
      <c r="G4" s="80" t="s">
        <v>2689</v>
      </c>
      <c r="H4" s="79">
        <v>11</v>
      </c>
      <c r="I4" s="79">
        <v>3594.07</v>
      </c>
      <c r="J4" s="79">
        <v>39534.769999999997</v>
      </c>
    </row>
    <row r="5" spans="1:10" ht="15" thickBot="1">
      <c r="A5" s="98" t="s">
        <v>2499</v>
      </c>
      <c r="B5" s="80" t="s">
        <v>2679</v>
      </c>
      <c r="C5" s="80" t="s">
        <v>2651</v>
      </c>
      <c r="D5" s="80" t="s">
        <v>2646</v>
      </c>
      <c r="E5" s="80" t="s">
        <v>2642</v>
      </c>
      <c r="F5" s="80" t="s">
        <v>2372</v>
      </c>
      <c r="G5" s="80" t="s">
        <v>2690</v>
      </c>
      <c r="H5" s="79">
        <v>9</v>
      </c>
      <c r="I5" s="79">
        <v>4487</v>
      </c>
      <c r="J5" s="79">
        <v>40383</v>
      </c>
    </row>
    <row r="6" spans="1:10" ht="15" thickBot="1">
      <c r="A6" s="98">
        <v>45115</v>
      </c>
      <c r="B6" s="80" t="s">
        <v>2681</v>
      </c>
      <c r="C6" s="80" t="s">
        <v>2392</v>
      </c>
      <c r="D6" s="80" t="s">
        <v>2644</v>
      </c>
      <c r="E6" s="80" t="s">
        <v>2641</v>
      </c>
      <c r="F6" s="80" t="s">
        <v>2661</v>
      </c>
      <c r="G6" s="80" t="s">
        <v>2691</v>
      </c>
      <c r="H6" s="79">
        <v>17</v>
      </c>
      <c r="I6" s="79">
        <v>1240.77</v>
      </c>
      <c r="J6" s="79">
        <v>21093.09</v>
      </c>
    </row>
    <row r="7" spans="1:10" ht="15" thickBot="1">
      <c r="A7" s="98" t="s">
        <v>2519</v>
      </c>
      <c r="B7" s="80" t="s">
        <v>2682</v>
      </c>
      <c r="C7" s="80" t="s">
        <v>2650</v>
      </c>
      <c r="D7" s="80" t="s">
        <v>2646</v>
      </c>
      <c r="E7" s="80" t="s">
        <v>2642</v>
      </c>
      <c r="F7" s="80" t="s">
        <v>2374</v>
      </c>
      <c r="G7" s="80" t="s">
        <v>2692</v>
      </c>
      <c r="H7" s="79">
        <v>7</v>
      </c>
      <c r="I7" s="79">
        <v>4772.29</v>
      </c>
      <c r="J7" s="79">
        <v>33406.03</v>
      </c>
    </row>
    <row r="8" spans="1:10" ht="15" thickBot="1">
      <c r="A8" s="98">
        <v>44931</v>
      </c>
      <c r="B8" s="80" t="s">
        <v>2683</v>
      </c>
      <c r="C8" s="80" t="s">
        <v>2649</v>
      </c>
      <c r="D8" s="80" t="s">
        <v>2645</v>
      </c>
      <c r="E8" s="80" t="s">
        <v>2642</v>
      </c>
      <c r="F8" s="80" t="s">
        <v>2370</v>
      </c>
      <c r="G8" s="80" t="s">
        <v>1335</v>
      </c>
      <c r="H8" s="79">
        <v>5</v>
      </c>
      <c r="I8" s="79">
        <v>2196.9899999999998</v>
      </c>
      <c r="J8" s="79">
        <v>10984.95</v>
      </c>
    </row>
    <row r="9" spans="1:10" ht="15" thickBot="1">
      <c r="A9" s="98" t="s">
        <v>2519</v>
      </c>
      <c r="B9" s="80" t="s">
        <v>2684</v>
      </c>
      <c r="C9" s="80" t="s">
        <v>2656</v>
      </c>
      <c r="D9" s="80" t="s">
        <v>2648</v>
      </c>
      <c r="E9" s="80" t="s">
        <v>2641</v>
      </c>
      <c r="F9" s="80" t="s">
        <v>2372</v>
      </c>
      <c r="G9" s="80" t="s">
        <v>2690</v>
      </c>
      <c r="H9" s="79">
        <v>5</v>
      </c>
      <c r="I9" s="79">
        <v>967.6</v>
      </c>
      <c r="J9" s="79">
        <v>4838</v>
      </c>
    </row>
    <row r="10" spans="1:10" ht="15" thickBot="1">
      <c r="A10" s="98" t="s">
        <v>2624</v>
      </c>
      <c r="B10" s="80" t="s">
        <v>2679</v>
      </c>
      <c r="C10" s="80" t="s">
        <v>2651</v>
      </c>
      <c r="D10" s="80" t="s">
        <v>2646</v>
      </c>
      <c r="E10" s="80" t="s">
        <v>2642</v>
      </c>
      <c r="F10" s="80" t="s">
        <v>2374</v>
      </c>
      <c r="G10" s="80" t="s">
        <v>2689</v>
      </c>
      <c r="H10" s="79">
        <v>18</v>
      </c>
      <c r="I10" s="79">
        <v>3128.59</v>
      </c>
      <c r="J10" s="79">
        <v>56314.62</v>
      </c>
    </row>
    <row r="11" spans="1:10" ht="15" thickBot="1">
      <c r="A11" s="98" t="s">
        <v>2468</v>
      </c>
      <c r="B11" s="80" t="s">
        <v>2680</v>
      </c>
      <c r="C11" s="80" t="s">
        <v>2650</v>
      </c>
      <c r="D11" s="80" t="s">
        <v>2646</v>
      </c>
      <c r="E11" s="80" t="s">
        <v>2642</v>
      </c>
      <c r="F11" s="80" t="s">
        <v>2373</v>
      </c>
      <c r="G11" s="80" t="s">
        <v>2688</v>
      </c>
      <c r="H11" s="79">
        <v>10</v>
      </c>
      <c r="I11" s="79">
        <v>2754.3</v>
      </c>
      <c r="J11" s="79">
        <v>27543</v>
      </c>
    </row>
    <row r="12" spans="1:10" ht="15" thickBot="1">
      <c r="A12" s="98" t="s">
        <v>2444</v>
      </c>
      <c r="B12" s="80" t="s">
        <v>2679</v>
      </c>
      <c r="C12" s="80" t="s">
        <v>2656</v>
      </c>
      <c r="D12" s="80" t="s">
        <v>2648</v>
      </c>
      <c r="E12" s="80" t="s">
        <v>2641</v>
      </c>
      <c r="F12" s="80" t="s">
        <v>2370</v>
      </c>
      <c r="G12" s="80" t="s">
        <v>1336</v>
      </c>
      <c r="H12" s="79">
        <v>19</v>
      </c>
      <c r="I12" s="79">
        <v>4896.3100000000004</v>
      </c>
      <c r="J12" s="79">
        <v>93029.89</v>
      </c>
    </row>
    <row r="13" spans="1:10" ht="15" thickBot="1">
      <c r="A13" s="98" t="s">
        <v>2537</v>
      </c>
      <c r="B13" s="80" t="s">
        <v>2683</v>
      </c>
      <c r="C13" s="80" t="s">
        <v>2649</v>
      </c>
      <c r="D13" s="80" t="s">
        <v>2645</v>
      </c>
      <c r="E13" s="80" t="s">
        <v>2642</v>
      </c>
      <c r="F13" s="80" t="s">
        <v>2372</v>
      </c>
      <c r="G13" s="80" t="s">
        <v>2693</v>
      </c>
      <c r="H13" s="79">
        <v>19</v>
      </c>
      <c r="I13" s="79">
        <v>4562.0200000000004</v>
      </c>
      <c r="J13" s="79">
        <v>86678.38</v>
      </c>
    </row>
    <row r="14" spans="1:10" ht="15" thickBot="1">
      <c r="A14" s="98">
        <v>45261</v>
      </c>
      <c r="B14" s="80" t="s">
        <v>2682</v>
      </c>
      <c r="C14" s="80" t="s">
        <v>2392</v>
      </c>
      <c r="D14" s="80" t="s">
        <v>2644</v>
      </c>
      <c r="E14" s="80" t="s">
        <v>2641</v>
      </c>
      <c r="F14" s="80" t="s">
        <v>2374</v>
      </c>
      <c r="G14" s="80" t="s">
        <v>2692</v>
      </c>
      <c r="H14" s="79">
        <v>6</v>
      </c>
      <c r="I14" s="79">
        <v>4231.7700000000004</v>
      </c>
      <c r="J14" s="79">
        <v>25390.62</v>
      </c>
    </row>
    <row r="15" spans="1:10" ht="15" thickBot="1">
      <c r="A15" s="98" t="s">
        <v>2497</v>
      </c>
      <c r="B15" s="80" t="s">
        <v>2685</v>
      </c>
      <c r="C15" s="80" t="s">
        <v>2656</v>
      </c>
      <c r="D15" s="80" t="s">
        <v>2648</v>
      </c>
      <c r="E15" s="80" t="s">
        <v>2641</v>
      </c>
      <c r="F15" s="80" t="s">
        <v>2372</v>
      </c>
      <c r="G15" s="80" t="s">
        <v>2694</v>
      </c>
      <c r="H15" s="79">
        <v>20</v>
      </c>
      <c r="I15" s="79">
        <v>1027.53</v>
      </c>
      <c r="J15" s="79">
        <v>20550.599999999999</v>
      </c>
    </row>
    <row r="16" spans="1:10" ht="15" thickBot="1">
      <c r="A16" s="98" t="s">
        <v>2599</v>
      </c>
      <c r="B16" s="80" t="s">
        <v>2686</v>
      </c>
      <c r="C16" s="80" t="s">
        <v>2653</v>
      </c>
      <c r="D16" s="80" t="s">
        <v>2644</v>
      </c>
      <c r="E16" s="80" t="s">
        <v>2641</v>
      </c>
      <c r="F16" s="80" t="s">
        <v>2372</v>
      </c>
      <c r="G16" s="80" t="s">
        <v>2693</v>
      </c>
      <c r="H16" s="79">
        <v>7</v>
      </c>
      <c r="I16" s="79">
        <v>1257.3399999999999</v>
      </c>
      <c r="J16" s="79">
        <v>8801.3799999999992</v>
      </c>
    </row>
    <row r="17" spans="1:10" ht="15" thickBot="1">
      <c r="A17" s="98" t="s">
        <v>2506</v>
      </c>
      <c r="B17" s="80" t="s">
        <v>2683</v>
      </c>
      <c r="C17" s="80" t="s">
        <v>2660</v>
      </c>
      <c r="D17" s="80" t="s">
        <v>2647</v>
      </c>
      <c r="E17" s="80" t="s">
        <v>2643</v>
      </c>
      <c r="F17" s="80" t="s">
        <v>2372</v>
      </c>
      <c r="G17" s="80" t="s">
        <v>2694</v>
      </c>
      <c r="H17" s="79">
        <v>9</v>
      </c>
      <c r="I17" s="79">
        <v>2634.14</v>
      </c>
      <c r="J17" s="79">
        <v>23707.26</v>
      </c>
    </row>
    <row r="18" spans="1:10" ht="15" thickBot="1">
      <c r="A18" s="98">
        <v>44963</v>
      </c>
      <c r="B18" s="80" t="s">
        <v>2681</v>
      </c>
      <c r="C18" s="80" t="s">
        <v>2393</v>
      </c>
      <c r="D18" s="80" t="s">
        <v>2644</v>
      </c>
      <c r="E18" s="80" t="s">
        <v>2641</v>
      </c>
      <c r="F18" s="80" t="s">
        <v>2373</v>
      </c>
      <c r="G18" s="80" t="s">
        <v>2688</v>
      </c>
      <c r="H18" s="79">
        <v>11</v>
      </c>
      <c r="I18" s="79">
        <v>4509.49</v>
      </c>
      <c r="J18" s="79">
        <v>49604.39</v>
      </c>
    </row>
    <row r="19" spans="1:10" ht="15" thickBot="1">
      <c r="A19" s="98" t="s">
        <v>2514</v>
      </c>
      <c r="B19" s="80" t="s">
        <v>2682</v>
      </c>
      <c r="C19" s="80" t="s">
        <v>2396</v>
      </c>
      <c r="D19" s="80" t="s">
        <v>2648</v>
      </c>
      <c r="E19" s="80" t="s">
        <v>2641</v>
      </c>
      <c r="F19" s="80" t="s">
        <v>2661</v>
      </c>
      <c r="G19" s="80" t="s">
        <v>2695</v>
      </c>
      <c r="H19" s="79">
        <v>3</v>
      </c>
      <c r="I19" s="79">
        <v>2738.83</v>
      </c>
      <c r="J19" s="79">
        <v>8216.49</v>
      </c>
    </row>
    <row r="20" spans="1:10" ht="15" thickBot="1">
      <c r="A20" s="98" t="s">
        <v>2481</v>
      </c>
      <c r="B20" s="80" t="s">
        <v>2682</v>
      </c>
      <c r="C20" s="80" t="s">
        <v>2653</v>
      </c>
      <c r="D20" s="80" t="s">
        <v>2644</v>
      </c>
      <c r="E20" s="80" t="s">
        <v>2641</v>
      </c>
      <c r="F20" s="80" t="s">
        <v>2372</v>
      </c>
      <c r="G20" s="80" t="s">
        <v>2690</v>
      </c>
      <c r="H20" s="79">
        <v>10</v>
      </c>
      <c r="I20" s="79">
        <v>4247.74</v>
      </c>
      <c r="J20" s="79">
        <v>42477.4</v>
      </c>
    </row>
    <row r="21" spans="1:10" ht="15" thickBot="1">
      <c r="A21" s="98" t="s">
        <v>2444</v>
      </c>
      <c r="B21" s="80" t="s">
        <v>2680</v>
      </c>
      <c r="C21" s="80" t="s">
        <v>2649</v>
      </c>
      <c r="D21" s="80" t="s">
        <v>2645</v>
      </c>
      <c r="E21" s="80" t="s">
        <v>2642</v>
      </c>
      <c r="F21" s="80" t="s">
        <v>2374</v>
      </c>
      <c r="G21" s="80" t="s">
        <v>2692</v>
      </c>
      <c r="H21" s="79">
        <v>3</v>
      </c>
      <c r="I21" s="79">
        <v>1133.19</v>
      </c>
      <c r="J21" s="79">
        <v>3399.57</v>
      </c>
    </row>
    <row r="22" spans="1:10" ht="15" thickBot="1">
      <c r="A22" s="98" t="s">
        <v>2526</v>
      </c>
      <c r="B22" s="80" t="s">
        <v>2687</v>
      </c>
      <c r="C22" s="80" t="s">
        <v>2659</v>
      </c>
      <c r="D22" s="80" t="s">
        <v>2647</v>
      </c>
      <c r="E22" s="80" t="s">
        <v>2643</v>
      </c>
      <c r="F22" s="80" t="s">
        <v>2370</v>
      </c>
      <c r="G22" s="80" t="s">
        <v>1336</v>
      </c>
      <c r="H22" s="79">
        <v>6</v>
      </c>
      <c r="I22" s="79">
        <v>623.22</v>
      </c>
      <c r="J22" s="79">
        <v>3739.32</v>
      </c>
    </row>
    <row r="23" spans="1:10" ht="15" thickBot="1">
      <c r="A23" s="98" t="s">
        <v>2580</v>
      </c>
      <c r="B23" s="80" t="s">
        <v>2681</v>
      </c>
      <c r="C23" s="80" t="s">
        <v>2654</v>
      </c>
      <c r="D23" s="80" t="s">
        <v>2646</v>
      </c>
      <c r="E23" s="80" t="s">
        <v>2642</v>
      </c>
      <c r="F23" s="80" t="s">
        <v>2374</v>
      </c>
      <c r="G23" s="80" t="s">
        <v>2689</v>
      </c>
      <c r="H23" s="79">
        <v>18</v>
      </c>
      <c r="I23" s="79">
        <v>698.42</v>
      </c>
      <c r="J23" s="79">
        <v>12571.56</v>
      </c>
    </row>
    <row r="24" spans="1:10" ht="15" thickBot="1">
      <c r="A24" s="98">
        <v>45089</v>
      </c>
      <c r="B24" s="80" t="s">
        <v>2684</v>
      </c>
      <c r="C24" s="80" t="s">
        <v>2655</v>
      </c>
      <c r="D24" s="80" t="s">
        <v>2645</v>
      </c>
      <c r="E24" s="80" t="s">
        <v>2642</v>
      </c>
      <c r="F24" s="80" t="s">
        <v>2661</v>
      </c>
      <c r="G24" s="80" t="s">
        <v>2696</v>
      </c>
      <c r="H24" s="79">
        <v>19</v>
      </c>
      <c r="I24" s="79">
        <v>2494.11</v>
      </c>
      <c r="J24" s="79">
        <v>47388.09</v>
      </c>
    </row>
    <row r="25" spans="1:10" ht="15" thickBot="1">
      <c r="A25" s="98" t="s">
        <v>2433</v>
      </c>
      <c r="B25" s="80" t="s">
        <v>2683</v>
      </c>
      <c r="C25" s="80" t="s">
        <v>2650</v>
      </c>
      <c r="D25" s="80" t="s">
        <v>2646</v>
      </c>
      <c r="E25" s="80" t="s">
        <v>2642</v>
      </c>
      <c r="F25" s="80" t="s">
        <v>2661</v>
      </c>
      <c r="G25" s="80" t="s">
        <v>2696</v>
      </c>
      <c r="H25" s="79">
        <v>15</v>
      </c>
      <c r="I25" s="79">
        <v>3368.77</v>
      </c>
      <c r="J25" s="79">
        <v>50531.55</v>
      </c>
    </row>
    <row r="26" spans="1:10" ht="15" thickBot="1">
      <c r="A26" s="98" t="s">
        <v>2521</v>
      </c>
      <c r="B26" s="80" t="s">
        <v>2680</v>
      </c>
      <c r="C26" s="80" t="s">
        <v>2649</v>
      </c>
      <c r="D26" s="80" t="s">
        <v>2645</v>
      </c>
      <c r="E26" s="80" t="s">
        <v>2642</v>
      </c>
      <c r="F26" s="80" t="s">
        <v>2373</v>
      </c>
      <c r="G26" s="80" t="s">
        <v>2697</v>
      </c>
      <c r="H26" s="79">
        <v>2</v>
      </c>
      <c r="I26" s="79">
        <v>962.28</v>
      </c>
      <c r="J26" s="79">
        <v>1924.56</v>
      </c>
    </row>
    <row r="27" spans="1:10" ht="15" thickBot="1">
      <c r="A27" s="98">
        <v>44930</v>
      </c>
      <c r="B27" s="80" t="s">
        <v>2687</v>
      </c>
      <c r="C27" s="80" t="s">
        <v>2393</v>
      </c>
      <c r="D27" s="80" t="s">
        <v>2644</v>
      </c>
      <c r="E27" s="80" t="s">
        <v>2641</v>
      </c>
      <c r="F27" s="80" t="s">
        <v>2372</v>
      </c>
      <c r="G27" s="80" t="s">
        <v>2694</v>
      </c>
      <c r="H27" s="79">
        <v>19</v>
      </c>
      <c r="I27" s="79">
        <v>1065.27</v>
      </c>
      <c r="J27" s="79">
        <v>20240.13</v>
      </c>
    </row>
    <row r="28" spans="1:10" ht="15" thickBot="1">
      <c r="A28" s="98" t="s">
        <v>2666</v>
      </c>
      <c r="B28" s="80" t="s">
        <v>2687</v>
      </c>
      <c r="C28" s="80" t="s">
        <v>2656</v>
      </c>
      <c r="D28" s="80" t="s">
        <v>2648</v>
      </c>
      <c r="E28" s="80" t="s">
        <v>2641</v>
      </c>
      <c r="F28" s="80" t="s">
        <v>2661</v>
      </c>
      <c r="G28" s="80" t="s">
        <v>2695</v>
      </c>
      <c r="H28" s="79">
        <v>10</v>
      </c>
      <c r="I28" s="79">
        <v>4507.62</v>
      </c>
      <c r="J28" s="79">
        <v>45076.2</v>
      </c>
    </row>
    <row r="29" spans="1:10" ht="15" thickBot="1">
      <c r="A29" s="98" t="s">
        <v>2532</v>
      </c>
      <c r="B29" s="80" t="s">
        <v>2681</v>
      </c>
      <c r="C29" s="80" t="s">
        <v>2659</v>
      </c>
      <c r="D29" s="80" t="s">
        <v>2647</v>
      </c>
      <c r="E29" s="80" t="s">
        <v>2643</v>
      </c>
      <c r="F29" s="80" t="s">
        <v>2372</v>
      </c>
      <c r="G29" s="80" t="s">
        <v>2693</v>
      </c>
      <c r="H29" s="79">
        <v>4</v>
      </c>
      <c r="I29" s="79">
        <v>4373.75</v>
      </c>
      <c r="J29" s="79">
        <v>17495</v>
      </c>
    </row>
    <row r="30" spans="1:10" ht="15" thickBot="1">
      <c r="A30" s="98" t="s">
        <v>2503</v>
      </c>
      <c r="B30" s="80" t="s">
        <v>2685</v>
      </c>
      <c r="C30" s="80" t="s">
        <v>2654</v>
      </c>
      <c r="D30" s="80" t="s">
        <v>2646</v>
      </c>
      <c r="E30" s="80" t="s">
        <v>2642</v>
      </c>
      <c r="F30" s="80" t="s">
        <v>2372</v>
      </c>
      <c r="G30" s="80" t="s">
        <v>2693</v>
      </c>
      <c r="H30" s="79">
        <v>4</v>
      </c>
      <c r="I30" s="79">
        <v>791.28</v>
      </c>
      <c r="J30" s="79">
        <v>3165.12</v>
      </c>
    </row>
    <row r="31" spans="1:10" ht="15" thickBot="1">
      <c r="A31" s="98">
        <v>45082</v>
      </c>
      <c r="B31" s="80" t="s">
        <v>2684</v>
      </c>
      <c r="C31" s="80" t="s">
        <v>2649</v>
      </c>
      <c r="D31" s="80" t="s">
        <v>2645</v>
      </c>
      <c r="E31" s="80" t="s">
        <v>2642</v>
      </c>
      <c r="F31" s="80" t="s">
        <v>2661</v>
      </c>
      <c r="G31" s="80" t="s">
        <v>2691</v>
      </c>
      <c r="H31" s="79">
        <v>14</v>
      </c>
      <c r="I31" s="79">
        <v>4868.33</v>
      </c>
      <c r="J31" s="79">
        <v>68156.62</v>
      </c>
    </row>
    <row r="32" spans="1:10" ht="15" thickBot="1">
      <c r="A32" s="98" t="s">
        <v>2506</v>
      </c>
      <c r="B32" s="80" t="s">
        <v>2683</v>
      </c>
      <c r="C32" s="80" t="s">
        <v>2660</v>
      </c>
      <c r="D32" s="80" t="s">
        <v>2647</v>
      </c>
      <c r="E32" s="80" t="s">
        <v>2643</v>
      </c>
      <c r="F32" s="80" t="s">
        <v>2372</v>
      </c>
      <c r="G32" s="80" t="s">
        <v>2694</v>
      </c>
      <c r="H32" s="79">
        <v>12</v>
      </c>
      <c r="I32" s="79">
        <v>1958.77</v>
      </c>
      <c r="J32" s="79">
        <v>23505.24</v>
      </c>
    </row>
    <row r="33" spans="1:10" ht="15" thickBot="1">
      <c r="A33" s="98" t="s">
        <v>2484</v>
      </c>
      <c r="B33" s="80" t="s">
        <v>2680</v>
      </c>
      <c r="C33" s="80" t="s">
        <v>2393</v>
      </c>
      <c r="D33" s="80" t="s">
        <v>2644</v>
      </c>
      <c r="E33" s="80" t="s">
        <v>2641</v>
      </c>
      <c r="F33" s="80" t="s">
        <v>2374</v>
      </c>
      <c r="G33" s="80" t="s">
        <v>2692</v>
      </c>
      <c r="H33" s="79">
        <v>10</v>
      </c>
      <c r="I33" s="79">
        <v>3690.75</v>
      </c>
      <c r="J33" s="79">
        <v>36907.5</v>
      </c>
    </row>
    <row r="34" spans="1:10" ht="15" thickBot="1">
      <c r="A34" s="98" t="s">
        <v>2565</v>
      </c>
      <c r="B34" s="80" t="s">
        <v>2680</v>
      </c>
      <c r="C34" s="80" t="s">
        <v>2656</v>
      </c>
      <c r="D34" s="80" t="s">
        <v>2648</v>
      </c>
      <c r="E34" s="80" t="s">
        <v>2641</v>
      </c>
      <c r="F34" s="80" t="s">
        <v>2374</v>
      </c>
      <c r="G34" s="80" t="s">
        <v>2692</v>
      </c>
      <c r="H34" s="79">
        <v>17</v>
      </c>
      <c r="I34" s="79">
        <v>1037.05</v>
      </c>
      <c r="J34" s="79">
        <v>17629.849999999999</v>
      </c>
    </row>
    <row r="35" spans="1:10" ht="15" thickBot="1">
      <c r="A35" s="98">
        <v>45231</v>
      </c>
      <c r="B35" s="80" t="s">
        <v>2686</v>
      </c>
      <c r="C35" s="80" t="s">
        <v>2655</v>
      </c>
      <c r="D35" s="80" t="s">
        <v>2645</v>
      </c>
      <c r="E35" s="80" t="s">
        <v>2642</v>
      </c>
      <c r="F35" s="80" t="s">
        <v>2661</v>
      </c>
      <c r="G35" s="80" t="s">
        <v>2698</v>
      </c>
      <c r="H35" s="79">
        <v>17</v>
      </c>
      <c r="I35" s="79">
        <v>2215.5500000000002</v>
      </c>
      <c r="J35" s="79">
        <v>37664.35</v>
      </c>
    </row>
    <row r="36" spans="1:10" ht="15" thickBot="1">
      <c r="A36" s="98" t="s">
        <v>2435</v>
      </c>
      <c r="B36" s="80" t="s">
        <v>2686</v>
      </c>
      <c r="C36" s="80" t="s">
        <v>2651</v>
      </c>
      <c r="D36" s="80" t="s">
        <v>2646</v>
      </c>
      <c r="E36" s="80" t="s">
        <v>2642</v>
      </c>
      <c r="F36" s="80" t="s">
        <v>2372</v>
      </c>
      <c r="G36" s="80" t="s">
        <v>2699</v>
      </c>
      <c r="H36" s="79">
        <v>19</v>
      </c>
      <c r="I36" s="79">
        <v>1343.6</v>
      </c>
      <c r="J36" s="79">
        <v>25528.400000000001</v>
      </c>
    </row>
    <row r="37" spans="1:10" ht="15" thickBot="1">
      <c r="A37" s="98">
        <v>45204</v>
      </c>
      <c r="B37" s="80" t="s">
        <v>2686</v>
      </c>
      <c r="C37" s="80" t="s">
        <v>2653</v>
      </c>
      <c r="D37" s="80" t="s">
        <v>2644</v>
      </c>
      <c r="E37" s="80" t="s">
        <v>2641</v>
      </c>
      <c r="F37" s="80" t="s">
        <v>2661</v>
      </c>
      <c r="G37" s="80" t="s">
        <v>2691</v>
      </c>
      <c r="H37" s="79">
        <v>8</v>
      </c>
      <c r="I37" s="79">
        <v>4455.43</v>
      </c>
      <c r="J37" s="79">
        <v>35643.440000000002</v>
      </c>
    </row>
    <row r="38" spans="1:10" ht="15" thickBot="1">
      <c r="A38" s="98" t="s">
        <v>2522</v>
      </c>
      <c r="B38" s="80" t="s">
        <v>2684</v>
      </c>
      <c r="C38" s="80" t="s">
        <v>2650</v>
      </c>
      <c r="D38" s="80" t="s">
        <v>2646</v>
      </c>
      <c r="E38" s="80" t="s">
        <v>2642</v>
      </c>
      <c r="F38" s="80" t="s">
        <v>2374</v>
      </c>
      <c r="G38" s="80" t="s">
        <v>2700</v>
      </c>
      <c r="H38" s="79">
        <v>9</v>
      </c>
      <c r="I38" s="79">
        <v>3892.79</v>
      </c>
      <c r="J38" s="79">
        <v>35035.11</v>
      </c>
    </row>
    <row r="39" spans="1:10" ht="15" thickBot="1">
      <c r="A39" s="98">
        <v>45089</v>
      </c>
      <c r="B39" s="80" t="s">
        <v>2684</v>
      </c>
      <c r="C39" s="80" t="s">
        <v>2659</v>
      </c>
      <c r="D39" s="80" t="s">
        <v>2647</v>
      </c>
      <c r="E39" s="80" t="s">
        <v>2643</v>
      </c>
      <c r="F39" s="80" t="s">
        <v>2370</v>
      </c>
      <c r="G39" s="80" t="s">
        <v>1336</v>
      </c>
      <c r="H39" s="79">
        <v>9</v>
      </c>
      <c r="I39" s="79">
        <v>4618.59</v>
      </c>
      <c r="J39" s="79">
        <v>41567.31</v>
      </c>
    </row>
    <row r="40" spans="1:10" ht="15" thickBot="1">
      <c r="A40" s="98" t="s">
        <v>2538</v>
      </c>
      <c r="B40" s="80" t="s">
        <v>2685</v>
      </c>
      <c r="C40" s="80" t="s">
        <v>2655</v>
      </c>
      <c r="D40" s="80" t="s">
        <v>2645</v>
      </c>
      <c r="E40" s="80" t="s">
        <v>2642</v>
      </c>
      <c r="F40" s="80" t="s">
        <v>2372</v>
      </c>
      <c r="G40" s="80" t="s">
        <v>2699</v>
      </c>
      <c r="H40" s="79">
        <v>11</v>
      </c>
      <c r="I40" s="79">
        <v>3385.93</v>
      </c>
      <c r="J40" s="79">
        <v>37245.230000000003</v>
      </c>
    </row>
    <row r="41" spans="1:10" ht="15" thickBot="1">
      <c r="A41" s="98" t="s">
        <v>2536</v>
      </c>
      <c r="B41" s="80" t="s">
        <v>2684</v>
      </c>
      <c r="C41" s="80" t="s">
        <v>2656</v>
      </c>
      <c r="D41" s="80" t="s">
        <v>2648</v>
      </c>
      <c r="E41" s="80" t="s">
        <v>2641</v>
      </c>
      <c r="F41" s="80" t="s">
        <v>2374</v>
      </c>
      <c r="G41" s="80" t="s">
        <v>2692</v>
      </c>
      <c r="H41" s="79">
        <v>14</v>
      </c>
      <c r="I41" s="79">
        <v>2452.98</v>
      </c>
      <c r="J41" s="79">
        <v>34341.72</v>
      </c>
    </row>
    <row r="42" spans="1:10" ht="15" thickBot="1">
      <c r="A42" s="98">
        <v>45024</v>
      </c>
      <c r="B42" s="80" t="s">
        <v>2678</v>
      </c>
      <c r="C42" s="80" t="s">
        <v>2658</v>
      </c>
      <c r="D42" s="80" t="s">
        <v>2645</v>
      </c>
      <c r="E42" s="80" t="s">
        <v>2642</v>
      </c>
      <c r="F42" s="80" t="s">
        <v>2370</v>
      </c>
      <c r="G42" s="80" t="s">
        <v>1335</v>
      </c>
      <c r="H42" s="79">
        <v>16</v>
      </c>
      <c r="I42" s="79">
        <v>695.96</v>
      </c>
      <c r="J42" s="79">
        <v>11135.36</v>
      </c>
    </row>
    <row r="43" spans="1:10" ht="15" thickBot="1">
      <c r="A43" s="98">
        <v>44929</v>
      </c>
      <c r="B43" s="80" t="s">
        <v>2681</v>
      </c>
      <c r="C43" s="80" t="s">
        <v>2656</v>
      </c>
      <c r="D43" s="80" t="s">
        <v>2648</v>
      </c>
      <c r="E43" s="80" t="s">
        <v>2641</v>
      </c>
      <c r="F43" s="80" t="s">
        <v>2370</v>
      </c>
      <c r="G43" s="80" t="s">
        <v>2701</v>
      </c>
      <c r="H43" s="79">
        <v>1</v>
      </c>
      <c r="I43" s="79">
        <v>1979.54</v>
      </c>
      <c r="J43" s="79">
        <v>1979.54</v>
      </c>
    </row>
    <row r="44" spans="1:10" ht="15" thickBot="1">
      <c r="A44" s="98" t="s">
        <v>2561</v>
      </c>
      <c r="B44" s="80" t="s">
        <v>2683</v>
      </c>
      <c r="C44" s="80" t="s">
        <v>2659</v>
      </c>
      <c r="D44" s="80" t="s">
        <v>2647</v>
      </c>
      <c r="E44" s="80" t="s">
        <v>2643</v>
      </c>
      <c r="F44" s="80" t="s">
        <v>2374</v>
      </c>
      <c r="G44" s="80" t="s">
        <v>2689</v>
      </c>
      <c r="H44" s="79">
        <v>9</v>
      </c>
      <c r="I44" s="79">
        <v>3727.82</v>
      </c>
      <c r="J44" s="79">
        <v>33550.379999999997</v>
      </c>
    </row>
    <row r="45" spans="1:10" ht="15" thickBot="1">
      <c r="A45" s="98" t="s">
        <v>2540</v>
      </c>
      <c r="B45" s="80" t="s">
        <v>2678</v>
      </c>
      <c r="C45" s="80" t="s">
        <v>2396</v>
      </c>
      <c r="D45" s="80" t="s">
        <v>2648</v>
      </c>
      <c r="E45" s="80" t="s">
        <v>2641</v>
      </c>
      <c r="F45" s="80" t="s">
        <v>2661</v>
      </c>
      <c r="G45" s="80" t="s">
        <v>2698</v>
      </c>
      <c r="H45" s="79">
        <v>1</v>
      </c>
      <c r="I45" s="79">
        <v>1495.61</v>
      </c>
      <c r="J45" s="79">
        <v>1495.61</v>
      </c>
    </row>
    <row r="46" spans="1:10" ht="15" thickBot="1">
      <c r="A46" s="98" t="s">
        <v>2628</v>
      </c>
      <c r="B46" s="80" t="s">
        <v>2685</v>
      </c>
      <c r="C46" s="80" t="s">
        <v>2392</v>
      </c>
      <c r="D46" s="80" t="s">
        <v>2644</v>
      </c>
      <c r="E46" s="80" t="s">
        <v>2641</v>
      </c>
      <c r="F46" s="80" t="s">
        <v>2372</v>
      </c>
      <c r="G46" s="80" t="s">
        <v>2693</v>
      </c>
      <c r="H46" s="79">
        <v>18</v>
      </c>
      <c r="I46" s="79">
        <v>1928.15</v>
      </c>
      <c r="J46" s="79">
        <v>34706.699999999997</v>
      </c>
    </row>
    <row r="47" spans="1:10" ht="15" thickBot="1">
      <c r="A47" s="98">
        <v>45019</v>
      </c>
      <c r="B47" s="80" t="s">
        <v>2682</v>
      </c>
      <c r="C47" s="80" t="s">
        <v>2392</v>
      </c>
      <c r="D47" s="80" t="s">
        <v>2644</v>
      </c>
      <c r="E47" s="80" t="s">
        <v>2641</v>
      </c>
      <c r="F47" s="80" t="s">
        <v>2374</v>
      </c>
      <c r="G47" s="80" t="s">
        <v>2692</v>
      </c>
      <c r="H47" s="79">
        <v>1</v>
      </c>
      <c r="I47" s="79">
        <v>4192.3900000000003</v>
      </c>
      <c r="J47" s="79">
        <v>4192.3900000000003</v>
      </c>
    </row>
    <row r="48" spans="1:10" ht="15" thickBot="1">
      <c r="A48" s="98">
        <v>45018</v>
      </c>
      <c r="B48" s="80" t="s">
        <v>2685</v>
      </c>
      <c r="C48" s="80" t="s">
        <v>2650</v>
      </c>
      <c r="D48" s="80" t="s">
        <v>2646</v>
      </c>
      <c r="E48" s="80" t="s">
        <v>2642</v>
      </c>
      <c r="F48" s="80" t="s">
        <v>2370</v>
      </c>
      <c r="G48" s="80" t="s">
        <v>2702</v>
      </c>
      <c r="H48" s="79">
        <v>7</v>
      </c>
      <c r="I48" s="79">
        <v>4988.71</v>
      </c>
      <c r="J48" s="79">
        <v>34920.97</v>
      </c>
    </row>
    <row r="49" spans="1:10" ht="15" thickBot="1">
      <c r="A49" s="98" t="s">
        <v>2569</v>
      </c>
      <c r="B49" s="80" t="s">
        <v>2684</v>
      </c>
      <c r="C49" s="80" t="s">
        <v>2655</v>
      </c>
      <c r="D49" s="80" t="s">
        <v>2645</v>
      </c>
      <c r="E49" s="80" t="s">
        <v>2642</v>
      </c>
      <c r="F49" s="80" t="s">
        <v>2372</v>
      </c>
      <c r="G49" s="80" t="s">
        <v>2693</v>
      </c>
      <c r="H49" s="79">
        <v>9</v>
      </c>
      <c r="I49" s="79">
        <v>1328.13</v>
      </c>
      <c r="J49" s="79">
        <v>11953.17</v>
      </c>
    </row>
    <row r="50" spans="1:10" ht="15" thickBot="1">
      <c r="A50" s="98" t="s">
        <v>2667</v>
      </c>
      <c r="B50" s="80" t="s">
        <v>2685</v>
      </c>
      <c r="C50" s="80" t="s">
        <v>2393</v>
      </c>
      <c r="D50" s="80" t="s">
        <v>2644</v>
      </c>
      <c r="E50" s="80" t="s">
        <v>2641</v>
      </c>
      <c r="F50" s="80" t="s">
        <v>2373</v>
      </c>
      <c r="G50" s="80" t="s">
        <v>2703</v>
      </c>
      <c r="H50" s="79">
        <v>9</v>
      </c>
      <c r="I50" s="79">
        <v>722.44</v>
      </c>
      <c r="J50" s="79">
        <v>6501.96</v>
      </c>
    </row>
    <row r="51" spans="1:10" ht="15" thickBot="1">
      <c r="A51" s="98" t="s">
        <v>2560</v>
      </c>
      <c r="B51" s="80" t="s">
        <v>2680</v>
      </c>
      <c r="C51" s="80" t="s">
        <v>2653</v>
      </c>
      <c r="D51" s="80" t="s">
        <v>2644</v>
      </c>
      <c r="E51" s="80" t="s">
        <v>2641</v>
      </c>
      <c r="F51" s="80" t="s">
        <v>2372</v>
      </c>
      <c r="G51" s="80" t="s">
        <v>2693</v>
      </c>
      <c r="H51" s="79">
        <v>2</v>
      </c>
      <c r="I51" s="79">
        <v>4726.0600000000004</v>
      </c>
      <c r="J51" s="79">
        <v>9452.1200000000008</v>
      </c>
    </row>
    <row r="52" spans="1:10" ht="15" thickBot="1">
      <c r="A52" s="98">
        <v>45079</v>
      </c>
      <c r="B52" s="80" t="s">
        <v>2684</v>
      </c>
      <c r="C52" s="80" t="s">
        <v>2658</v>
      </c>
      <c r="D52" s="80" t="s">
        <v>2645</v>
      </c>
      <c r="E52" s="80" t="s">
        <v>2642</v>
      </c>
      <c r="F52" s="80" t="s">
        <v>2372</v>
      </c>
      <c r="G52" s="80" t="s">
        <v>2694</v>
      </c>
      <c r="H52" s="79">
        <v>3</v>
      </c>
      <c r="I52" s="79">
        <v>2263.4699999999998</v>
      </c>
      <c r="J52" s="79">
        <v>6790.41</v>
      </c>
    </row>
    <row r="53" spans="1:10" ht="15" thickBot="1">
      <c r="A53" s="98" t="s">
        <v>2478</v>
      </c>
      <c r="B53" s="80" t="s">
        <v>2680</v>
      </c>
      <c r="C53" s="80" t="s">
        <v>2649</v>
      </c>
      <c r="D53" s="80" t="s">
        <v>2645</v>
      </c>
      <c r="E53" s="80" t="s">
        <v>2642</v>
      </c>
      <c r="F53" s="80" t="s">
        <v>2373</v>
      </c>
      <c r="G53" s="80" t="s">
        <v>2697</v>
      </c>
      <c r="H53" s="79">
        <v>20</v>
      </c>
      <c r="I53" s="79">
        <v>4365.58</v>
      </c>
      <c r="J53" s="79">
        <v>87311.6</v>
      </c>
    </row>
    <row r="54" spans="1:10" ht="15" thickBot="1">
      <c r="A54" s="98" t="s">
        <v>2530</v>
      </c>
      <c r="B54" s="80" t="s">
        <v>2686</v>
      </c>
      <c r="C54" s="80" t="s">
        <v>2652</v>
      </c>
      <c r="D54" s="80" t="s">
        <v>2647</v>
      </c>
      <c r="E54" s="80" t="s">
        <v>2643</v>
      </c>
      <c r="F54" s="80" t="s">
        <v>2370</v>
      </c>
      <c r="G54" s="80" t="s">
        <v>1335</v>
      </c>
      <c r="H54" s="79">
        <v>20</v>
      </c>
      <c r="I54" s="79">
        <v>3925.65</v>
      </c>
      <c r="J54" s="79">
        <v>78513</v>
      </c>
    </row>
    <row r="55" spans="1:10" ht="15" thickBot="1">
      <c r="A55" s="98">
        <v>44995</v>
      </c>
      <c r="B55" s="80" t="s">
        <v>2679</v>
      </c>
      <c r="C55" s="80" t="s">
        <v>2650</v>
      </c>
      <c r="D55" s="80" t="s">
        <v>2646</v>
      </c>
      <c r="E55" s="80" t="s">
        <v>2642</v>
      </c>
      <c r="F55" s="80" t="s">
        <v>2373</v>
      </c>
      <c r="G55" s="80" t="s">
        <v>2703</v>
      </c>
      <c r="H55" s="79">
        <v>3</v>
      </c>
      <c r="I55" s="79">
        <v>3613.98</v>
      </c>
      <c r="J55" s="79">
        <v>10841.94</v>
      </c>
    </row>
    <row r="56" spans="1:10" ht="15" thickBot="1">
      <c r="A56" s="98">
        <v>45236</v>
      </c>
      <c r="B56" s="80" t="s">
        <v>2685</v>
      </c>
      <c r="C56" s="80" t="s">
        <v>2392</v>
      </c>
      <c r="D56" s="80" t="s">
        <v>2644</v>
      </c>
      <c r="E56" s="80" t="s">
        <v>2641</v>
      </c>
      <c r="F56" s="80" t="s">
        <v>2374</v>
      </c>
      <c r="G56" s="80" t="s">
        <v>2700</v>
      </c>
      <c r="H56" s="79">
        <v>7</v>
      </c>
      <c r="I56" s="79">
        <v>2483.54</v>
      </c>
      <c r="J56" s="79">
        <v>17384.78</v>
      </c>
    </row>
    <row r="57" spans="1:10" ht="15" thickBot="1">
      <c r="A57" s="98">
        <v>44967</v>
      </c>
      <c r="B57" s="80" t="s">
        <v>2682</v>
      </c>
      <c r="C57" s="80" t="s">
        <v>2660</v>
      </c>
      <c r="D57" s="80" t="s">
        <v>2647</v>
      </c>
      <c r="E57" s="80" t="s">
        <v>2643</v>
      </c>
      <c r="F57" s="80" t="s">
        <v>2373</v>
      </c>
      <c r="G57" s="80" t="s">
        <v>2703</v>
      </c>
      <c r="H57" s="79">
        <v>14</v>
      </c>
      <c r="I57" s="79">
        <v>2145.21</v>
      </c>
      <c r="J57" s="79">
        <v>30032.94</v>
      </c>
    </row>
    <row r="58" spans="1:10" ht="15" thickBot="1">
      <c r="A58" s="98" t="s">
        <v>2547</v>
      </c>
      <c r="B58" s="80" t="s">
        <v>2685</v>
      </c>
      <c r="C58" s="80" t="s">
        <v>2655</v>
      </c>
      <c r="D58" s="80" t="s">
        <v>2645</v>
      </c>
      <c r="E58" s="80" t="s">
        <v>2642</v>
      </c>
      <c r="F58" s="80" t="s">
        <v>2370</v>
      </c>
      <c r="G58" s="80" t="s">
        <v>2701</v>
      </c>
      <c r="H58" s="79">
        <v>8</v>
      </c>
      <c r="I58" s="79">
        <v>4997.45</v>
      </c>
      <c r="J58" s="79">
        <v>39979.599999999999</v>
      </c>
    </row>
    <row r="59" spans="1:10" ht="15" thickBot="1">
      <c r="A59" s="98">
        <v>45176</v>
      </c>
      <c r="B59" s="80" t="s">
        <v>2686</v>
      </c>
      <c r="C59" s="80" t="s">
        <v>2656</v>
      </c>
      <c r="D59" s="80" t="s">
        <v>2648</v>
      </c>
      <c r="E59" s="80" t="s">
        <v>2641</v>
      </c>
      <c r="F59" s="80" t="s">
        <v>2370</v>
      </c>
      <c r="G59" s="80" t="s">
        <v>1336</v>
      </c>
      <c r="H59" s="79">
        <v>3</v>
      </c>
      <c r="I59" s="79">
        <v>1753.98</v>
      </c>
      <c r="J59" s="79">
        <v>5261.94</v>
      </c>
    </row>
    <row r="60" spans="1:10" ht="15" thickBot="1">
      <c r="A60" s="98" t="s">
        <v>2552</v>
      </c>
      <c r="B60" s="80" t="s">
        <v>2683</v>
      </c>
      <c r="C60" s="80" t="s">
        <v>2649</v>
      </c>
      <c r="D60" s="80" t="s">
        <v>2645</v>
      </c>
      <c r="E60" s="80" t="s">
        <v>2642</v>
      </c>
      <c r="F60" s="80" t="s">
        <v>2370</v>
      </c>
      <c r="G60" s="80" t="s">
        <v>2701</v>
      </c>
      <c r="H60" s="79">
        <v>2</v>
      </c>
      <c r="I60" s="79">
        <v>1207.92</v>
      </c>
      <c r="J60" s="79">
        <v>2415.84</v>
      </c>
    </row>
    <row r="61" spans="1:10" ht="15" thickBot="1">
      <c r="A61" s="98">
        <v>45202</v>
      </c>
      <c r="B61" s="80" t="s">
        <v>2681</v>
      </c>
      <c r="C61" s="80" t="s">
        <v>2393</v>
      </c>
      <c r="D61" s="80" t="s">
        <v>2644</v>
      </c>
      <c r="E61" s="80" t="s">
        <v>2641</v>
      </c>
      <c r="F61" s="80" t="s">
        <v>2370</v>
      </c>
      <c r="G61" s="80" t="s">
        <v>2702</v>
      </c>
      <c r="H61" s="79">
        <v>13</v>
      </c>
      <c r="I61" s="79">
        <v>4196.33</v>
      </c>
      <c r="J61" s="79">
        <v>54552.29</v>
      </c>
    </row>
    <row r="62" spans="1:10" ht="15" thickBot="1">
      <c r="A62" s="98">
        <v>44990</v>
      </c>
      <c r="B62" s="80" t="s">
        <v>2687</v>
      </c>
      <c r="C62" s="80" t="s">
        <v>2657</v>
      </c>
      <c r="D62" s="80" t="s">
        <v>2648</v>
      </c>
      <c r="E62" s="80" t="s">
        <v>2641</v>
      </c>
      <c r="F62" s="80" t="s">
        <v>2374</v>
      </c>
      <c r="G62" s="80" t="s">
        <v>2689</v>
      </c>
      <c r="H62" s="79">
        <v>18</v>
      </c>
      <c r="I62" s="79">
        <v>1310.78</v>
      </c>
      <c r="J62" s="79">
        <v>23594.04</v>
      </c>
    </row>
    <row r="63" spans="1:10" ht="15" thickBot="1">
      <c r="A63" s="98" t="s">
        <v>2550</v>
      </c>
      <c r="B63" s="80" t="s">
        <v>2686</v>
      </c>
      <c r="C63" s="80" t="s">
        <v>2393</v>
      </c>
      <c r="D63" s="80" t="s">
        <v>2644</v>
      </c>
      <c r="E63" s="80" t="s">
        <v>2641</v>
      </c>
      <c r="F63" s="80" t="s">
        <v>2373</v>
      </c>
      <c r="G63" s="80" t="s">
        <v>2703</v>
      </c>
      <c r="H63" s="79">
        <v>20</v>
      </c>
      <c r="I63" s="79">
        <v>2142.9</v>
      </c>
      <c r="J63" s="79">
        <v>42858</v>
      </c>
    </row>
    <row r="64" spans="1:10" ht="15" thickBot="1">
      <c r="A64" s="98">
        <v>44997</v>
      </c>
      <c r="B64" s="80" t="s">
        <v>2687</v>
      </c>
      <c r="C64" s="80" t="s">
        <v>2652</v>
      </c>
      <c r="D64" s="80" t="s">
        <v>2647</v>
      </c>
      <c r="E64" s="80" t="s">
        <v>2643</v>
      </c>
      <c r="F64" s="80" t="s">
        <v>2370</v>
      </c>
      <c r="G64" s="80" t="s">
        <v>2702</v>
      </c>
      <c r="H64" s="79">
        <v>19</v>
      </c>
      <c r="I64" s="79">
        <v>1359.7</v>
      </c>
      <c r="J64" s="79">
        <v>25834.3</v>
      </c>
    </row>
    <row r="65" spans="1:10" ht="15" thickBot="1">
      <c r="A65" s="98" t="s">
        <v>2621</v>
      </c>
      <c r="B65" s="80" t="s">
        <v>2678</v>
      </c>
      <c r="C65" s="80" t="s">
        <v>2655</v>
      </c>
      <c r="D65" s="80" t="s">
        <v>2645</v>
      </c>
      <c r="E65" s="80" t="s">
        <v>2642</v>
      </c>
      <c r="F65" s="80" t="s">
        <v>2373</v>
      </c>
      <c r="G65" s="80" t="s">
        <v>2703</v>
      </c>
      <c r="H65" s="79">
        <v>16</v>
      </c>
      <c r="I65" s="79">
        <v>4896.07</v>
      </c>
      <c r="J65" s="79">
        <v>78337.119999999995</v>
      </c>
    </row>
    <row r="66" spans="1:10" ht="15" thickBot="1">
      <c r="A66" s="98" t="s">
        <v>2515</v>
      </c>
      <c r="B66" s="80" t="s">
        <v>2682</v>
      </c>
      <c r="C66" s="80" t="s">
        <v>2658</v>
      </c>
      <c r="D66" s="80" t="s">
        <v>2645</v>
      </c>
      <c r="E66" s="80" t="s">
        <v>2642</v>
      </c>
      <c r="F66" s="80" t="s">
        <v>2374</v>
      </c>
      <c r="G66" s="80" t="s">
        <v>2700</v>
      </c>
      <c r="H66" s="79">
        <v>8</v>
      </c>
      <c r="I66" s="79">
        <v>4216.03</v>
      </c>
      <c r="J66" s="79">
        <v>33728.239999999998</v>
      </c>
    </row>
    <row r="67" spans="1:10" ht="15" thickBot="1">
      <c r="A67" s="98">
        <v>45054</v>
      </c>
      <c r="B67" s="80" t="s">
        <v>2681</v>
      </c>
      <c r="C67" s="80" t="s">
        <v>2393</v>
      </c>
      <c r="D67" s="80" t="s">
        <v>2644</v>
      </c>
      <c r="E67" s="80" t="s">
        <v>2641</v>
      </c>
      <c r="F67" s="80" t="s">
        <v>2661</v>
      </c>
      <c r="G67" s="80" t="s">
        <v>2695</v>
      </c>
      <c r="H67" s="79">
        <v>14</v>
      </c>
      <c r="I67" s="79">
        <v>2134.06</v>
      </c>
      <c r="J67" s="79">
        <v>29876.84</v>
      </c>
    </row>
    <row r="68" spans="1:10" ht="15" thickBot="1">
      <c r="A68" s="98" t="s">
        <v>2607</v>
      </c>
      <c r="B68" s="80" t="s">
        <v>2687</v>
      </c>
      <c r="C68" s="80" t="s">
        <v>2660</v>
      </c>
      <c r="D68" s="80" t="s">
        <v>2647</v>
      </c>
      <c r="E68" s="80" t="s">
        <v>2643</v>
      </c>
      <c r="F68" s="80" t="s">
        <v>2373</v>
      </c>
      <c r="G68" s="80" t="s">
        <v>2697</v>
      </c>
      <c r="H68" s="79">
        <v>6</v>
      </c>
      <c r="I68" s="79">
        <v>1523.33</v>
      </c>
      <c r="J68" s="79">
        <v>9139.98</v>
      </c>
    </row>
    <row r="69" spans="1:10" ht="15" thickBot="1">
      <c r="A69" s="98" t="s">
        <v>2600</v>
      </c>
      <c r="B69" s="80" t="s">
        <v>2680</v>
      </c>
      <c r="C69" s="80" t="s">
        <v>2651</v>
      </c>
      <c r="D69" s="80" t="s">
        <v>2646</v>
      </c>
      <c r="E69" s="80" t="s">
        <v>2642</v>
      </c>
      <c r="F69" s="80" t="s">
        <v>2661</v>
      </c>
      <c r="G69" s="80" t="s">
        <v>2691</v>
      </c>
      <c r="H69" s="79">
        <v>13</v>
      </c>
      <c r="I69" s="79">
        <v>646.63</v>
      </c>
      <c r="J69" s="79">
        <v>8406.19</v>
      </c>
    </row>
    <row r="70" spans="1:10" ht="15" thickBot="1">
      <c r="A70" s="98" t="s">
        <v>2561</v>
      </c>
      <c r="B70" s="80" t="s">
        <v>2683</v>
      </c>
      <c r="C70" s="80" t="s">
        <v>2655</v>
      </c>
      <c r="D70" s="80" t="s">
        <v>2645</v>
      </c>
      <c r="E70" s="80" t="s">
        <v>2642</v>
      </c>
      <c r="F70" s="80" t="s">
        <v>2374</v>
      </c>
      <c r="G70" s="80" t="s">
        <v>2704</v>
      </c>
      <c r="H70" s="79">
        <v>4</v>
      </c>
      <c r="I70" s="79">
        <v>4965.34</v>
      </c>
      <c r="J70" s="79">
        <v>19861.36</v>
      </c>
    </row>
    <row r="71" spans="1:10" ht="15" thickBot="1">
      <c r="A71" s="98" t="s">
        <v>2668</v>
      </c>
      <c r="B71" s="80" t="s">
        <v>2685</v>
      </c>
      <c r="C71" s="80" t="s">
        <v>2393</v>
      </c>
      <c r="D71" s="80" t="s">
        <v>2644</v>
      </c>
      <c r="E71" s="80" t="s">
        <v>2641</v>
      </c>
      <c r="F71" s="80" t="s">
        <v>2374</v>
      </c>
      <c r="G71" s="80" t="s">
        <v>2692</v>
      </c>
      <c r="H71" s="79">
        <v>14</v>
      </c>
      <c r="I71" s="79">
        <v>2883.11</v>
      </c>
      <c r="J71" s="79">
        <v>40363.54</v>
      </c>
    </row>
    <row r="72" spans="1:10" ht="15" thickBot="1">
      <c r="A72" s="98" t="s">
        <v>2446</v>
      </c>
      <c r="B72" s="80" t="s">
        <v>2682</v>
      </c>
      <c r="C72" s="80" t="s">
        <v>2659</v>
      </c>
      <c r="D72" s="80" t="s">
        <v>2647</v>
      </c>
      <c r="E72" s="80" t="s">
        <v>2643</v>
      </c>
      <c r="F72" s="80" t="s">
        <v>2661</v>
      </c>
      <c r="G72" s="80" t="s">
        <v>2695</v>
      </c>
      <c r="H72" s="79">
        <v>9</v>
      </c>
      <c r="I72" s="79">
        <v>2819.87</v>
      </c>
      <c r="J72" s="79">
        <v>25378.83</v>
      </c>
    </row>
    <row r="73" spans="1:10" ht="15" thickBot="1">
      <c r="A73" s="98" t="s">
        <v>2468</v>
      </c>
      <c r="B73" s="80" t="s">
        <v>2681</v>
      </c>
      <c r="C73" s="80" t="s">
        <v>2392</v>
      </c>
      <c r="D73" s="80" t="s">
        <v>2644</v>
      </c>
      <c r="E73" s="80" t="s">
        <v>2641</v>
      </c>
      <c r="F73" s="80" t="s">
        <v>2372</v>
      </c>
      <c r="G73" s="80" t="s">
        <v>2690</v>
      </c>
      <c r="H73" s="79">
        <v>12</v>
      </c>
      <c r="I73" s="79">
        <v>3961.23</v>
      </c>
      <c r="J73" s="79">
        <v>47534.76</v>
      </c>
    </row>
    <row r="74" spans="1:10" ht="15" thickBot="1">
      <c r="A74" s="98">
        <v>44960</v>
      </c>
      <c r="B74" s="80" t="s">
        <v>2683</v>
      </c>
      <c r="C74" s="80" t="s">
        <v>2651</v>
      </c>
      <c r="D74" s="80" t="s">
        <v>2646</v>
      </c>
      <c r="E74" s="80" t="s">
        <v>2642</v>
      </c>
      <c r="F74" s="80" t="s">
        <v>2372</v>
      </c>
      <c r="G74" s="80" t="s">
        <v>2690</v>
      </c>
      <c r="H74" s="79">
        <v>15</v>
      </c>
      <c r="I74" s="79">
        <v>2194.7199999999998</v>
      </c>
      <c r="J74" s="79">
        <v>32920.800000000003</v>
      </c>
    </row>
    <row r="75" spans="1:10" ht="15" thickBot="1">
      <c r="A75" s="98" t="s">
        <v>2568</v>
      </c>
      <c r="B75" s="80" t="s">
        <v>2682</v>
      </c>
      <c r="C75" s="80" t="s">
        <v>2649</v>
      </c>
      <c r="D75" s="80" t="s">
        <v>2645</v>
      </c>
      <c r="E75" s="80" t="s">
        <v>2642</v>
      </c>
      <c r="F75" s="80" t="s">
        <v>2370</v>
      </c>
      <c r="G75" s="80" t="s">
        <v>2701</v>
      </c>
      <c r="H75" s="79">
        <v>5</v>
      </c>
      <c r="I75" s="79">
        <v>3058.74</v>
      </c>
      <c r="J75" s="79">
        <v>15293.7</v>
      </c>
    </row>
    <row r="76" spans="1:10" ht="15" thickBot="1">
      <c r="A76" s="98">
        <v>45211</v>
      </c>
      <c r="B76" s="80" t="s">
        <v>2684</v>
      </c>
      <c r="C76" s="80" t="s">
        <v>2392</v>
      </c>
      <c r="D76" s="80" t="s">
        <v>2644</v>
      </c>
      <c r="E76" s="80" t="s">
        <v>2641</v>
      </c>
      <c r="F76" s="80" t="s">
        <v>2372</v>
      </c>
      <c r="G76" s="80" t="s">
        <v>2690</v>
      </c>
      <c r="H76" s="79">
        <v>11</v>
      </c>
      <c r="I76" s="79">
        <v>827.59</v>
      </c>
      <c r="J76" s="79">
        <v>9103.49</v>
      </c>
    </row>
    <row r="77" spans="1:10" ht="15" thickBot="1">
      <c r="A77" s="98" t="s">
        <v>2461</v>
      </c>
      <c r="B77" s="80" t="s">
        <v>2685</v>
      </c>
      <c r="C77" s="80" t="s">
        <v>2651</v>
      </c>
      <c r="D77" s="80" t="s">
        <v>2646</v>
      </c>
      <c r="E77" s="80" t="s">
        <v>2642</v>
      </c>
      <c r="F77" s="80" t="s">
        <v>2370</v>
      </c>
      <c r="G77" s="80" t="s">
        <v>2702</v>
      </c>
      <c r="H77" s="79">
        <v>10</v>
      </c>
      <c r="I77" s="79">
        <v>2008.29</v>
      </c>
      <c r="J77" s="79">
        <v>20082.900000000001</v>
      </c>
    </row>
    <row r="78" spans="1:10" ht="15" thickBot="1">
      <c r="A78" s="98" t="s">
        <v>2514</v>
      </c>
      <c r="B78" s="80" t="s">
        <v>2684</v>
      </c>
      <c r="C78" s="80" t="s">
        <v>2396</v>
      </c>
      <c r="D78" s="80" t="s">
        <v>2648</v>
      </c>
      <c r="E78" s="80" t="s">
        <v>2641</v>
      </c>
      <c r="F78" s="80" t="s">
        <v>2372</v>
      </c>
      <c r="G78" s="80" t="s">
        <v>2693</v>
      </c>
      <c r="H78" s="79">
        <v>3</v>
      </c>
      <c r="I78" s="79">
        <v>4157.17</v>
      </c>
      <c r="J78" s="79">
        <v>12471.51</v>
      </c>
    </row>
    <row r="79" spans="1:10" ht="15" thickBot="1">
      <c r="A79" s="98">
        <v>45109</v>
      </c>
      <c r="B79" s="80" t="s">
        <v>2681</v>
      </c>
      <c r="C79" s="80" t="s">
        <v>2655</v>
      </c>
      <c r="D79" s="80" t="s">
        <v>2645</v>
      </c>
      <c r="E79" s="80" t="s">
        <v>2642</v>
      </c>
      <c r="F79" s="80" t="s">
        <v>2373</v>
      </c>
      <c r="G79" s="80" t="s">
        <v>2705</v>
      </c>
      <c r="H79" s="79">
        <v>19</v>
      </c>
      <c r="I79" s="79">
        <v>2880.28</v>
      </c>
      <c r="J79" s="79">
        <v>54725.32</v>
      </c>
    </row>
    <row r="80" spans="1:10" ht="15" thickBot="1">
      <c r="A80" s="98" t="s">
        <v>2606</v>
      </c>
      <c r="B80" s="80" t="s">
        <v>2687</v>
      </c>
      <c r="C80" s="80" t="s">
        <v>2656</v>
      </c>
      <c r="D80" s="80" t="s">
        <v>2648</v>
      </c>
      <c r="E80" s="80" t="s">
        <v>2641</v>
      </c>
      <c r="F80" s="80" t="s">
        <v>2370</v>
      </c>
      <c r="G80" s="80" t="s">
        <v>1336</v>
      </c>
      <c r="H80" s="79">
        <v>6</v>
      </c>
      <c r="I80" s="79">
        <v>1212.76</v>
      </c>
      <c r="J80" s="79">
        <v>7276.56</v>
      </c>
    </row>
    <row r="81" spans="1:10" ht="15" thickBot="1">
      <c r="A81" s="98" t="s">
        <v>2485</v>
      </c>
      <c r="B81" s="80" t="s">
        <v>2682</v>
      </c>
      <c r="C81" s="80" t="s">
        <v>2657</v>
      </c>
      <c r="D81" s="80" t="s">
        <v>2648</v>
      </c>
      <c r="E81" s="80" t="s">
        <v>2641</v>
      </c>
      <c r="F81" s="80" t="s">
        <v>2370</v>
      </c>
      <c r="G81" s="80" t="s">
        <v>2701</v>
      </c>
      <c r="H81" s="79">
        <v>11</v>
      </c>
      <c r="I81" s="79">
        <v>4463.4799999999996</v>
      </c>
      <c r="J81" s="79">
        <v>49098.28</v>
      </c>
    </row>
    <row r="82" spans="1:10" ht="15" thickBot="1">
      <c r="A82" s="98">
        <v>45236</v>
      </c>
      <c r="B82" s="80" t="s">
        <v>2685</v>
      </c>
      <c r="C82" s="80" t="s">
        <v>2649</v>
      </c>
      <c r="D82" s="80" t="s">
        <v>2645</v>
      </c>
      <c r="E82" s="80" t="s">
        <v>2642</v>
      </c>
      <c r="F82" s="80" t="s">
        <v>2374</v>
      </c>
      <c r="G82" s="80" t="s">
        <v>2692</v>
      </c>
      <c r="H82" s="79">
        <v>17</v>
      </c>
      <c r="I82" s="79">
        <v>3975.74</v>
      </c>
      <c r="J82" s="79">
        <v>67587.58</v>
      </c>
    </row>
    <row r="83" spans="1:10" ht="15" thickBot="1">
      <c r="A83" s="98" t="s">
        <v>2631</v>
      </c>
      <c r="B83" s="80" t="s">
        <v>2678</v>
      </c>
      <c r="C83" s="80" t="s">
        <v>2654</v>
      </c>
      <c r="D83" s="80" t="s">
        <v>2646</v>
      </c>
      <c r="E83" s="80" t="s">
        <v>2642</v>
      </c>
      <c r="F83" s="80" t="s">
        <v>2372</v>
      </c>
      <c r="G83" s="80" t="s">
        <v>2694</v>
      </c>
      <c r="H83" s="79">
        <v>15</v>
      </c>
      <c r="I83" s="79">
        <v>2158.2199999999998</v>
      </c>
      <c r="J83" s="79">
        <v>32373.3</v>
      </c>
    </row>
    <row r="84" spans="1:10" ht="15" thickBot="1">
      <c r="A84" s="98" t="s">
        <v>2608</v>
      </c>
      <c r="B84" s="80" t="s">
        <v>2680</v>
      </c>
      <c r="C84" s="80" t="s">
        <v>2396</v>
      </c>
      <c r="D84" s="80" t="s">
        <v>2648</v>
      </c>
      <c r="E84" s="80" t="s">
        <v>2641</v>
      </c>
      <c r="F84" s="80" t="s">
        <v>2372</v>
      </c>
      <c r="G84" s="80" t="s">
        <v>2693</v>
      </c>
      <c r="H84" s="79">
        <v>17</v>
      </c>
      <c r="I84" s="79">
        <v>1720.9</v>
      </c>
      <c r="J84" s="79">
        <v>29255.3</v>
      </c>
    </row>
    <row r="85" spans="1:10" ht="15" thickBot="1">
      <c r="A85" s="98" t="s">
        <v>2471</v>
      </c>
      <c r="B85" s="80" t="s">
        <v>2684</v>
      </c>
      <c r="C85" s="80" t="s">
        <v>2392</v>
      </c>
      <c r="D85" s="80" t="s">
        <v>2644</v>
      </c>
      <c r="E85" s="80" t="s">
        <v>2641</v>
      </c>
      <c r="F85" s="80" t="s">
        <v>2372</v>
      </c>
      <c r="G85" s="80" t="s">
        <v>2690</v>
      </c>
      <c r="H85" s="79">
        <v>11</v>
      </c>
      <c r="I85" s="79">
        <v>3562.92</v>
      </c>
      <c r="J85" s="79">
        <v>39192.120000000003</v>
      </c>
    </row>
    <row r="86" spans="1:10" ht="15" thickBot="1">
      <c r="A86" s="98" t="s">
        <v>2669</v>
      </c>
      <c r="B86" s="80" t="s">
        <v>2682</v>
      </c>
      <c r="C86" s="80" t="s">
        <v>2392</v>
      </c>
      <c r="D86" s="80" t="s">
        <v>2644</v>
      </c>
      <c r="E86" s="80" t="s">
        <v>2641</v>
      </c>
      <c r="F86" s="80" t="s">
        <v>2374</v>
      </c>
      <c r="G86" s="80" t="s">
        <v>2692</v>
      </c>
      <c r="H86" s="79">
        <v>17</v>
      </c>
      <c r="I86" s="79">
        <v>608.79</v>
      </c>
      <c r="J86" s="79">
        <v>10349.43</v>
      </c>
    </row>
    <row r="87" spans="1:10" ht="15" thickBot="1">
      <c r="A87" s="98" t="s">
        <v>2569</v>
      </c>
      <c r="B87" s="80" t="s">
        <v>2683</v>
      </c>
      <c r="C87" s="80" t="s">
        <v>2656</v>
      </c>
      <c r="D87" s="80" t="s">
        <v>2648</v>
      </c>
      <c r="E87" s="80" t="s">
        <v>2641</v>
      </c>
      <c r="F87" s="80" t="s">
        <v>2661</v>
      </c>
      <c r="G87" s="80" t="s">
        <v>2691</v>
      </c>
      <c r="H87" s="79">
        <v>20</v>
      </c>
      <c r="I87" s="79">
        <v>4856.17</v>
      </c>
      <c r="J87" s="79">
        <v>97123.4</v>
      </c>
    </row>
    <row r="88" spans="1:10" ht="15" thickBot="1">
      <c r="A88" s="98" t="s">
        <v>2600</v>
      </c>
      <c r="B88" s="80" t="s">
        <v>2687</v>
      </c>
      <c r="C88" s="80" t="s">
        <v>2660</v>
      </c>
      <c r="D88" s="80" t="s">
        <v>2647</v>
      </c>
      <c r="E88" s="80" t="s">
        <v>2643</v>
      </c>
      <c r="F88" s="80" t="s">
        <v>2374</v>
      </c>
      <c r="G88" s="80" t="s">
        <v>2689</v>
      </c>
      <c r="H88" s="79">
        <v>12</v>
      </c>
      <c r="I88" s="79">
        <v>4298</v>
      </c>
      <c r="J88" s="79">
        <v>51576</v>
      </c>
    </row>
    <row r="89" spans="1:10" ht="15" thickBot="1">
      <c r="A89" s="98">
        <v>45020</v>
      </c>
      <c r="B89" s="80" t="s">
        <v>2682</v>
      </c>
      <c r="C89" s="80" t="s">
        <v>2659</v>
      </c>
      <c r="D89" s="80" t="s">
        <v>2647</v>
      </c>
      <c r="E89" s="80" t="s">
        <v>2643</v>
      </c>
      <c r="F89" s="80" t="s">
        <v>2370</v>
      </c>
      <c r="G89" s="80" t="s">
        <v>2701</v>
      </c>
      <c r="H89" s="79">
        <v>7</v>
      </c>
      <c r="I89" s="79">
        <v>1160.3499999999999</v>
      </c>
      <c r="J89" s="79">
        <v>8122.45</v>
      </c>
    </row>
    <row r="90" spans="1:10" ht="15" thickBot="1">
      <c r="A90" s="98">
        <v>45115</v>
      </c>
      <c r="B90" s="80" t="s">
        <v>2684</v>
      </c>
      <c r="C90" s="80" t="s">
        <v>2660</v>
      </c>
      <c r="D90" s="80" t="s">
        <v>2647</v>
      </c>
      <c r="E90" s="80" t="s">
        <v>2643</v>
      </c>
      <c r="F90" s="80" t="s">
        <v>2372</v>
      </c>
      <c r="G90" s="80" t="s">
        <v>2693</v>
      </c>
      <c r="H90" s="79">
        <v>3</v>
      </c>
      <c r="I90" s="79">
        <v>2488.34</v>
      </c>
      <c r="J90" s="79">
        <v>7465.02</v>
      </c>
    </row>
    <row r="91" spans="1:10" ht="15" thickBot="1">
      <c r="A91" s="98" t="s">
        <v>2631</v>
      </c>
      <c r="B91" s="80" t="s">
        <v>2680</v>
      </c>
      <c r="C91" s="80" t="s">
        <v>2654</v>
      </c>
      <c r="D91" s="80" t="s">
        <v>2646</v>
      </c>
      <c r="E91" s="80" t="s">
        <v>2642</v>
      </c>
      <c r="F91" s="80" t="s">
        <v>2373</v>
      </c>
      <c r="G91" s="80" t="s">
        <v>2703</v>
      </c>
      <c r="H91" s="79">
        <v>8</v>
      </c>
      <c r="I91" s="79">
        <v>1990</v>
      </c>
      <c r="J91" s="79">
        <v>15920</v>
      </c>
    </row>
    <row r="92" spans="1:10" ht="15" thickBot="1">
      <c r="A92" s="98" t="s">
        <v>2445</v>
      </c>
      <c r="B92" s="80" t="s">
        <v>2683</v>
      </c>
      <c r="C92" s="80" t="s">
        <v>2657</v>
      </c>
      <c r="D92" s="80" t="s">
        <v>2648</v>
      </c>
      <c r="E92" s="80" t="s">
        <v>2641</v>
      </c>
      <c r="F92" s="80" t="s">
        <v>2370</v>
      </c>
      <c r="G92" s="80" t="s">
        <v>2701</v>
      </c>
      <c r="H92" s="79">
        <v>20</v>
      </c>
      <c r="I92" s="79">
        <v>2446.21</v>
      </c>
      <c r="J92" s="79">
        <v>48924.2</v>
      </c>
    </row>
    <row r="93" spans="1:10" ht="15" thickBot="1">
      <c r="A93" s="98" t="s">
        <v>2670</v>
      </c>
      <c r="B93" s="80" t="s">
        <v>2681</v>
      </c>
      <c r="C93" s="80" t="s">
        <v>2655</v>
      </c>
      <c r="D93" s="80" t="s">
        <v>2645</v>
      </c>
      <c r="E93" s="80" t="s">
        <v>2642</v>
      </c>
      <c r="F93" s="80" t="s">
        <v>2374</v>
      </c>
      <c r="G93" s="80" t="s">
        <v>2704</v>
      </c>
      <c r="H93" s="79">
        <v>11</v>
      </c>
      <c r="I93" s="79">
        <v>1841.84</v>
      </c>
      <c r="J93" s="79">
        <v>20260.240000000002</v>
      </c>
    </row>
    <row r="94" spans="1:10" ht="15" thickBot="1">
      <c r="A94" s="98">
        <v>44938</v>
      </c>
      <c r="B94" s="80" t="s">
        <v>2683</v>
      </c>
      <c r="C94" s="80" t="s">
        <v>2652</v>
      </c>
      <c r="D94" s="80" t="s">
        <v>2647</v>
      </c>
      <c r="E94" s="80" t="s">
        <v>2643</v>
      </c>
      <c r="F94" s="80" t="s">
        <v>2370</v>
      </c>
      <c r="G94" s="80" t="s">
        <v>1335</v>
      </c>
      <c r="H94" s="79">
        <v>5</v>
      </c>
      <c r="I94" s="79">
        <v>3289.83</v>
      </c>
      <c r="J94" s="79">
        <v>16449.150000000001</v>
      </c>
    </row>
    <row r="95" spans="1:10" ht="15" thickBot="1">
      <c r="A95" s="98" t="s">
        <v>2618</v>
      </c>
      <c r="B95" s="80" t="s">
        <v>2684</v>
      </c>
      <c r="C95" s="80" t="s">
        <v>2392</v>
      </c>
      <c r="D95" s="80" t="s">
        <v>2644</v>
      </c>
      <c r="E95" s="80" t="s">
        <v>2641</v>
      </c>
      <c r="F95" s="80" t="s">
        <v>2661</v>
      </c>
      <c r="G95" s="80" t="s">
        <v>2696</v>
      </c>
      <c r="H95" s="79">
        <v>6</v>
      </c>
      <c r="I95" s="79">
        <v>549.79999999999995</v>
      </c>
      <c r="J95" s="79">
        <v>3298.8</v>
      </c>
    </row>
    <row r="96" spans="1:10" ht="15" thickBot="1">
      <c r="A96" s="98">
        <v>44987</v>
      </c>
      <c r="B96" s="80" t="s">
        <v>2685</v>
      </c>
      <c r="C96" s="80" t="s">
        <v>2651</v>
      </c>
      <c r="D96" s="80" t="s">
        <v>2646</v>
      </c>
      <c r="E96" s="80" t="s">
        <v>2642</v>
      </c>
      <c r="F96" s="80" t="s">
        <v>2370</v>
      </c>
      <c r="G96" s="80" t="s">
        <v>1335</v>
      </c>
      <c r="H96" s="79">
        <v>20</v>
      </c>
      <c r="I96" s="79">
        <v>4397.46</v>
      </c>
      <c r="J96" s="79">
        <v>87949.2</v>
      </c>
    </row>
    <row r="97" spans="1:10" ht="15" thickBot="1">
      <c r="A97" s="98">
        <v>45235</v>
      </c>
      <c r="B97" s="80" t="s">
        <v>2684</v>
      </c>
      <c r="C97" s="80" t="s">
        <v>2658</v>
      </c>
      <c r="D97" s="80" t="s">
        <v>2645</v>
      </c>
      <c r="E97" s="80" t="s">
        <v>2642</v>
      </c>
      <c r="F97" s="80" t="s">
        <v>2661</v>
      </c>
      <c r="G97" s="80" t="s">
        <v>2691</v>
      </c>
      <c r="H97" s="79">
        <v>3</v>
      </c>
      <c r="I97" s="79">
        <v>3107.88</v>
      </c>
      <c r="J97" s="79">
        <v>9323.64</v>
      </c>
    </row>
    <row r="98" spans="1:10" ht="15" thickBot="1">
      <c r="A98" s="98" t="s">
        <v>2547</v>
      </c>
      <c r="B98" s="80" t="s">
        <v>2678</v>
      </c>
      <c r="C98" s="80" t="s">
        <v>2396</v>
      </c>
      <c r="D98" s="80" t="s">
        <v>2648</v>
      </c>
      <c r="E98" s="80" t="s">
        <v>2641</v>
      </c>
      <c r="F98" s="80" t="s">
        <v>2373</v>
      </c>
      <c r="G98" s="80" t="s">
        <v>2705</v>
      </c>
      <c r="H98" s="79">
        <v>11</v>
      </c>
      <c r="I98" s="79">
        <v>1451.86</v>
      </c>
      <c r="J98" s="79">
        <v>15970.46</v>
      </c>
    </row>
    <row r="99" spans="1:10" ht="15" thickBot="1">
      <c r="A99" s="98">
        <v>44992</v>
      </c>
      <c r="B99" s="80" t="s">
        <v>2684</v>
      </c>
      <c r="C99" s="80" t="s">
        <v>2654</v>
      </c>
      <c r="D99" s="80" t="s">
        <v>2646</v>
      </c>
      <c r="E99" s="80" t="s">
        <v>2642</v>
      </c>
      <c r="F99" s="80" t="s">
        <v>2661</v>
      </c>
      <c r="G99" s="80" t="s">
        <v>2698</v>
      </c>
      <c r="H99" s="79">
        <v>13</v>
      </c>
      <c r="I99" s="79">
        <v>4087.03</v>
      </c>
      <c r="J99" s="79">
        <v>53131.39</v>
      </c>
    </row>
    <row r="100" spans="1:10" ht="15" thickBot="1">
      <c r="A100" s="98">
        <v>44966</v>
      </c>
      <c r="B100" s="80" t="s">
        <v>2678</v>
      </c>
      <c r="C100" s="80" t="s">
        <v>2660</v>
      </c>
      <c r="D100" s="80" t="s">
        <v>2647</v>
      </c>
      <c r="E100" s="80" t="s">
        <v>2643</v>
      </c>
      <c r="F100" s="80" t="s">
        <v>2374</v>
      </c>
      <c r="G100" s="80" t="s">
        <v>2689</v>
      </c>
      <c r="H100" s="79">
        <v>12</v>
      </c>
      <c r="I100" s="79">
        <v>3040.08</v>
      </c>
      <c r="J100" s="79">
        <v>36480.959999999999</v>
      </c>
    </row>
    <row r="101" spans="1:10" ht="15" thickBot="1">
      <c r="A101" s="98" t="s">
        <v>2461</v>
      </c>
      <c r="B101" s="80" t="s">
        <v>2683</v>
      </c>
      <c r="C101" s="80" t="s">
        <v>2652</v>
      </c>
      <c r="D101" s="80" t="s">
        <v>2647</v>
      </c>
      <c r="E101" s="80" t="s">
        <v>2643</v>
      </c>
      <c r="F101" s="80" t="s">
        <v>2661</v>
      </c>
      <c r="G101" s="80" t="s">
        <v>2696</v>
      </c>
      <c r="H101" s="79">
        <v>19</v>
      </c>
      <c r="I101" s="79">
        <v>3968.42</v>
      </c>
      <c r="J101" s="79">
        <v>75399.98</v>
      </c>
    </row>
    <row r="102" spans="1:10" ht="15" thickBot="1">
      <c r="A102" s="98" t="s">
        <v>2623</v>
      </c>
      <c r="B102" s="80" t="s">
        <v>2687</v>
      </c>
      <c r="C102" s="80" t="s">
        <v>2649</v>
      </c>
      <c r="D102" s="80" t="s">
        <v>2645</v>
      </c>
      <c r="E102" s="80" t="s">
        <v>2642</v>
      </c>
      <c r="F102" s="80" t="s">
        <v>2370</v>
      </c>
      <c r="G102" s="80" t="s">
        <v>1336</v>
      </c>
      <c r="H102" s="79">
        <v>4</v>
      </c>
      <c r="I102" s="79">
        <v>894.64</v>
      </c>
      <c r="J102" s="79">
        <v>3578.56</v>
      </c>
    </row>
    <row r="103" spans="1:10" ht="15" thickBot="1">
      <c r="A103" s="98">
        <v>44996</v>
      </c>
      <c r="B103" s="80" t="s">
        <v>2684</v>
      </c>
      <c r="C103" s="80" t="s">
        <v>2649</v>
      </c>
      <c r="D103" s="80" t="s">
        <v>2645</v>
      </c>
      <c r="E103" s="80" t="s">
        <v>2642</v>
      </c>
      <c r="F103" s="80" t="s">
        <v>2661</v>
      </c>
      <c r="G103" s="80" t="s">
        <v>2698</v>
      </c>
      <c r="H103" s="79">
        <v>20</v>
      </c>
      <c r="I103" s="79">
        <v>1787.99</v>
      </c>
      <c r="J103" s="79">
        <v>35759.800000000003</v>
      </c>
    </row>
    <row r="104" spans="1:10" ht="15" thickBot="1">
      <c r="A104" s="98" t="s">
        <v>2570</v>
      </c>
      <c r="B104" s="80" t="s">
        <v>2678</v>
      </c>
      <c r="C104" s="80" t="s">
        <v>2392</v>
      </c>
      <c r="D104" s="80" t="s">
        <v>2644</v>
      </c>
      <c r="E104" s="80" t="s">
        <v>2641</v>
      </c>
      <c r="F104" s="80" t="s">
        <v>2373</v>
      </c>
      <c r="G104" s="80" t="s">
        <v>2697</v>
      </c>
      <c r="H104" s="79">
        <v>17</v>
      </c>
      <c r="I104" s="79">
        <v>2910.12</v>
      </c>
      <c r="J104" s="79">
        <v>49472.04</v>
      </c>
    </row>
    <row r="105" spans="1:10" ht="15" thickBot="1">
      <c r="A105" s="98">
        <v>44987</v>
      </c>
      <c r="B105" s="80" t="s">
        <v>2687</v>
      </c>
      <c r="C105" s="80" t="s">
        <v>2654</v>
      </c>
      <c r="D105" s="80" t="s">
        <v>2646</v>
      </c>
      <c r="E105" s="80" t="s">
        <v>2642</v>
      </c>
      <c r="F105" s="80" t="s">
        <v>2661</v>
      </c>
      <c r="G105" s="80" t="s">
        <v>2691</v>
      </c>
      <c r="H105" s="79">
        <v>16</v>
      </c>
      <c r="I105" s="79">
        <v>827.8</v>
      </c>
      <c r="J105" s="79">
        <v>13244.8</v>
      </c>
    </row>
    <row r="106" spans="1:10" ht="15" thickBot="1">
      <c r="A106" s="98">
        <v>45174</v>
      </c>
      <c r="B106" s="80" t="s">
        <v>2680</v>
      </c>
      <c r="C106" s="80" t="s">
        <v>2660</v>
      </c>
      <c r="D106" s="80" t="s">
        <v>2647</v>
      </c>
      <c r="E106" s="80" t="s">
        <v>2643</v>
      </c>
      <c r="F106" s="80" t="s">
        <v>2374</v>
      </c>
      <c r="G106" s="80" t="s">
        <v>2692</v>
      </c>
      <c r="H106" s="79">
        <v>18</v>
      </c>
      <c r="I106" s="79">
        <v>3093.44</v>
      </c>
      <c r="J106" s="79">
        <v>55681.919999999998</v>
      </c>
    </row>
    <row r="107" spans="1:10" ht="15" thickBot="1">
      <c r="A107" s="98" t="s">
        <v>2480</v>
      </c>
      <c r="B107" s="80" t="s">
        <v>2684</v>
      </c>
      <c r="C107" s="80" t="s">
        <v>2650</v>
      </c>
      <c r="D107" s="80" t="s">
        <v>2646</v>
      </c>
      <c r="E107" s="80" t="s">
        <v>2642</v>
      </c>
      <c r="F107" s="80" t="s">
        <v>2372</v>
      </c>
      <c r="G107" s="80" t="s">
        <v>2694</v>
      </c>
      <c r="H107" s="79">
        <v>10</v>
      </c>
      <c r="I107" s="79">
        <v>2469.04</v>
      </c>
      <c r="J107" s="79">
        <v>24690.400000000001</v>
      </c>
    </row>
    <row r="108" spans="1:10" ht="15" thickBot="1">
      <c r="A108" s="98" t="s">
        <v>2470</v>
      </c>
      <c r="B108" s="80" t="s">
        <v>2680</v>
      </c>
      <c r="C108" s="80" t="s">
        <v>2650</v>
      </c>
      <c r="D108" s="80" t="s">
        <v>2646</v>
      </c>
      <c r="E108" s="80" t="s">
        <v>2642</v>
      </c>
      <c r="F108" s="80" t="s">
        <v>2374</v>
      </c>
      <c r="G108" s="80" t="s">
        <v>2689</v>
      </c>
      <c r="H108" s="79">
        <v>12</v>
      </c>
      <c r="I108" s="79">
        <v>2127.2800000000002</v>
      </c>
      <c r="J108" s="79">
        <v>25527.360000000001</v>
      </c>
    </row>
    <row r="109" spans="1:10" ht="15" thickBot="1">
      <c r="A109" s="98" t="s">
        <v>2640</v>
      </c>
      <c r="B109" s="80" t="s">
        <v>2683</v>
      </c>
      <c r="C109" s="80" t="s">
        <v>2650</v>
      </c>
      <c r="D109" s="80" t="s">
        <v>2646</v>
      </c>
      <c r="E109" s="80" t="s">
        <v>2642</v>
      </c>
      <c r="F109" s="80" t="s">
        <v>2370</v>
      </c>
      <c r="G109" s="80" t="s">
        <v>1336</v>
      </c>
      <c r="H109" s="79">
        <v>1</v>
      </c>
      <c r="I109" s="79">
        <v>1811.76</v>
      </c>
      <c r="J109" s="79">
        <v>1811.76</v>
      </c>
    </row>
    <row r="110" spans="1:10" ht="15" thickBot="1">
      <c r="A110" s="98" t="s">
        <v>2632</v>
      </c>
      <c r="B110" s="80" t="s">
        <v>2686</v>
      </c>
      <c r="C110" s="80" t="s">
        <v>2655</v>
      </c>
      <c r="D110" s="80" t="s">
        <v>2645</v>
      </c>
      <c r="E110" s="80" t="s">
        <v>2642</v>
      </c>
      <c r="F110" s="80" t="s">
        <v>2373</v>
      </c>
      <c r="G110" s="80" t="s">
        <v>2697</v>
      </c>
      <c r="H110" s="79">
        <v>4</v>
      </c>
      <c r="I110" s="79">
        <v>4485.82</v>
      </c>
      <c r="J110" s="79">
        <v>17943.28</v>
      </c>
    </row>
    <row r="111" spans="1:10" ht="15" thickBot="1">
      <c r="A111" s="98">
        <v>44994</v>
      </c>
      <c r="B111" s="80" t="s">
        <v>2686</v>
      </c>
      <c r="C111" s="80" t="s">
        <v>2649</v>
      </c>
      <c r="D111" s="80" t="s">
        <v>2645</v>
      </c>
      <c r="E111" s="80" t="s">
        <v>2642</v>
      </c>
      <c r="F111" s="80" t="s">
        <v>2370</v>
      </c>
      <c r="G111" s="80" t="s">
        <v>1336</v>
      </c>
      <c r="H111" s="79">
        <v>8</v>
      </c>
      <c r="I111" s="79">
        <v>4649.3500000000004</v>
      </c>
      <c r="J111" s="79">
        <v>37194.800000000003</v>
      </c>
    </row>
    <row r="112" spans="1:10" ht="15" thickBot="1">
      <c r="A112" s="98" t="s">
        <v>2490</v>
      </c>
      <c r="B112" s="80" t="s">
        <v>2679</v>
      </c>
      <c r="C112" s="80" t="s">
        <v>2651</v>
      </c>
      <c r="D112" s="80" t="s">
        <v>2646</v>
      </c>
      <c r="E112" s="80" t="s">
        <v>2642</v>
      </c>
      <c r="F112" s="80" t="s">
        <v>2373</v>
      </c>
      <c r="G112" s="80" t="s">
        <v>2705</v>
      </c>
      <c r="H112" s="79">
        <v>3</v>
      </c>
      <c r="I112" s="79">
        <v>4027.17</v>
      </c>
      <c r="J112" s="79">
        <v>12081.51</v>
      </c>
    </row>
    <row r="113" spans="1:10" ht="15" thickBot="1">
      <c r="A113" s="98" t="s">
        <v>2487</v>
      </c>
      <c r="B113" s="80" t="s">
        <v>2686</v>
      </c>
      <c r="C113" s="80" t="s">
        <v>2652</v>
      </c>
      <c r="D113" s="80" t="s">
        <v>2647</v>
      </c>
      <c r="E113" s="80" t="s">
        <v>2643</v>
      </c>
      <c r="F113" s="80" t="s">
        <v>2370</v>
      </c>
      <c r="G113" s="80" t="s">
        <v>2701</v>
      </c>
      <c r="H113" s="79">
        <v>14</v>
      </c>
      <c r="I113" s="79">
        <v>4406.29</v>
      </c>
      <c r="J113" s="79">
        <v>61688.06</v>
      </c>
    </row>
    <row r="114" spans="1:10" ht="15" thickBot="1">
      <c r="A114" s="98" t="s">
        <v>2518</v>
      </c>
      <c r="B114" s="80" t="s">
        <v>2679</v>
      </c>
      <c r="C114" s="80" t="s">
        <v>2650</v>
      </c>
      <c r="D114" s="80" t="s">
        <v>2646</v>
      </c>
      <c r="E114" s="80" t="s">
        <v>2642</v>
      </c>
      <c r="F114" s="80" t="s">
        <v>2661</v>
      </c>
      <c r="G114" s="80" t="s">
        <v>2696</v>
      </c>
      <c r="H114" s="79">
        <v>20</v>
      </c>
      <c r="I114" s="79">
        <v>4072.4</v>
      </c>
      <c r="J114" s="79">
        <v>81448</v>
      </c>
    </row>
    <row r="115" spans="1:10" ht="15" thickBot="1">
      <c r="A115" s="98" t="s">
        <v>2609</v>
      </c>
      <c r="B115" s="80" t="s">
        <v>2682</v>
      </c>
      <c r="C115" s="80" t="s">
        <v>2652</v>
      </c>
      <c r="D115" s="80" t="s">
        <v>2647</v>
      </c>
      <c r="E115" s="80" t="s">
        <v>2643</v>
      </c>
      <c r="F115" s="80" t="s">
        <v>2661</v>
      </c>
      <c r="G115" s="80" t="s">
        <v>2698</v>
      </c>
      <c r="H115" s="79">
        <v>1</v>
      </c>
      <c r="I115" s="79">
        <v>4801.38</v>
      </c>
      <c r="J115" s="79">
        <v>4801.38</v>
      </c>
    </row>
    <row r="116" spans="1:10" ht="15" thickBot="1">
      <c r="A116" s="98">
        <v>45078</v>
      </c>
      <c r="B116" s="80" t="s">
        <v>2684</v>
      </c>
      <c r="C116" s="80" t="s">
        <v>2658</v>
      </c>
      <c r="D116" s="80" t="s">
        <v>2645</v>
      </c>
      <c r="E116" s="80" t="s">
        <v>2642</v>
      </c>
      <c r="F116" s="80" t="s">
        <v>2372</v>
      </c>
      <c r="G116" s="80" t="s">
        <v>2694</v>
      </c>
      <c r="H116" s="79">
        <v>17</v>
      </c>
      <c r="I116" s="79">
        <v>828.26</v>
      </c>
      <c r="J116" s="79">
        <v>14080.42</v>
      </c>
    </row>
    <row r="117" spans="1:10" ht="15" thickBot="1">
      <c r="A117" s="98">
        <v>45170</v>
      </c>
      <c r="B117" s="80" t="s">
        <v>2681</v>
      </c>
      <c r="C117" s="80" t="s">
        <v>2396</v>
      </c>
      <c r="D117" s="80" t="s">
        <v>2648</v>
      </c>
      <c r="E117" s="80" t="s">
        <v>2641</v>
      </c>
      <c r="F117" s="80" t="s">
        <v>2661</v>
      </c>
      <c r="G117" s="80" t="s">
        <v>2696</v>
      </c>
      <c r="H117" s="79">
        <v>13</v>
      </c>
      <c r="I117" s="79">
        <v>4331.5</v>
      </c>
      <c r="J117" s="79">
        <v>56309.5</v>
      </c>
    </row>
    <row r="118" spans="1:10" ht="15" thickBot="1">
      <c r="A118" s="98">
        <v>44994</v>
      </c>
      <c r="B118" s="80" t="s">
        <v>2682</v>
      </c>
      <c r="C118" s="80" t="s">
        <v>2393</v>
      </c>
      <c r="D118" s="80" t="s">
        <v>2644</v>
      </c>
      <c r="E118" s="80" t="s">
        <v>2641</v>
      </c>
      <c r="F118" s="80" t="s">
        <v>2372</v>
      </c>
      <c r="G118" s="80" t="s">
        <v>2694</v>
      </c>
      <c r="H118" s="79">
        <v>14</v>
      </c>
      <c r="I118" s="79">
        <v>3404.4</v>
      </c>
      <c r="J118" s="79">
        <v>47661.599999999999</v>
      </c>
    </row>
    <row r="119" spans="1:10" ht="15" thickBot="1">
      <c r="A119" s="98" t="s">
        <v>2584</v>
      </c>
      <c r="B119" s="80" t="s">
        <v>2686</v>
      </c>
      <c r="C119" s="80" t="s">
        <v>2653</v>
      </c>
      <c r="D119" s="80" t="s">
        <v>2644</v>
      </c>
      <c r="E119" s="80" t="s">
        <v>2641</v>
      </c>
      <c r="F119" s="80" t="s">
        <v>2373</v>
      </c>
      <c r="G119" s="80" t="s">
        <v>2705</v>
      </c>
      <c r="H119" s="79">
        <v>20</v>
      </c>
      <c r="I119" s="79">
        <v>3734.44</v>
      </c>
      <c r="J119" s="79">
        <v>74688.800000000003</v>
      </c>
    </row>
    <row r="120" spans="1:10" ht="15" thickBot="1">
      <c r="A120" s="98" t="s">
        <v>2671</v>
      </c>
      <c r="B120" s="80" t="s">
        <v>2687</v>
      </c>
      <c r="C120" s="80" t="s">
        <v>2653</v>
      </c>
      <c r="D120" s="80" t="s">
        <v>2644</v>
      </c>
      <c r="E120" s="80" t="s">
        <v>2641</v>
      </c>
      <c r="F120" s="80" t="s">
        <v>2373</v>
      </c>
      <c r="G120" s="80" t="s">
        <v>2697</v>
      </c>
      <c r="H120" s="79">
        <v>6</v>
      </c>
      <c r="I120" s="79">
        <v>112.76</v>
      </c>
      <c r="J120" s="79">
        <v>676.56</v>
      </c>
    </row>
    <row r="121" spans="1:10" ht="15" thickBot="1">
      <c r="A121" s="98" t="s">
        <v>2509</v>
      </c>
      <c r="B121" s="80" t="s">
        <v>2687</v>
      </c>
      <c r="C121" s="80" t="s">
        <v>2659</v>
      </c>
      <c r="D121" s="80" t="s">
        <v>2647</v>
      </c>
      <c r="E121" s="80" t="s">
        <v>2643</v>
      </c>
      <c r="F121" s="80" t="s">
        <v>2370</v>
      </c>
      <c r="G121" s="80" t="s">
        <v>1335</v>
      </c>
      <c r="H121" s="79">
        <v>6</v>
      </c>
      <c r="I121" s="79">
        <v>4751.7700000000004</v>
      </c>
      <c r="J121" s="79">
        <v>28510.62</v>
      </c>
    </row>
    <row r="122" spans="1:10" ht="15" thickBot="1">
      <c r="A122" s="98">
        <v>45145</v>
      </c>
      <c r="B122" s="80" t="s">
        <v>2680</v>
      </c>
      <c r="C122" s="80" t="s">
        <v>2396</v>
      </c>
      <c r="D122" s="80" t="s">
        <v>2648</v>
      </c>
      <c r="E122" s="80" t="s">
        <v>2641</v>
      </c>
      <c r="F122" s="80" t="s">
        <v>2661</v>
      </c>
      <c r="G122" s="80" t="s">
        <v>2696</v>
      </c>
      <c r="H122" s="79">
        <v>4</v>
      </c>
      <c r="I122" s="79">
        <v>3214.1</v>
      </c>
      <c r="J122" s="79">
        <v>12856.4</v>
      </c>
    </row>
    <row r="123" spans="1:10" ht="15" thickBot="1">
      <c r="A123" s="98" t="s">
        <v>2587</v>
      </c>
      <c r="B123" s="80" t="s">
        <v>2678</v>
      </c>
      <c r="C123" s="80" t="s">
        <v>2659</v>
      </c>
      <c r="D123" s="80" t="s">
        <v>2647</v>
      </c>
      <c r="E123" s="80" t="s">
        <v>2643</v>
      </c>
      <c r="F123" s="80" t="s">
        <v>2370</v>
      </c>
      <c r="G123" s="80" t="s">
        <v>1336</v>
      </c>
      <c r="H123" s="79">
        <v>20</v>
      </c>
      <c r="I123" s="79">
        <v>598.97</v>
      </c>
      <c r="J123" s="79">
        <v>11979.4</v>
      </c>
    </row>
    <row r="124" spans="1:10" ht="15" thickBot="1">
      <c r="A124" s="98" t="s">
        <v>2540</v>
      </c>
      <c r="B124" s="80" t="s">
        <v>2687</v>
      </c>
      <c r="C124" s="80" t="s">
        <v>2653</v>
      </c>
      <c r="D124" s="80" t="s">
        <v>2644</v>
      </c>
      <c r="E124" s="80" t="s">
        <v>2641</v>
      </c>
      <c r="F124" s="80" t="s">
        <v>2373</v>
      </c>
      <c r="G124" s="80" t="s">
        <v>2697</v>
      </c>
      <c r="H124" s="79">
        <v>15</v>
      </c>
      <c r="I124" s="79">
        <v>1513.67</v>
      </c>
      <c r="J124" s="79">
        <v>22705.05</v>
      </c>
    </row>
    <row r="125" spans="1:10" ht="15" thickBot="1">
      <c r="A125" s="98" t="s">
        <v>2507</v>
      </c>
      <c r="B125" s="80" t="s">
        <v>2684</v>
      </c>
      <c r="C125" s="80" t="s">
        <v>2657</v>
      </c>
      <c r="D125" s="80" t="s">
        <v>2648</v>
      </c>
      <c r="E125" s="80" t="s">
        <v>2641</v>
      </c>
      <c r="F125" s="80" t="s">
        <v>2372</v>
      </c>
      <c r="G125" s="80" t="s">
        <v>2693</v>
      </c>
      <c r="H125" s="79">
        <v>6</v>
      </c>
      <c r="I125" s="79">
        <v>194.62</v>
      </c>
      <c r="J125" s="79">
        <v>1167.72</v>
      </c>
    </row>
    <row r="126" spans="1:10" ht="15" thickBot="1">
      <c r="A126" s="98">
        <v>44938</v>
      </c>
      <c r="B126" s="80" t="s">
        <v>2685</v>
      </c>
      <c r="C126" s="80" t="s">
        <v>2657</v>
      </c>
      <c r="D126" s="80" t="s">
        <v>2648</v>
      </c>
      <c r="E126" s="80" t="s">
        <v>2641</v>
      </c>
      <c r="F126" s="80" t="s">
        <v>2372</v>
      </c>
      <c r="G126" s="80" t="s">
        <v>2693</v>
      </c>
      <c r="H126" s="79">
        <v>6</v>
      </c>
      <c r="I126" s="79">
        <v>4508.3</v>
      </c>
      <c r="J126" s="79">
        <v>27049.8</v>
      </c>
    </row>
    <row r="127" spans="1:10" ht="15" thickBot="1">
      <c r="A127" s="98">
        <v>45239</v>
      </c>
      <c r="B127" s="80" t="s">
        <v>2683</v>
      </c>
      <c r="C127" s="80" t="s">
        <v>2656</v>
      </c>
      <c r="D127" s="80" t="s">
        <v>2648</v>
      </c>
      <c r="E127" s="80" t="s">
        <v>2641</v>
      </c>
      <c r="F127" s="80" t="s">
        <v>2373</v>
      </c>
      <c r="G127" s="80" t="s">
        <v>2705</v>
      </c>
      <c r="H127" s="79">
        <v>20</v>
      </c>
      <c r="I127" s="79">
        <v>4055.72</v>
      </c>
      <c r="J127" s="79">
        <v>81114.399999999994</v>
      </c>
    </row>
    <row r="128" spans="1:10" ht="15" thickBot="1">
      <c r="A128" s="98">
        <v>44995</v>
      </c>
      <c r="B128" s="80" t="s">
        <v>2684</v>
      </c>
      <c r="C128" s="80" t="s">
        <v>2651</v>
      </c>
      <c r="D128" s="80" t="s">
        <v>2646</v>
      </c>
      <c r="E128" s="80" t="s">
        <v>2642</v>
      </c>
      <c r="F128" s="80" t="s">
        <v>2373</v>
      </c>
      <c r="G128" s="80" t="s">
        <v>2705</v>
      </c>
      <c r="H128" s="79">
        <v>8</v>
      </c>
      <c r="I128" s="79">
        <v>2986.89</v>
      </c>
      <c r="J128" s="79">
        <v>23895.119999999999</v>
      </c>
    </row>
    <row r="129" spans="1:10" ht="15" thickBot="1">
      <c r="A129" s="98" t="s">
        <v>2607</v>
      </c>
      <c r="B129" s="80" t="s">
        <v>2682</v>
      </c>
      <c r="C129" s="80" t="s">
        <v>2660</v>
      </c>
      <c r="D129" s="80" t="s">
        <v>2647</v>
      </c>
      <c r="E129" s="80" t="s">
        <v>2643</v>
      </c>
      <c r="F129" s="80" t="s">
        <v>2370</v>
      </c>
      <c r="G129" s="80" t="s">
        <v>2701</v>
      </c>
      <c r="H129" s="79">
        <v>7</v>
      </c>
      <c r="I129" s="79">
        <v>4933.0600000000004</v>
      </c>
      <c r="J129" s="79">
        <v>34531.42</v>
      </c>
    </row>
    <row r="130" spans="1:10" ht="15" thickBot="1">
      <c r="A130" s="98" t="s">
        <v>2604</v>
      </c>
      <c r="B130" s="80" t="s">
        <v>2686</v>
      </c>
      <c r="C130" s="80" t="s">
        <v>2658</v>
      </c>
      <c r="D130" s="80" t="s">
        <v>2645</v>
      </c>
      <c r="E130" s="80" t="s">
        <v>2642</v>
      </c>
      <c r="F130" s="80" t="s">
        <v>2374</v>
      </c>
      <c r="G130" s="80" t="s">
        <v>2689</v>
      </c>
      <c r="H130" s="79">
        <v>4</v>
      </c>
      <c r="I130" s="79">
        <v>4837.17</v>
      </c>
      <c r="J130" s="79">
        <v>19348.68</v>
      </c>
    </row>
    <row r="131" spans="1:10" ht="15" thickBot="1">
      <c r="A131" s="98">
        <v>45026</v>
      </c>
      <c r="B131" s="80" t="s">
        <v>2684</v>
      </c>
      <c r="C131" s="80" t="s">
        <v>2659</v>
      </c>
      <c r="D131" s="80" t="s">
        <v>2647</v>
      </c>
      <c r="E131" s="80" t="s">
        <v>2643</v>
      </c>
      <c r="F131" s="80" t="s">
        <v>2374</v>
      </c>
      <c r="G131" s="80" t="s">
        <v>2689</v>
      </c>
      <c r="H131" s="79">
        <v>1</v>
      </c>
      <c r="I131" s="79">
        <v>4813.2299999999996</v>
      </c>
      <c r="J131" s="79">
        <v>4813.2299999999996</v>
      </c>
    </row>
    <row r="132" spans="1:10" ht="15" thickBot="1">
      <c r="A132" s="98" t="s">
        <v>2521</v>
      </c>
      <c r="B132" s="80" t="s">
        <v>2684</v>
      </c>
      <c r="C132" s="80" t="s">
        <v>2649</v>
      </c>
      <c r="D132" s="80" t="s">
        <v>2645</v>
      </c>
      <c r="E132" s="80" t="s">
        <v>2642</v>
      </c>
      <c r="F132" s="80" t="s">
        <v>2372</v>
      </c>
      <c r="G132" s="80" t="s">
        <v>2699</v>
      </c>
      <c r="H132" s="79">
        <v>16</v>
      </c>
      <c r="I132" s="79">
        <v>3158.66</v>
      </c>
      <c r="J132" s="79">
        <v>50538.559999999998</v>
      </c>
    </row>
    <row r="133" spans="1:10" ht="15" thickBot="1">
      <c r="A133" s="98">
        <v>45086</v>
      </c>
      <c r="B133" s="80" t="s">
        <v>2679</v>
      </c>
      <c r="C133" s="80" t="s">
        <v>2653</v>
      </c>
      <c r="D133" s="80" t="s">
        <v>2644</v>
      </c>
      <c r="E133" s="80" t="s">
        <v>2641</v>
      </c>
      <c r="F133" s="80" t="s">
        <v>2370</v>
      </c>
      <c r="G133" s="80" t="s">
        <v>1336</v>
      </c>
      <c r="H133" s="79">
        <v>6</v>
      </c>
      <c r="I133" s="79">
        <v>2920.43</v>
      </c>
      <c r="J133" s="79">
        <v>17522.580000000002</v>
      </c>
    </row>
    <row r="134" spans="1:10" ht="15" thickBot="1">
      <c r="A134" s="98">
        <v>45119</v>
      </c>
      <c r="B134" s="80" t="s">
        <v>2679</v>
      </c>
      <c r="C134" s="80" t="s">
        <v>2653</v>
      </c>
      <c r="D134" s="80" t="s">
        <v>2644</v>
      </c>
      <c r="E134" s="80" t="s">
        <v>2641</v>
      </c>
      <c r="F134" s="80" t="s">
        <v>2372</v>
      </c>
      <c r="G134" s="80" t="s">
        <v>2693</v>
      </c>
      <c r="H134" s="79">
        <v>12</v>
      </c>
      <c r="I134" s="79">
        <v>2170.02</v>
      </c>
      <c r="J134" s="79">
        <v>26040.240000000002</v>
      </c>
    </row>
    <row r="135" spans="1:10" ht="15" thickBot="1">
      <c r="A135" s="98" t="s">
        <v>2574</v>
      </c>
      <c r="B135" s="80" t="s">
        <v>2682</v>
      </c>
      <c r="C135" s="80" t="s">
        <v>2653</v>
      </c>
      <c r="D135" s="80" t="s">
        <v>2644</v>
      </c>
      <c r="E135" s="80" t="s">
        <v>2641</v>
      </c>
      <c r="F135" s="80" t="s">
        <v>2370</v>
      </c>
      <c r="G135" s="80" t="s">
        <v>1335</v>
      </c>
      <c r="H135" s="79">
        <v>2</v>
      </c>
      <c r="I135" s="79">
        <v>4542.6099999999997</v>
      </c>
      <c r="J135" s="79">
        <v>9085.2199999999993</v>
      </c>
    </row>
    <row r="136" spans="1:10" ht="15" thickBot="1">
      <c r="A136" s="98" t="s">
        <v>2519</v>
      </c>
      <c r="B136" s="80" t="s">
        <v>2680</v>
      </c>
      <c r="C136" s="80" t="s">
        <v>2393</v>
      </c>
      <c r="D136" s="80" t="s">
        <v>2644</v>
      </c>
      <c r="E136" s="80" t="s">
        <v>2641</v>
      </c>
      <c r="F136" s="80" t="s">
        <v>2370</v>
      </c>
      <c r="G136" s="80" t="s">
        <v>1335</v>
      </c>
      <c r="H136" s="79">
        <v>1</v>
      </c>
      <c r="I136" s="79">
        <v>3091.48</v>
      </c>
      <c r="J136" s="79">
        <v>3091.48</v>
      </c>
    </row>
    <row r="137" spans="1:10" ht="15" thickBot="1">
      <c r="A137" s="98">
        <v>45017</v>
      </c>
      <c r="B137" s="80" t="s">
        <v>2684</v>
      </c>
      <c r="C137" s="80" t="s">
        <v>2396</v>
      </c>
      <c r="D137" s="80" t="s">
        <v>2648</v>
      </c>
      <c r="E137" s="80" t="s">
        <v>2641</v>
      </c>
      <c r="F137" s="80" t="s">
        <v>2373</v>
      </c>
      <c r="G137" s="80" t="s">
        <v>2688</v>
      </c>
      <c r="H137" s="79">
        <v>3</v>
      </c>
      <c r="I137" s="79">
        <v>2205.6</v>
      </c>
      <c r="J137" s="79">
        <v>6616.8</v>
      </c>
    </row>
    <row r="138" spans="1:10" ht="15" thickBot="1">
      <c r="A138" s="98" t="s">
        <v>2598</v>
      </c>
      <c r="B138" s="80" t="s">
        <v>2680</v>
      </c>
      <c r="C138" s="80" t="s">
        <v>2653</v>
      </c>
      <c r="D138" s="80" t="s">
        <v>2644</v>
      </c>
      <c r="E138" s="80" t="s">
        <v>2641</v>
      </c>
      <c r="F138" s="80" t="s">
        <v>2370</v>
      </c>
      <c r="G138" s="80" t="s">
        <v>2701</v>
      </c>
      <c r="H138" s="79">
        <v>10</v>
      </c>
      <c r="I138" s="79">
        <v>4282.18</v>
      </c>
      <c r="J138" s="79">
        <v>42821.8</v>
      </c>
    </row>
    <row r="139" spans="1:10" ht="15" thickBot="1">
      <c r="A139" s="98" t="s">
        <v>2586</v>
      </c>
      <c r="B139" s="80" t="s">
        <v>2682</v>
      </c>
      <c r="C139" s="80" t="s">
        <v>2658</v>
      </c>
      <c r="D139" s="80" t="s">
        <v>2645</v>
      </c>
      <c r="E139" s="80" t="s">
        <v>2642</v>
      </c>
      <c r="F139" s="80" t="s">
        <v>2374</v>
      </c>
      <c r="G139" s="80" t="s">
        <v>2689</v>
      </c>
      <c r="H139" s="79">
        <v>5</v>
      </c>
      <c r="I139" s="79">
        <v>4252.84</v>
      </c>
      <c r="J139" s="79">
        <v>21264.2</v>
      </c>
    </row>
    <row r="140" spans="1:10" ht="15" thickBot="1">
      <c r="A140" s="98">
        <v>45139</v>
      </c>
      <c r="B140" s="80" t="s">
        <v>2679</v>
      </c>
      <c r="C140" s="80" t="s">
        <v>2652</v>
      </c>
      <c r="D140" s="80" t="s">
        <v>2647</v>
      </c>
      <c r="E140" s="80" t="s">
        <v>2643</v>
      </c>
      <c r="F140" s="80" t="s">
        <v>2373</v>
      </c>
      <c r="G140" s="80" t="s">
        <v>2705</v>
      </c>
      <c r="H140" s="79">
        <v>3</v>
      </c>
      <c r="I140" s="79">
        <v>916.33</v>
      </c>
      <c r="J140" s="79">
        <v>2748.99</v>
      </c>
    </row>
    <row r="141" spans="1:10" ht="15" thickBot="1">
      <c r="A141" s="98" t="s">
        <v>2493</v>
      </c>
      <c r="B141" s="80" t="s">
        <v>2679</v>
      </c>
      <c r="C141" s="80" t="s">
        <v>2656</v>
      </c>
      <c r="D141" s="80" t="s">
        <v>2648</v>
      </c>
      <c r="E141" s="80" t="s">
        <v>2641</v>
      </c>
      <c r="F141" s="80" t="s">
        <v>2373</v>
      </c>
      <c r="G141" s="80" t="s">
        <v>2705</v>
      </c>
      <c r="H141" s="79">
        <v>3</v>
      </c>
      <c r="I141" s="79">
        <v>1270.1500000000001</v>
      </c>
      <c r="J141" s="79">
        <v>3810.45</v>
      </c>
    </row>
    <row r="142" spans="1:10" ht="15" thickBot="1">
      <c r="A142" s="98">
        <v>45232</v>
      </c>
      <c r="B142" s="80" t="s">
        <v>2680</v>
      </c>
      <c r="C142" s="80" t="s">
        <v>2654</v>
      </c>
      <c r="D142" s="80" t="s">
        <v>2646</v>
      </c>
      <c r="E142" s="80" t="s">
        <v>2642</v>
      </c>
      <c r="F142" s="80" t="s">
        <v>2373</v>
      </c>
      <c r="G142" s="80" t="s">
        <v>2697</v>
      </c>
      <c r="H142" s="79">
        <v>6</v>
      </c>
      <c r="I142" s="79">
        <v>1750.35</v>
      </c>
      <c r="J142" s="79">
        <v>10502.1</v>
      </c>
    </row>
    <row r="143" spans="1:10" ht="15" thickBot="1">
      <c r="A143" s="98" t="s">
        <v>2456</v>
      </c>
      <c r="B143" s="80" t="s">
        <v>2678</v>
      </c>
      <c r="C143" s="80" t="s">
        <v>2654</v>
      </c>
      <c r="D143" s="80" t="s">
        <v>2646</v>
      </c>
      <c r="E143" s="80" t="s">
        <v>2642</v>
      </c>
      <c r="F143" s="80" t="s">
        <v>2661</v>
      </c>
      <c r="G143" s="80" t="s">
        <v>2691</v>
      </c>
      <c r="H143" s="79">
        <v>6</v>
      </c>
      <c r="I143" s="79">
        <v>1105.03</v>
      </c>
      <c r="J143" s="79">
        <v>6630.18</v>
      </c>
    </row>
    <row r="144" spans="1:10" ht="15" thickBot="1">
      <c r="A144" s="98" t="s">
        <v>2472</v>
      </c>
      <c r="B144" s="80" t="s">
        <v>2684</v>
      </c>
      <c r="C144" s="80" t="s">
        <v>2654</v>
      </c>
      <c r="D144" s="80" t="s">
        <v>2646</v>
      </c>
      <c r="E144" s="80" t="s">
        <v>2642</v>
      </c>
      <c r="F144" s="80" t="s">
        <v>2373</v>
      </c>
      <c r="G144" s="80" t="s">
        <v>2688</v>
      </c>
      <c r="H144" s="79">
        <v>17</v>
      </c>
      <c r="I144" s="79">
        <v>1801.69</v>
      </c>
      <c r="J144" s="79">
        <v>30628.73</v>
      </c>
    </row>
    <row r="145" spans="1:10" ht="15" thickBot="1">
      <c r="A145" s="98">
        <v>45176</v>
      </c>
      <c r="B145" s="80" t="s">
        <v>2685</v>
      </c>
      <c r="C145" s="80" t="s">
        <v>2655</v>
      </c>
      <c r="D145" s="80" t="s">
        <v>2645</v>
      </c>
      <c r="E145" s="80" t="s">
        <v>2642</v>
      </c>
      <c r="F145" s="80" t="s">
        <v>2370</v>
      </c>
      <c r="G145" s="80" t="s">
        <v>1335</v>
      </c>
      <c r="H145" s="79">
        <v>19</v>
      </c>
      <c r="I145" s="79">
        <v>717.29</v>
      </c>
      <c r="J145" s="79">
        <v>13628.51</v>
      </c>
    </row>
    <row r="146" spans="1:10" ht="15" thickBot="1">
      <c r="A146" s="98" t="s">
        <v>2670</v>
      </c>
      <c r="B146" s="80" t="s">
        <v>2680</v>
      </c>
      <c r="C146" s="80" t="s">
        <v>2657</v>
      </c>
      <c r="D146" s="80" t="s">
        <v>2648</v>
      </c>
      <c r="E146" s="80" t="s">
        <v>2641</v>
      </c>
      <c r="F146" s="80" t="s">
        <v>2374</v>
      </c>
      <c r="G146" s="80" t="s">
        <v>2700</v>
      </c>
      <c r="H146" s="79">
        <v>2</v>
      </c>
      <c r="I146" s="79">
        <v>4547.16</v>
      </c>
      <c r="J146" s="79">
        <v>9094.32</v>
      </c>
    </row>
    <row r="147" spans="1:10" ht="15" thickBot="1">
      <c r="A147" s="98">
        <v>45027</v>
      </c>
      <c r="B147" s="80" t="s">
        <v>2684</v>
      </c>
      <c r="C147" s="80" t="s">
        <v>2652</v>
      </c>
      <c r="D147" s="80" t="s">
        <v>2647</v>
      </c>
      <c r="E147" s="80" t="s">
        <v>2643</v>
      </c>
      <c r="F147" s="80" t="s">
        <v>2372</v>
      </c>
      <c r="G147" s="80" t="s">
        <v>2690</v>
      </c>
      <c r="H147" s="79">
        <v>2</v>
      </c>
      <c r="I147" s="79">
        <v>4818.49</v>
      </c>
      <c r="J147" s="79">
        <v>9636.98</v>
      </c>
    </row>
    <row r="148" spans="1:10" ht="15" thickBot="1">
      <c r="A148" s="98">
        <v>45210</v>
      </c>
      <c r="B148" s="80" t="s">
        <v>2681</v>
      </c>
      <c r="C148" s="80" t="s">
        <v>2650</v>
      </c>
      <c r="D148" s="80" t="s">
        <v>2646</v>
      </c>
      <c r="E148" s="80" t="s">
        <v>2642</v>
      </c>
      <c r="F148" s="80" t="s">
        <v>2374</v>
      </c>
      <c r="G148" s="80" t="s">
        <v>2689</v>
      </c>
      <c r="H148" s="79">
        <v>14</v>
      </c>
      <c r="I148" s="79">
        <v>1410.91</v>
      </c>
      <c r="J148" s="79">
        <v>19752.740000000002</v>
      </c>
    </row>
    <row r="149" spans="1:10" ht="15" thickBot="1">
      <c r="A149" s="98" t="s">
        <v>2672</v>
      </c>
      <c r="B149" s="80" t="s">
        <v>2687</v>
      </c>
      <c r="C149" s="80" t="s">
        <v>2658</v>
      </c>
      <c r="D149" s="80" t="s">
        <v>2645</v>
      </c>
      <c r="E149" s="80" t="s">
        <v>2642</v>
      </c>
      <c r="F149" s="80" t="s">
        <v>2372</v>
      </c>
      <c r="G149" s="80" t="s">
        <v>2690</v>
      </c>
      <c r="H149" s="79">
        <v>20</v>
      </c>
      <c r="I149" s="79">
        <v>239.35</v>
      </c>
      <c r="J149" s="79">
        <v>4787</v>
      </c>
    </row>
    <row r="150" spans="1:10" ht="15" thickBot="1">
      <c r="A150" s="98">
        <v>44963</v>
      </c>
      <c r="B150" s="80" t="s">
        <v>2682</v>
      </c>
      <c r="C150" s="80" t="s">
        <v>2657</v>
      </c>
      <c r="D150" s="80" t="s">
        <v>2648</v>
      </c>
      <c r="E150" s="80" t="s">
        <v>2641</v>
      </c>
      <c r="F150" s="80" t="s">
        <v>2374</v>
      </c>
      <c r="G150" s="80" t="s">
        <v>2700</v>
      </c>
      <c r="H150" s="79">
        <v>16</v>
      </c>
      <c r="I150" s="79">
        <v>4096.74</v>
      </c>
      <c r="J150" s="79">
        <v>65547.839999999997</v>
      </c>
    </row>
    <row r="151" spans="1:10" ht="15" thickBot="1">
      <c r="A151" s="98" t="s">
        <v>2545</v>
      </c>
      <c r="B151" s="80" t="s">
        <v>2682</v>
      </c>
      <c r="C151" s="80" t="s">
        <v>2650</v>
      </c>
      <c r="D151" s="80" t="s">
        <v>2646</v>
      </c>
      <c r="E151" s="80" t="s">
        <v>2642</v>
      </c>
      <c r="F151" s="80" t="s">
        <v>2374</v>
      </c>
      <c r="G151" s="80" t="s">
        <v>2692</v>
      </c>
      <c r="H151" s="79">
        <v>14</v>
      </c>
      <c r="I151" s="79">
        <v>3507.25</v>
      </c>
      <c r="J151" s="79">
        <v>49101.5</v>
      </c>
    </row>
    <row r="152" spans="1:10" ht="15" thickBot="1">
      <c r="A152" s="98" t="s">
        <v>2549</v>
      </c>
      <c r="B152" s="80" t="s">
        <v>2681</v>
      </c>
      <c r="C152" s="80" t="s">
        <v>2393</v>
      </c>
      <c r="D152" s="80" t="s">
        <v>2644</v>
      </c>
      <c r="E152" s="80" t="s">
        <v>2641</v>
      </c>
      <c r="F152" s="80" t="s">
        <v>2374</v>
      </c>
      <c r="G152" s="80" t="s">
        <v>2700</v>
      </c>
      <c r="H152" s="79">
        <v>16</v>
      </c>
      <c r="I152" s="79">
        <v>4507.37</v>
      </c>
      <c r="J152" s="79">
        <v>72117.919999999998</v>
      </c>
    </row>
    <row r="153" spans="1:10" ht="15" thickBot="1">
      <c r="A153" s="98" t="s">
        <v>2621</v>
      </c>
      <c r="B153" s="80" t="s">
        <v>2682</v>
      </c>
      <c r="C153" s="80" t="s">
        <v>2652</v>
      </c>
      <c r="D153" s="80" t="s">
        <v>2647</v>
      </c>
      <c r="E153" s="80" t="s">
        <v>2643</v>
      </c>
      <c r="F153" s="80" t="s">
        <v>2373</v>
      </c>
      <c r="G153" s="80" t="s">
        <v>2697</v>
      </c>
      <c r="H153" s="79">
        <v>10</v>
      </c>
      <c r="I153" s="79">
        <v>239.55</v>
      </c>
      <c r="J153" s="79">
        <v>2395.5</v>
      </c>
    </row>
    <row r="154" spans="1:10" ht="15" thickBot="1">
      <c r="A154" s="98" t="s">
        <v>2446</v>
      </c>
      <c r="B154" s="80" t="s">
        <v>2678</v>
      </c>
      <c r="C154" s="80" t="s">
        <v>2653</v>
      </c>
      <c r="D154" s="80" t="s">
        <v>2644</v>
      </c>
      <c r="E154" s="80" t="s">
        <v>2641</v>
      </c>
      <c r="F154" s="80" t="s">
        <v>2374</v>
      </c>
      <c r="G154" s="80" t="s">
        <v>2692</v>
      </c>
      <c r="H154" s="79">
        <v>17</v>
      </c>
      <c r="I154" s="79">
        <v>679.78</v>
      </c>
      <c r="J154" s="79">
        <v>11556.26</v>
      </c>
    </row>
    <row r="155" spans="1:10" ht="15" thickBot="1">
      <c r="A155" s="98" t="s">
        <v>2512</v>
      </c>
      <c r="B155" s="80" t="s">
        <v>2682</v>
      </c>
      <c r="C155" s="80" t="s">
        <v>2649</v>
      </c>
      <c r="D155" s="80" t="s">
        <v>2645</v>
      </c>
      <c r="E155" s="80" t="s">
        <v>2642</v>
      </c>
      <c r="F155" s="80" t="s">
        <v>2373</v>
      </c>
      <c r="G155" s="80" t="s">
        <v>2705</v>
      </c>
      <c r="H155" s="79">
        <v>18</v>
      </c>
      <c r="I155" s="79">
        <v>2658.57</v>
      </c>
      <c r="J155" s="79">
        <v>47854.26</v>
      </c>
    </row>
    <row r="156" spans="1:10" ht="15" thickBot="1">
      <c r="A156" s="98" t="s">
        <v>2470</v>
      </c>
      <c r="B156" s="80" t="s">
        <v>2685</v>
      </c>
      <c r="C156" s="80" t="s">
        <v>2654</v>
      </c>
      <c r="D156" s="80" t="s">
        <v>2646</v>
      </c>
      <c r="E156" s="80" t="s">
        <v>2642</v>
      </c>
      <c r="F156" s="80" t="s">
        <v>2373</v>
      </c>
      <c r="G156" s="80" t="s">
        <v>2688</v>
      </c>
      <c r="H156" s="79">
        <v>18</v>
      </c>
      <c r="I156" s="79">
        <v>4937.99</v>
      </c>
      <c r="J156" s="79">
        <v>88883.82</v>
      </c>
    </row>
    <row r="157" spans="1:10" ht="15" thickBot="1">
      <c r="A157" s="98" t="s">
        <v>2487</v>
      </c>
      <c r="B157" s="80" t="s">
        <v>2685</v>
      </c>
      <c r="C157" s="80" t="s">
        <v>2396</v>
      </c>
      <c r="D157" s="80" t="s">
        <v>2648</v>
      </c>
      <c r="E157" s="80" t="s">
        <v>2641</v>
      </c>
      <c r="F157" s="80" t="s">
        <v>2373</v>
      </c>
      <c r="G157" s="80" t="s">
        <v>2703</v>
      </c>
      <c r="H157" s="79">
        <v>17</v>
      </c>
      <c r="I157" s="79">
        <v>3421.31</v>
      </c>
      <c r="J157" s="79">
        <v>58162.27</v>
      </c>
    </row>
    <row r="158" spans="1:10" ht="15" thickBot="1">
      <c r="A158" s="98" t="s">
        <v>2586</v>
      </c>
      <c r="B158" s="80" t="s">
        <v>2687</v>
      </c>
      <c r="C158" s="80" t="s">
        <v>2659</v>
      </c>
      <c r="D158" s="80" t="s">
        <v>2647</v>
      </c>
      <c r="E158" s="80" t="s">
        <v>2643</v>
      </c>
      <c r="F158" s="80" t="s">
        <v>2370</v>
      </c>
      <c r="G158" s="80" t="s">
        <v>1335</v>
      </c>
      <c r="H158" s="79">
        <v>4</v>
      </c>
      <c r="I158" s="79">
        <v>1555.9</v>
      </c>
      <c r="J158" s="79">
        <v>6223.6</v>
      </c>
    </row>
    <row r="159" spans="1:10" ht="15" thickBot="1">
      <c r="A159" s="98" t="s">
        <v>2575</v>
      </c>
      <c r="B159" s="80" t="s">
        <v>2683</v>
      </c>
      <c r="C159" s="80" t="s">
        <v>2393</v>
      </c>
      <c r="D159" s="80" t="s">
        <v>2644</v>
      </c>
      <c r="E159" s="80" t="s">
        <v>2641</v>
      </c>
      <c r="F159" s="80" t="s">
        <v>2370</v>
      </c>
      <c r="G159" s="80" t="s">
        <v>1335</v>
      </c>
      <c r="H159" s="79">
        <v>12</v>
      </c>
      <c r="I159" s="79">
        <v>932.42</v>
      </c>
      <c r="J159" s="79">
        <v>11189.04</v>
      </c>
    </row>
    <row r="160" spans="1:10" ht="15" thickBot="1">
      <c r="A160" s="98" t="s">
        <v>2609</v>
      </c>
      <c r="B160" s="80" t="s">
        <v>2682</v>
      </c>
      <c r="C160" s="80" t="s">
        <v>2649</v>
      </c>
      <c r="D160" s="80" t="s">
        <v>2645</v>
      </c>
      <c r="E160" s="80" t="s">
        <v>2642</v>
      </c>
      <c r="F160" s="80" t="s">
        <v>2373</v>
      </c>
      <c r="G160" s="80" t="s">
        <v>2705</v>
      </c>
      <c r="H160" s="79">
        <v>20</v>
      </c>
      <c r="I160" s="79">
        <v>459.48</v>
      </c>
      <c r="J160" s="79">
        <v>9189.6</v>
      </c>
    </row>
    <row r="161" spans="1:10" ht="15" thickBot="1">
      <c r="A161" s="98" t="s">
        <v>2618</v>
      </c>
      <c r="B161" s="80" t="s">
        <v>2679</v>
      </c>
      <c r="C161" s="80" t="s">
        <v>2658</v>
      </c>
      <c r="D161" s="80" t="s">
        <v>2645</v>
      </c>
      <c r="E161" s="80" t="s">
        <v>2642</v>
      </c>
      <c r="F161" s="80" t="s">
        <v>2370</v>
      </c>
      <c r="G161" s="80" t="s">
        <v>2701</v>
      </c>
      <c r="H161" s="79">
        <v>5</v>
      </c>
      <c r="I161" s="79">
        <v>568.87</v>
      </c>
      <c r="J161" s="79">
        <v>2844.35</v>
      </c>
    </row>
    <row r="162" spans="1:10" ht="15" thickBot="1">
      <c r="A162" s="98" t="s">
        <v>2608</v>
      </c>
      <c r="B162" s="80" t="s">
        <v>2680</v>
      </c>
      <c r="C162" s="80" t="s">
        <v>2655</v>
      </c>
      <c r="D162" s="80" t="s">
        <v>2645</v>
      </c>
      <c r="E162" s="80" t="s">
        <v>2642</v>
      </c>
      <c r="F162" s="80" t="s">
        <v>2372</v>
      </c>
      <c r="G162" s="80" t="s">
        <v>2699</v>
      </c>
      <c r="H162" s="79">
        <v>10</v>
      </c>
      <c r="I162" s="79">
        <v>1468.96</v>
      </c>
      <c r="J162" s="79">
        <v>14689.6</v>
      </c>
    </row>
    <row r="163" spans="1:10" ht="15" thickBot="1">
      <c r="A163" s="98" t="s">
        <v>2598</v>
      </c>
      <c r="B163" s="80" t="s">
        <v>2687</v>
      </c>
      <c r="C163" s="80" t="s">
        <v>2659</v>
      </c>
      <c r="D163" s="80" t="s">
        <v>2647</v>
      </c>
      <c r="E163" s="80" t="s">
        <v>2643</v>
      </c>
      <c r="F163" s="80" t="s">
        <v>2373</v>
      </c>
      <c r="G163" s="80" t="s">
        <v>2705</v>
      </c>
      <c r="H163" s="79">
        <v>6</v>
      </c>
      <c r="I163" s="79">
        <v>3080.25</v>
      </c>
      <c r="J163" s="79">
        <v>18481.5</v>
      </c>
    </row>
    <row r="164" spans="1:10" ht="15" thickBot="1">
      <c r="A164" s="98" t="s">
        <v>2595</v>
      </c>
      <c r="B164" s="80" t="s">
        <v>2687</v>
      </c>
      <c r="C164" s="80" t="s">
        <v>2658</v>
      </c>
      <c r="D164" s="80" t="s">
        <v>2645</v>
      </c>
      <c r="E164" s="80" t="s">
        <v>2642</v>
      </c>
      <c r="F164" s="80" t="s">
        <v>2372</v>
      </c>
      <c r="G164" s="80" t="s">
        <v>2693</v>
      </c>
      <c r="H164" s="79">
        <v>11</v>
      </c>
      <c r="I164" s="79">
        <v>1817.43</v>
      </c>
      <c r="J164" s="79">
        <v>19991.73</v>
      </c>
    </row>
    <row r="165" spans="1:10" ht="15" thickBot="1">
      <c r="A165" s="98" t="s">
        <v>2548</v>
      </c>
      <c r="B165" s="80" t="s">
        <v>2678</v>
      </c>
      <c r="C165" s="80" t="s">
        <v>2652</v>
      </c>
      <c r="D165" s="80" t="s">
        <v>2647</v>
      </c>
      <c r="E165" s="80" t="s">
        <v>2643</v>
      </c>
      <c r="F165" s="80" t="s">
        <v>2374</v>
      </c>
      <c r="G165" s="80" t="s">
        <v>2700</v>
      </c>
      <c r="H165" s="79">
        <v>19</v>
      </c>
      <c r="I165" s="79">
        <v>3800.55</v>
      </c>
      <c r="J165" s="79">
        <v>72210.45</v>
      </c>
    </row>
    <row r="166" spans="1:10" ht="15" thickBot="1">
      <c r="A166" s="98" t="s">
        <v>2555</v>
      </c>
      <c r="B166" s="80" t="s">
        <v>2683</v>
      </c>
      <c r="C166" s="80" t="s">
        <v>2657</v>
      </c>
      <c r="D166" s="80" t="s">
        <v>2648</v>
      </c>
      <c r="E166" s="80" t="s">
        <v>2641</v>
      </c>
      <c r="F166" s="80" t="s">
        <v>2370</v>
      </c>
      <c r="G166" s="80" t="s">
        <v>1335</v>
      </c>
      <c r="H166" s="79">
        <v>17</v>
      </c>
      <c r="I166" s="79">
        <v>2809.13</v>
      </c>
      <c r="J166" s="79">
        <v>47755.21</v>
      </c>
    </row>
    <row r="167" spans="1:10" ht="15" thickBot="1">
      <c r="A167" s="98">
        <v>45083</v>
      </c>
      <c r="B167" s="80" t="s">
        <v>2680</v>
      </c>
      <c r="C167" s="80" t="s">
        <v>2649</v>
      </c>
      <c r="D167" s="80" t="s">
        <v>2645</v>
      </c>
      <c r="E167" s="80" t="s">
        <v>2642</v>
      </c>
      <c r="F167" s="80" t="s">
        <v>2374</v>
      </c>
      <c r="G167" s="80" t="s">
        <v>2689</v>
      </c>
      <c r="H167" s="79">
        <v>9</v>
      </c>
      <c r="I167" s="79">
        <v>4712.9799999999996</v>
      </c>
      <c r="J167" s="79">
        <v>42416.82</v>
      </c>
    </row>
    <row r="168" spans="1:10" ht="15" thickBot="1">
      <c r="A168" s="98">
        <v>44969</v>
      </c>
      <c r="B168" s="80" t="s">
        <v>2680</v>
      </c>
      <c r="C168" s="80" t="s">
        <v>2657</v>
      </c>
      <c r="D168" s="80" t="s">
        <v>2648</v>
      </c>
      <c r="E168" s="80" t="s">
        <v>2641</v>
      </c>
      <c r="F168" s="80" t="s">
        <v>2370</v>
      </c>
      <c r="G168" s="80" t="s">
        <v>2702</v>
      </c>
      <c r="H168" s="79">
        <v>1</v>
      </c>
      <c r="I168" s="79">
        <v>4541.7700000000004</v>
      </c>
      <c r="J168" s="79">
        <v>4541.7700000000004</v>
      </c>
    </row>
    <row r="169" spans="1:10" ht="15" thickBot="1">
      <c r="A169" s="98">
        <v>44988</v>
      </c>
      <c r="B169" s="80" t="s">
        <v>2684</v>
      </c>
      <c r="C169" s="80" t="s">
        <v>2660</v>
      </c>
      <c r="D169" s="80" t="s">
        <v>2647</v>
      </c>
      <c r="E169" s="80" t="s">
        <v>2643</v>
      </c>
      <c r="F169" s="80" t="s">
        <v>2370</v>
      </c>
      <c r="G169" s="80" t="s">
        <v>1336</v>
      </c>
      <c r="H169" s="79">
        <v>9</v>
      </c>
      <c r="I169" s="79">
        <v>3122.72</v>
      </c>
      <c r="J169" s="79">
        <v>28104.48</v>
      </c>
    </row>
    <row r="170" spans="1:10" ht="15" thickBot="1">
      <c r="A170" s="98" t="s">
        <v>2672</v>
      </c>
      <c r="B170" s="80" t="s">
        <v>2683</v>
      </c>
      <c r="C170" s="80" t="s">
        <v>2392</v>
      </c>
      <c r="D170" s="80" t="s">
        <v>2644</v>
      </c>
      <c r="E170" s="80" t="s">
        <v>2641</v>
      </c>
      <c r="F170" s="80" t="s">
        <v>2374</v>
      </c>
      <c r="G170" s="80" t="s">
        <v>2700</v>
      </c>
      <c r="H170" s="79">
        <v>9</v>
      </c>
      <c r="I170" s="79">
        <v>4198.92</v>
      </c>
      <c r="J170" s="79">
        <v>37790.28</v>
      </c>
    </row>
    <row r="171" spans="1:10" ht="15" thickBot="1">
      <c r="A171" s="98">
        <v>45019</v>
      </c>
      <c r="B171" s="80" t="s">
        <v>2682</v>
      </c>
      <c r="C171" s="80" t="s">
        <v>2654</v>
      </c>
      <c r="D171" s="80" t="s">
        <v>2646</v>
      </c>
      <c r="E171" s="80" t="s">
        <v>2642</v>
      </c>
      <c r="F171" s="80" t="s">
        <v>2373</v>
      </c>
      <c r="G171" s="80" t="s">
        <v>2703</v>
      </c>
      <c r="H171" s="79">
        <v>17</v>
      </c>
      <c r="I171" s="79">
        <v>4415.8500000000004</v>
      </c>
      <c r="J171" s="79">
        <v>75069.45</v>
      </c>
    </row>
    <row r="172" spans="1:10" ht="15" thickBot="1">
      <c r="A172" s="98" t="s">
        <v>2482</v>
      </c>
      <c r="B172" s="80" t="s">
        <v>2686</v>
      </c>
      <c r="C172" s="80" t="s">
        <v>2658</v>
      </c>
      <c r="D172" s="80" t="s">
        <v>2645</v>
      </c>
      <c r="E172" s="80" t="s">
        <v>2642</v>
      </c>
      <c r="F172" s="80" t="s">
        <v>2661</v>
      </c>
      <c r="G172" s="80" t="s">
        <v>2696</v>
      </c>
      <c r="H172" s="79">
        <v>16</v>
      </c>
      <c r="I172" s="79">
        <v>4684.8599999999997</v>
      </c>
      <c r="J172" s="79">
        <v>74957.759999999995</v>
      </c>
    </row>
    <row r="173" spans="1:10" ht="15" thickBot="1">
      <c r="A173" s="98" t="s">
        <v>2519</v>
      </c>
      <c r="B173" s="80" t="s">
        <v>2680</v>
      </c>
      <c r="C173" s="80" t="s">
        <v>2658</v>
      </c>
      <c r="D173" s="80" t="s">
        <v>2645</v>
      </c>
      <c r="E173" s="80" t="s">
        <v>2642</v>
      </c>
      <c r="F173" s="80" t="s">
        <v>2373</v>
      </c>
      <c r="G173" s="80" t="s">
        <v>2697</v>
      </c>
      <c r="H173" s="79">
        <v>17</v>
      </c>
      <c r="I173" s="79">
        <v>4156.25</v>
      </c>
      <c r="J173" s="79">
        <v>70656.25</v>
      </c>
    </row>
    <row r="174" spans="1:10" ht="15" thickBot="1">
      <c r="A174" s="98">
        <v>45051</v>
      </c>
      <c r="B174" s="80" t="s">
        <v>2680</v>
      </c>
      <c r="C174" s="80" t="s">
        <v>2654</v>
      </c>
      <c r="D174" s="80" t="s">
        <v>2646</v>
      </c>
      <c r="E174" s="80" t="s">
        <v>2642</v>
      </c>
      <c r="F174" s="80" t="s">
        <v>2374</v>
      </c>
      <c r="G174" s="80" t="s">
        <v>2700</v>
      </c>
      <c r="H174" s="79">
        <v>10</v>
      </c>
      <c r="I174" s="79">
        <v>3776.8</v>
      </c>
      <c r="J174" s="79">
        <v>37768</v>
      </c>
    </row>
    <row r="175" spans="1:10" ht="15" thickBot="1">
      <c r="A175" s="98" t="s">
        <v>2522</v>
      </c>
      <c r="B175" s="80" t="s">
        <v>2685</v>
      </c>
      <c r="C175" s="80" t="s">
        <v>2396</v>
      </c>
      <c r="D175" s="80" t="s">
        <v>2648</v>
      </c>
      <c r="E175" s="80" t="s">
        <v>2641</v>
      </c>
      <c r="F175" s="80" t="s">
        <v>2370</v>
      </c>
      <c r="G175" s="80" t="s">
        <v>1335</v>
      </c>
      <c r="H175" s="79">
        <v>8</v>
      </c>
      <c r="I175" s="79">
        <v>310.33</v>
      </c>
      <c r="J175" s="79">
        <v>2482.64</v>
      </c>
    </row>
    <row r="176" spans="1:10" ht="15" thickBot="1">
      <c r="A176" s="98">
        <v>45051</v>
      </c>
      <c r="B176" s="80" t="s">
        <v>2682</v>
      </c>
      <c r="C176" s="80" t="s">
        <v>2657</v>
      </c>
      <c r="D176" s="80" t="s">
        <v>2648</v>
      </c>
      <c r="E176" s="80" t="s">
        <v>2641</v>
      </c>
      <c r="F176" s="80" t="s">
        <v>2661</v>
      </c>
      <c r="G176" s="80" t="s">
        <v>2695</v>
      </c>
      <c r="H176" s="79">
        <v>5</v>
      </c>
      <c r="I176" s="79">
        <v>1313.4</v>
      </c>
      <c r="J176" s="79">
        <v>6567</v>
      </c>
    </row>
    <row r="177" spans="1:10" ht="15" thickBot="1">
      <c r="A177" s="98" t="s">
        <v>2578</v>
      </c>
      <c r="B177" s="80" t="s">
        <v>2687</v>
      </c>
      <c r="C177" s="80" t="s">
        <v>2653</v>
      </c>
      <c r="D177" s="80" t="s">
        <v>2644</v>
      </c>
      <c r="E177" s="80" t="s">
        <v>2641</v>
      </c>
      <c r="F177" s="80" t="s">
        <v>2661</v>
      </c>
      <c r="G177" s="80" t="s">
        <v>2696</v>
      </c>
      <c r="H177" s="79">
        <v>6</v>
      </c>
      <c r="I177" s="79">
        <v>2332.11</v>
      </c>
      <c r="J177" s="79">
        <v>13992.66</v>
      </c>
    </row>
    <row r="178" spans="1:10" ht="15" thickBot="1">
      <c r="A178" s="98" t="s">
        <v>2590</v>
      </c>
      <c r="B178" s="80" t="s">
        <v>2679</v>
      </c>
      <c r="C178" s="80" t="s">
        <v>2652</v>
      </c>
      <c r="D178" s="80" t="s">
        <v>2647</v>
      </c>
      <c r="E178" s="80" t="s">
        <v>2643</v>
      </c>
      <c r="F178" s="80" t="s">
        <v>2374</v>
      </c>
      <c r="G178" s="80" t="s">
        <v>2704</v>
      </c>
      <c r="H178" s="79">
        <v>3</v>
      </c>
      <c r="I178" s="79">
        <v>4955.22</v>
      </c>
      <c r="J178" s="79">
        <v>14865.66</v>
      </c>
    </row>
    <row r="179" spans="1:10" ht="15" thickBot="1">
      <c r="A179" s="98" t="s">
        <v>2529</v>
      </c>
      <c r="B179" s="80" t="s">
        <v>2679</v>
      </c>
      <c r="C179" s="80" t="s">
        <v>2653</v>
      </c>
      <c r="D179" s="80" t="s">
        <v>2644</v>
      </c>
      <c r="E179" s="80" t="s">
        <v>2641</v>
      </c>
      <c r="F179" s="80" t="s">
        <v>2373</v>
      </c>
      <c r="G179" s="80" t="s">
        <v>2688</v>
      </c>
      <c r="H179" s="79">
        <v>17</v>
      </c>
      <c r="I179" s="79">
        <v>3827.64</v>
      </c>
      <c r="J179" s="79">
        <v>65069.88</v>
      </c>
    </row>
    <row r="180" spans="1:10" ht="15" thickBot="1">
      <c r="A180" s="98">
        <v>45025</v>
      </c>
      <c r="B180" s="80" t="s">
        <v>2678</v>
      </c>
      <c r="C180" s="80" t="s">
        <v>2396</v>
      </c>
      <c r="D180" s="80" t="s">
        <v>2648</v>
      </c>
      <c r="E180" s="80" t="s">
        <v>2641</v>
      </c>
      <c r="F180" s="80" t="s">
        <v>2372</v>
      </c>
      <c r="G180" s="80" t="s">
        <v>2690</v>
      </c>
      <c r="H180" s="79">
        <v>17</v>
      </c>
      <c r="I180" s="79">
        <v>3857.33</v>
      </c>
      <c r="J180" s="79">
        <v>65574.61</v>
      </c>
    </row>
    <row r="181" spans="1:10" ht="15" thickBot="1">
      <c r="A181" s="98" t="s">
        <v>2593</v>
      </c>
      <c r="B181" s="80" t="s">
        <v>2680</v>
      </c>
      <c r="C181" s="80" t="s">
        <v>2651</v>
      </c>
      <c r="D181" s="80" t="s">
        <v>2646</v>
      </c>
      <c r="E181" s="80" t="s">
        <v>2642</v>
      </c>
      <c r="F181" s="80" t="s">
        <v>2372</v>
      </c>
      <c r="G181" s="80" t="s">
        <v>2694</v>
      </c>
      <c r="H181" s="79">
        <v>8</v>
      </c>
      <c r="I181" s="79">
        <v>1421.21</v>
      </c>
      <c r="J181" s="79">
        <v>11369.68</v>
      </c>
    </row>
    <row r="182" spans="1:10" ht="15" thickBot="1">
      <c r="A182" s="98" t="s">
        <v>2476</v>
      </c>
      <c r="B182" s="80" t="s">
        <v>2679</v>
      </c>
      <c r="C182" s="80" t="s">
        <v>2392</v>
      </c>
      <c r="D182" s="80" t="s">
        <v>2644</v>
      </c>
      <c r="E182" s="80" t="s">
        <v>2641</v>
      </c>
      <c r="F182" s="80" t="s">
        <v>2661</v>
      </c>
      <c r="G182" s="80" t="s">
        <v>2698</v>
      </c>
      <c r="H182" s="79">
        <v>1</v>
      </c>
      <c r="I182" s="79">
        <v>1544.87</v>
      </c>
      <c r="J182" s="79">
        <v>1544.87</v>
      </c>
    </row>
    <row r="183" spans="1:10" ht="15" thickBot="1">
      <c r="A183" s="98" t="s">
        <v>2637</v>
      </c>
      <c r="B183" s="80" t="s">
        <v>2680</v>
      </c>
      <c r="C183" s="80" t="s">
        <v>2396</v>
      </c>
      <c r="D183" s="80" t="s">
        <v>2648</v>
      </c>
      <c r="E183" s="80" t="s">
        <v>2641</v>
      </c>
      <c r="F183" s="80" t="s">
        <v>2661</v>
      </c>
      <c r="G183" s="80" t="s">
        <v>2696</v>
      </c>
      <c r="H183" s="79">
        <v>14</v>
      </c>
      <c r="I183" s="79">
        <v>2764.71</v>
      </c>
      <c r="J183" s="79">
        <v>38705.94</v>
      </c>
    </row>
    <row r="184" spans="1:10" ht="15" thickBot="1">
      <c r="A184" s="98">
        <v>45023</v>
      </c>
      <c r="B184" s="80" t="s">
        <v>2683</v>
      </c>
      <c r="C184" s="80" t="s">
        <v>2649</v>
      </c>
      <c r="D184" s="80" t="s">
        <v>2645</v>
      </c>
      <c r="E184" s="80" t="s">
        <v>2642</v>
      </c>
      <c r="F184" s="80" t="s">
        <v>2372</v>
      </c>
      <c r="G184" s="80" t="s">
        <v>2690</v>
      </c>
      <c r="H184" s="79">
        <v>9</v>
      </c>
      <c r="I184" s="79">
        <v>2210.8000000000002</v>
      </c>
      <c r="J184" s="79">
        <v>19897.2</v>
      </c>
    </row>
    <row r="185" spans="1:10" ht="15" thickBot="1">
      <c r="A185" s="98">
        <v>44958</v>
      </c>
      <c r="B185" s="80" t="s">
        <v>2680</v>
      </c>
      <c r="C185" s="80" t="s">
        <v>2650</v>
      </c>
      <c r="D185" s="80" t="s">
        <v>2646</v>
      </c>
      <c r="E185" s="80" t="s">
        <v>2642</v>
      </c>
      <c r="F185" s="80" t="s">
        <v>2373</v>
      </c>
      <c r="G185" s="80" t="s">
        <v>2705</v>
      </c>
      <c r="H185" s="79">
        <v>3</v>
      </c>
      <c r="I185" s="79">
        <v>4359.8999999999996</v>
      </c>
      <c r="J185" s="79">
        <v>13079.7</v>
      </c>
    </row>
    <row r="186" spans="1:10" ht="15" thickBot="1">
      <c r="A186" s="98" t="s">
        <v>2521</v>
      </c>
      <c r="B186" s="80" t="s">
        <v>2685</v>
      </c>
      <c r="C186" s="80" t="s">
        <v>2658</v>
      </c>
      <c r="D186" s="80" t="s">
        <v>2645</v>
      </c>
      <c r="E186" s="80" t="s">
        <v>2642</v>
      </c>
      <c r="F186" s="80" t="s">
        <v>2373</v>
      </c>
      <c r="G186" s="80" t="s">
        <v>2688</v>
      </c>
      <c r="H186" s="79">
        <v>7</v>
      </c>
      <c r="I186" s="79">
        <v>3836.77</v>
      </c>
      <c r="J186" s="79">
        <v>26857.39</v>
      </c>
    </row>
    <row r="187" spans="1:10" ht="15" thickBot="1">
      <c r="A187" s="98" t="s">
        <v>2558</v>
      </c>
      <c r="B187" s="80" t="s">
        <v>2684</v>
      </c>
      <c r="C187" s="80" t="s">
        <v>2396</v>
      </c>
      <c r="D187" s="80" t="s">
        <v>2648</v>
      </c>
      <c r="E187" s="80" t="s">
        <v>2641</v>
      </c>
      <c r="F187" s="80" t="s">
        <v>2374</v>
      </c>
      <c r="G187" s="80" t="s">
        <v>2700</v>
      </c>
      <c r="H187" s="79">
        <v>7</v>
      </c>
      <c r="I187" s="79">
        <v>560.58000000000004</v>
      </c>
      <c r="J187" s="79">
        <v>3924.06</v>
      </c>
    </row>
    <row r="188" spans="1:10" ht="15" thickBot="1">
      <c r="A188" s="98">
        <v>45266</v>
      </c>
      <c r="B188" s="80" t="s">
        <v>2682</v>
      </c>
      <c r="C188" s="80" t="s">
        <v>2660</v>
      </c>
      <c r="D188" s="80" t="s">
        <v>2647</v>
      </c>
      <c r="E188" s="80" t="s">
        <v>2643</v>
      </c>
      <c r="F188" s="80" t="s">
        <v>2370</v>
      </c>
      <c r="G188" s="80" t="s">
        <v>1335</v>
      </c>
      <c r="H188" s="79">
        <v>17</v>
      </c>
      <c r="I188" s="79">
        <v>1574.45</v>
      </c>
      <c r="J188" s="79">
        <v>26765.65</v>
      </c>
    </row>
    <row r="189" spans="1:10" ht="15" thickBot="1">
      <c r="A189" s="98">
        <v>44960</v>
      </c>
      <c r="B189" s="80" t="s">
        <v>2681</v>
      </c>
      <c r="C189" s="80" t="s">
        <v>2660</v>
      </c>
      <c r="D189" s="80" t="s">
        <v>2647</v>
      </c>
      <c r="E189" s="80" t="s">
        <v>2643</v>
      </c>
      <c r="F189" s="80" t="s">
        <v>2373</v>
      </c>
      <c r="G189" s="80" t="s">
        <v>2688</v>
      </c>
      <c r="H189" s="79">
        <v>17</v>
      </c>
      <c r="I189" s="79">
        <v>578.66999999999996</v>
      </c>
      <c r="J189" s="79">
        <v>9837.39</v>
      </c>
    </row>
    <row r="190" spans="1:10" ht="15" thickBot="1">
      <c r="A190" s="98" t="s">
        <v>2515</v>
      </c>
      <c r="B190" s="80" t="s">
        <v>2684</v>
      </c>
      <c r="C190" s="80" t="s">
        <v>2654</v>
      </c>
      <c r="D190" s="80" t="s">
        <v>2646</v>
      </c>
      <c r="E190" s="80" t="s">
        <v>2642</v>
      </c>
      <c r="F190" s="80" t="s">
        <v>2661</v>
      </c>
      <c r="G190" s="80" t="s">
        <v>2691</v>
      </c>
      <c r="H190" s="79">
        <v>19</v>
      </c>
      <c r="I190" s="79">
        <v>1441.02</v>
      </c>
      <c r="J190" s="79">
        <v>27379.38</v>
      </c>
    </row>
    <row r="191" spans="1:10" ht="15" thickBot="1">
      <c r="A191" s="98" t="s">
        <v>2473</v>
      </c>
      <c r="B191" s="80" t="s">
        <v>2678</v>
      </c>
      <c r="C191" s="80" t="s">
        <v>2650</v>
      </c>
      <c r="D191" s="80" t="s">
        <v>2646</v>
      </c>
      <c r="E191" s="80" t="s">
        <v>2642</v>
      </c>
      <c r="F191" s="80" t="s">
        <v>2373</v>
      </c>
      <c r="G191" s="80" t="s">
        <v>2703</v>
      </c>
      <c r="H191" s="79">
        <v>19</v>
      </c>
      <c r="I191" s="79">
        <v>618.02</v>
      </c>
      <c r="J191" s="79">
        <v>11742.38</v>
      </c>
    </row>
    <row r="192" spans="1:10" ht="15" thickBot="1">
      <c r="A192" s="98" t="s">
        <v>2549</v>
      </c>
      <c r="B192" s="80" t="s">
        <v>2685</v>
      </c>
      <c r="C192" s="80" t="s">
        <v>2657</v>
      </c>
      <c r="D192" s="80" t="s">
        <v>2648</v>
      </c>
      <c r="E192" s="80" t="s">
        <v>2641</v>
      </c>
      <c r="F192" s="80" t="s">
        <v>2374</v>
      </c>
      <c r="G192" s="80" t="s">
        <v>2692</v>
      </c>
      <c r="H192" s="79">
        <v>15</v>
      </c>
      <c r="I192" s="79">
        <v>4093.93</v>
      </c>
      <c r="J192" s="79">
        <v>61408.95</v>
      </c>
    </row>
    <row r="193" spans="1:10" ht="15" thickBot="1">
      <c r="A193" s="98" t="s">
        <v>2584</v>
      </c>
      <c r="B193" s="80" t="s">
        <v>2679</v>
      </c>
      <c r="C193" s="80" t="s">
        <v>2656</v>
      </c>
      <c r="D193" s="80" t="s">
        <v>2648</v>
      </c>
      <c r="E193" s="80" t="s">
        <v>2641</v>
      </c>
      <c r="F193" s="80" t="s">
        <v>2373</v>
      </c>
      <c r="G193" s="80" t="s">
        <v>2697</v>
      </c>
      <c r="H193" s="79">
        <v>16</v>
      </c>
      <c r="I193" s="79">
        <v>2714.37</v>
      </c>
      <c r="J193" s="79">
        <v>43429.919999999998</v>
      </c>
    </row>
    <row r="194" spans="1:10" ht="15" thickBot="1">
      <c r="A194" s="98" t="s">
        <v>2609</v>
      </c>
      <c r="B194" s="80" t="s">
        <v>2683</v>
      </c>
      <c r="C194" s="80" t="s">
        <v>2657</v>
      </c>
      <c r="D194" s="80" t="s">
        <v>2648</v>
      </c>
      <c r="E194" s="80" t="s">
        <v>2641</v>
      </c>
      <c r="F194" s="80" t="s">
        <v>2372</v>
      </c>
      <c r="G194" s="80" t="s">
        <v>2690</v>
      </c>
      <c r="H194" s="79">
        <v>8</v>
      </c>
      <c r="I194" s="79">
        <v>4658.57</v>
      </c>
      <c r="J194" s="79">
        <v>37268.559999999998</v>
      </c>
    </row>
    <row r="195" spans="1:10" ht="15" thickBot="1">
      <c r="A195" s="98">
        <v>45268</v>
      </c>
      <c r="B195" s="80" t="s">
        <v>2684</v>
      </c>
      <c r="C195" s="80" t="s">
        <v>2653</v>
      </c>
      <c r="D195" s="80" t="s">
        <v>2644</v>
      </c>
      <c r="E195" s="80" t="s">
        <v>2641</v>
      </c>
      <c r="F195" s="80" t="s">
        <v>2374</v>
      </c>
      <c r="G195" s="80" t="s">
        <v>2704</v>
      </c>
      <c r="H195" s="79">
        <v>20</v>
      </c>
      <c r="I195" s="79">
        <v>3203.76</v>
      </c>
      <c r="J195" s="79">
        <v>64075.199999999997</v>
      </c>
    </row>
    <row r="196" spans="1:10" ht="15" thickBot="1">
      <c r="A196" s="98" t="s">
        <v>2506</v>
      </c>
      <c r="B196" s="80" t="s">
        <v>2684</v>
      </c>
      <c r="C196" s="80" t="s">
        <v>2659</v>
      </c>
      <c r="D196" s="80" t="s">
        <v>2647</v>
      </c>
      <c r="E196" s="80" t="s">
        <v>2643</v>
      </c>
      <c r="F196" s="80" t="s">
        <v>2370</v>
      </c>
      <c r="G196" s="80" t="s">
        <v>2701</v>
      </c>
      <c r="H196" s="79">
        <v>5</v>
      </c>
      <c r="I196" s="79">
        <v>3572.02</v>
      </c>
      <c r="J196" s="79">
        <v>17860.099999999999</v>
      </c>
    </row>
    <row r="197" spans="1:10" ht="15" thickBot="1">
      <c r="A197" s="98" t="s">
        <v>2612</v>
      </c>
      <c r="B197" s="80" t="s">
        <v>2678</v>
      </c>
      <c r="C197" s="80" t="s">
        <v>2396</v>
      </c>
      <c r="D197" s="80" t="s">
        <v>2648</v>
      </c>
      <c r="E197" s="80" t="s">
        <v>2641</v>
      </c>
      <c r="F197" s="80" t="s">
        <v>2661</v>
      </c>
      <c r="G197" s="80" t="s">
        <v>2698</v>
      </c>
      <c r="H197" s="79">
        <v>4</v>
      </c>
      <c r="I197" s="79">
        <v>328.82</v>
      </c>
      <c r="J197" s="79">
        <v>1315.28</v>
      </c>
    </row>
    <row r="198" spans="1:10" ht="15" thickBot="1">
      <c r="A198" s="98">
        <v>45083</v>
      </c>
      <c r="B198" s="80" t="s">
        <v>2678</v>
      </c>
      <c r="C198" s="80" t="s">
        <v>2652</v>
      </c>
      <c r="D198" s="80" t="s">
        <v>2647</v>
      </c>
      <c r="E198" s="80" t="s">
        <v>2643</v>
      </c>
      <c r="F198" s="80" t="s">
        <v>2374</v>
      </c>
      <c r="G198" s="80" t="s">
        <v>2692</v>
      </c>
      <c r="H198" s="79">
        <v>10</v>
      </c>
      <c r="I198" s="79">
        <v>4210.63</v>
      </c>
      <c r="J198" s="79">
        <v>42106.3</v>
      </c>
    </row>
    <row r="199" spans="1:10" ht="15" thickBot="1">
      <c r="A199" s="98" t="s">
        <v>2614</v>
      </c>
      <c r="B199" s="80" t="s">
        <v>2681</v>
      </c>
      <c r="C199" s="80" t="s">
        <v>2658</v>
      </c>
      <c r="D199" s="80" t="s">
        <v>2645</v>
      </c>
      <c r="E199" s="80" t="s">
        <v>2642</v>
      </c>
      <c r="F199" s="80" t="s">
        <v>2372</v>
      </c>
      <c r="G199" s="80" t="s">
        <v>2690</v>
      </c>
      <c r="H199" s="79">
        <v>15</v>
      </c>
      <c r="I199" s="79">
        <v>211.9</v>
      </c>
      <c r="J199" s="79">
        <v>3178.5</v>
      </c>
    </row>
    <row r="200" spans="1:10" ht="15" thickBot="1">
      <c r="A200" s="98" t="s">
        <v>2501</v>
      </c>
      <c r="B200" s="80" t="s">
        <v>2687</v>
      </c>
      <c r="C200" s="80" t="s">
        <v>2659</v>
      </c>
      <c r="D200" s="80" t="s">
        <v>2647</v>
      </c>
      <c r="E200" s="80" t="s">
        <v>2643</v>
      </c>
      <c r="F200" s="80" t="s">
        <v>2373</v>
      </c>
      <c r="G200" s="80" t="s">
        <v>2688</v>
      </c>
      <c r="H200" s="79">
        <v>6</v>
      </c>
      <c r="I200" s="79">
        <v>1847.42</v>
      </c>
      <c r="J200" s="79">
        <v>11084.52</v>
      </c>
    </row>
    <row r="201" spans="1:10" ht="15" thickBot="1">
      <c r="A201" s="98" t="s">
        <v>2533</v>
      </c>
      <c r="B201" s="80" t="s">
        <v>2679</v>
      </c>
      <c r="C201" s="80" t="s">
        <v>2659</v>
      </c>
      <c r="D201" s="80" t="s">
        <v>2647</v>
      </c>
      <c r="E201" s="80" t="s">
        <v>2643</v>
      </c>
      <c r="F201" s="80" t="s">
        <v>2661</v>
      </c>
      <c r="G201" s="80" t="s">
        <v>2695</v>
      </c>
      <c r="H201" s="79">
        <v>15</v>
      </c>
      <c r="I201" s="79">
        <v>3875.6</v>
      </c>
      <c r="J201" s="79">
        <v>58134</v>
      </c>
    </row>
    <row r="202" spans="1:10" ht="15" thickBot="1">
      <c r="A202" s="98" t="s">
        <v>2498</v>
      </c>
      <c r="B202" s="80" t="s">
        <v>2683</v>
      </c>
      <c r="C202" s="80" t="s">
        <v>2659</v>
      </c>
      <c r="D202" s="80" t="s">
        <v>2647</v>
      </c>
      <c r="E202" s="80" t="s">
        <v>2643</v>
      </c>
      <c r="F202" s="80" t="s">
        <v>2374</v>
      </c>
      <c r="G202" s="80" t="s">
        <v>2692</v>
      </c>
      <c r="H202" s="79">
        <v>1</v>
      </c>
      <c r="I202" s="79">
        <v>1323.63</v>
      </c>
      <c r="J202" s="79">
        <v>1323.63</v>
      </c>
    </row>
    <row r="203" spans="1:10" ht="15" thickBot="1">
      <c r="A203" s="98">
        <v>44988</v>
      </c>
      <c r="B203" s="80" t="s">
        <v>2686</v>
      </c>
      <c r="C203" s="80" t="s">
        <v>2396</v>
      </c>
      <c r="D203" s="80" t="s">
        <v>2648</v>
      </c>
      <c r="E203" s="80" t="s">
        <v>2641</v>
      </c>
      <c r="F203" s="80" t="s">
        <v>2370</v>
      </c>
      <c r="G203" s="80" t="s">
        <v>2701</v>
      </c>
      <c r="H203" s="79">
        <v>18</v>
      </c>
      <c r="I203" s="79">
        <v>3916.11</v>
      </c>
      <c r="J203" s="79">
        <v>70489.98</v>
      </c>
    </row>
    <row r="204" spans="1:10" ht="15" thickBot="1">
      <c r="A204" s="98" t="s">
        <v>2469</v>
      </c>
      <c r="B204" s="80" t="s">
        <v>2680</v>
      </c>
      <c r="C204" s="80" t="s">
        <v>2656</v>
      </c>
      <c r="D204" s="80" t="s">
        <v>2648</v>
      </c>
      <c r="E204" s="80" t="s">
        <v>2641</v>
      </c>
      <c r="F204" s="80" t="s">
        <v>2373</v>
      </c>
      <c r="G204" s="80" t="s">
        <v>2703</v>
      </c>
      <c r="H204" s="79">
        <v>16</v>
      </c>
      <c r="I204" s="79">
        <v>4624.91</v>
      </c>
      <c r="J204" s="79">
        <v>73998.559999999998</v>
      </c>
    </row>
    <row r="205" spans="1:10" ht="15" thickBot="1">
      <c r="A205" s="98" t="s">
        <v>2537</v>
      </c>
      <c r="B205" s="80" t="s">
        <v>2680</v>
      </c>
      <c r="C205" s="80" t="s">
        <v>2653</v>
      </c>
      <c r="D205" s="80" t="s">
        <v>2644</v>
      </c>
      <c r="E205" s="80" t="s">
        <v>2641</v>
      </c>
      <c r="F205" s="80" t="s">
        <v>2374</v>
      </c>
      <c r="G205" s="80" t="s">
        <v>2704</v>
      </c>
      <c r="H205" s="79">
        <v>8</v>
      </c>
      <c r="I205" s="79">
        <v>4091.1</v>
      </c>
      <c r="J205" s="79">
        <v>32728.799999999999</v>
      </c>
    </row>
    <row r="206" spans="1:10" ht="15" thickBot="1">
      <c r="A206" s="98" t="s">
        <v>2673</v>
      </c>
      <c r="B206" s="80" t="s">
        <v>2678</v>
      </c>
      <c r="C206" s="80" t="s">
        <v>2653</v>
      </c>
      <c r="D206" s="80" t="s">
        <v>2644</v>
      </c>
      <c r="E206" s="80" t="s">
        <v>2641</v>
      </c>
      <c r="F206" s="80" t="s">
        <v>2373</v>
      </c>
      <c r="G206" s="80" t="s">
        <v>2703</v>
      </c>
      <c r="H206" s="79">
        <v>16</v>
      </c>
      <c r="I206" s="79">
        <v>3369.55</v>
      </c>
      <c r="J206" s="79">
        <v>53912.800000000003</v>
      </c>
    </row>
    <row r="207" spans="1:10" ht="15" thickBot="1">
      <c r="A207" s="98">
        <v>45209</v>
      </c>
      <c r="B207" s="80" t="s">
        <v>2682</v>
      </c>
      <c r="C207" s="80" t="s">
        <v>2655</v>
      </c>
      <c r="D207" s="80" t="s">
        <v>2645</v>
      </c>
      <c r="E207" s="80" t="s">
        <v>2642</v>
      </c>
      <c r="F207" s="80" t="s">
        <v>2373</v>
      </c>
      <c r="G207" s="80" t="s">
        <v>2697</v>
      </c>
      <c r="H207" s="79">
        <v>3</v>
      </c>
      <c r="I207" s="79">
        <v>3591.92</v>
      </c>
      <c r="J207" s="79">
        <v>10775.76</v>
      </c>
    </row>
    <row r="208" spans="1:10" ht="15" thickBot="1">
      <c r="A208" s="98" t="s">
        <v>2495</v>
      </c>
      <c r="B208" s="80" t="s">
        <v>2685</v>
      </c>
      <c r="C208" s="80" t="s">
        <v>2392</v>
      </c>
      <c r="D208" s="80" t="s">
        <v>2644</v>
      </c>
      <c r="E208" s="80" t="s">
        <v>2641</v>
      </c>
      <c r="F208" s="80" t="s">
        <v>2372</v>
      </c>
      <c r="G208" s="80" t="s">
        <v>2690</v>
      </c>
      <c r="H208" s="79">
        <v>4</v>
      </c>
      <c r="I208" s="79">
        <v>4298.3500000000004</v>
      </c>
      <c r="J208" s="79">
        <v>17193.400000000001</v>
      </c>
    </row>
    <row r="209" spans="1:10" ht="15" thickBot="1">
      <c r="A209" s="98">
        <v>45115</v>
      </c>
      <c r="B209" s="80" t="s">
        <v>2678</v>
      </c>
      <c r="C209" s="80" t="s">
        <v>2396</v>
      </c>
      <c r="D209" s="80" t="s">
        <v>2648</v>
      </c>
      <c r="E209" s="80" t="s">
        <v>2641</v>
      </c>
      <c r="F209" s="80" t="s">
        <v>2374</v>
      </c>
      <c r="G209" s="80" t="s">
        <v>2700</v>
      </c>
      <c r="H209" s="79">
        <v>11</v>
      </c>
      <c r="I209" s="79">
        <v>3687.73</v>
      </c>
      <c r="J209" s="79">
        <v>40565.03</v>
      </c>
    </row>
    <row r="210" spans="1:10" ht="15" thickBot="1">
      <c r="A210" s="98" t="s">
        <v>2578</v>
      </c>
      <c r="B210" s="80" t="s">
        <v>2679</v>
      </c>
      <c r="C210" s="80" t="s">
        <v>2656</v>
      </c>
      <c r="D210" s="80" t="s">
        <v>2648</v>
      </c>
      <c r="E210" s="80" t="s">
        <v>2641</v>
      </c>
      <c r="F210" s="80" t="s">
        <v>2661</v>
      </c>
      <c r="G210" s="80" t="s">
        <v>2698</v>
      </c>
      <c r="H210" s="79">
        <v>12</v>
      </c>
      <c r="I210" s="79">
        <v>548.36</v>
      </c>
      <c r="J210" s="79">
        <v>6580.32</v>
      </c>
    </row>
    <row r="211" spans="1:10" ht="15" thickBot="1">
      <c r="A211" s="98">
        <v>45175</v>
      </c>
      <c r="B211" s="80" t="s">
        <v>2684</v>
      </c>
      <c r="C211" s="80" t="s">
        <v>2658</v>
      </c>
      <c r="D211" s="80" t="s">
        <v>2645</v>
      </c>
      <c r="E211" s="80" t="s">
        <v>2642</v>
      </c>
      <c r="F211" s="80" t="s">
        <v>2372</v>
      </c>
      <c r="G211" s="80" t="s">
        <v>2690</v>
      </c>
      <c r="H211" s="79">
        <v>6</v>
      </c>
      <c r="I211" s="79">
        <v>3931.61</v>
      </c>
      <c r="J211" s="79">
        <v>23589.66</v>
      </c>
    </row>
    <row r="212" spans="1:10" ht="15" thickBot="1">
      <c r="A212" s="98">
        <v>45237</v>
      </c>
      <c r="B212" s="80" t="s">
        <v>2678</v>
      </c>
      <c r="C212" s="80" t="s">
        <v>2653</v>
      </c>
      <c r="D212" s="80" t="s">
        <v>2644</v>
      </c>
      <c r="E212" s="80" t="s">
        <v>2641</v>
      </c>
      <c r="F212" s="80" t="s">
        <v>2372</v>
      </c>
      <c r="G212" s="80" t="s">
        <v>2693</v>
      </c>
      <c r="H212" s="79">
        <v>18</v>
      </c>
      <c r="I212" s="79">
        <v>1120.0999999999999</v>
      </c>
      <c r="J212" s="79">
        <v>20161.8</v>
      </c>
    </row>
    <row r="213" spans="1:10" ht="15" thickBot="1">
      <c r="A213" s="98" t="s">
        <v>2459</v>
      </c>
      <c r="B213" s="80" t="s">
        <v>2686</v>
      </c>
      <c r="C213" s="80" t="s">
        <v>2649</v>
      </c>
      <c r="D213" s="80" t="s">
        <v>2645</v>
      </c>
      <c r="E213" s="80" t="s">
        <v>2642</v>
      </c>
      <c r="F213" s="80" t="s">
        <v>2374</v>
      </c>
      <c r="G213" s="80" t="s">
        <v>2704</v>
      </c>
      <c r="H213" s="79">
        <v>11</v>
      </c>
      <c r="I213" s="79">
        <v>1473.35</v>
      </c>
      <c r="J213" s="79">
        <v>16206.85</v>
      </c>
    </row>
    <row r="214" spans="1:10" ht="15" thickBot="1">
      <c r="A214" s="98" t="s">
        <v>2556</v>
      </c>
      <c r="B214" s="80" t="s">
        <v>2681</v>
      </c>
      <c r="C214" s="80" t="s">
        <v>2396</v>
      </c>
      <c r="D214" s="80" t="s">
        <v>2648</v>
      </c>
      <c r="E214" s="80" t="s">
        <v>2641</v>
      </c>
      <c r="F214" s="80" t="s">
        <v>2370</v>
      </c>
      <c r="G214" s="80" t="s">
        <v>1336</v>
      </c>
      <c r="H214" s="79">
        <v>6</v>
      </c>
      <c r="I214" s="79">
        <v>297.27</v>
      </c>
      <c r="J214" s="79">
        <v>1783.62</v>
      </c>
    </row>
    <row r="215" spans="1:10" ht="15" thickBot="1">
      <c r="A215" s="98" t="s">
        <v>2520</v>
      </c>
      <c r="B215" s="80" t="s">
        <v>2678</v>
      </c>
      <c r="C215" s="80" t="s">
        <v>2392</v>
      </c>
      <c r="D215" s="80" t="s">
        <v>2644</v>
      </c>
      <c r="E215" s="80" t="s">
        <v>2641</v>
      </c>
      <c r="F215" s="80" t="s">
        <v>2661</v>
      </c>
      <c r="G215" s="80" t="s">
        <v>2695</v>
      </c>
      <c r="H215" s="79">
        <v>5</v>
      </c>
      <c r="I215" s="79">
        <v>4872.8900000000003</v>
      </c>
      <c r="J215" s="79">
        <v>24364.45</v>
      </c>
    </row>
    <row r="216" spans="1:10" ht="15" thickBot="1">
      <c r="A216" s="98" t="s">
        <v>2623</v>
      </c>
      <c r="B216" s="80" t="s">
        <v>2683</v>
      </c>
      <c r="C216" s="80" t="s">
        <v>2660</v>
      </c>
      <c r="D216" s="80" t="s">
        <v>2647</v>
      </c>
      <c r="E216" s="80" t="s">
        <v>2643</v>
      </c>
      <c r="F216" s="80" t="s">
        <v>2661</v>
      </c>
      <c r="G216" s="80" t="s">
        <v>2696</v>
      </c>
      <c r="H216" s="79">
        <v>20</v>
      </c>
      <c r="I216" s="79">
        <v>4711.51</v>
      </c>
      <c r="J216" s="79">
        <v>94230.2</v>
      </c>
    </row>
    <row r="217" spans="1:10" ht="15" thickBot="1">
      <c r="A217" s="98" t="s">
        <v>2487</v>
      </c>
      <c r="B217" s="80" t="s">
        <v>2687</v>
      </c>
      <c r="C217" s="80" t="s">
        <v>2396</v>
      </c>
      <c r="D217" s="80" t="s">
        <v>2648</v>
      </c>
      <c r="E217" s="80" t="s">
        <v>2641</v>
      </c>
      <c r="F217" s="80" t="s">
        <v>2370</v>
      </c>
      <c r="G217" s="80" t="s">
        <v>1336</v>
      </c>
      <c r="H217" s="79">
        <v>5</v>
      </c>
      <c r="I217" s="79">
        <v>4096.54</v>
      </c>
      <c r="J217" s="79">
        <v>20482.7</v>
      </c>
    </row>
    <row r="218" spans="1:10" ht="15" thickBot="1">
      <c r="A218" s="98" t="s">
        <v>2499</v>
      </c>
      <c r="B218" s="80" t="s">
        <v>2684</v>
      </c>
      <c r="C218" s="80" t="s">
        <v>2660</v>
      </c>
      <c r="D218" s="80" t="s">
        <v>2647</v>
      </c>
      <c r="E218" s="80" t="s">
        <v>2643</v>
      </c>
      <c r="F218" s="80" t="s">
        <v>2661</v>
      </c>
      <c r="G218" s="80" t="s">
        <v>2696</v>
      </c>
      <c r="H218" s="79">
        <v>6</v>
      </c>
      <c r="I218" s="79">
        <v>830.82</v>
      </c>
      <c r="J218" s="79">
        <v>4984.92</v>
      </c>
    </row>
    <row r="219" spans="1:10" ht="15" thickBot="1">
      <c r="A219" s="98">
        <v>44992</v>
      </c>
      <c r="B219" s="80" t="s">
        <v>2685</v>
      </c>
      <c r="C219" s="80" t="s">
        <v>2659</v>
      </c>
      <c r="D219" s="80" t="s">
        <v>2647</v>
      </c>
      <c r="E219" s="80" t="s">
        <v>2643</v>
      </c>
      <c r="F219" s="80" t="s">
        <v>2661</v>
      </c>
      <c r="G219" s="80" t="s">
        <v>2691</v>
      </c>
      <c r="H219" s="79">
        <v>3</v>
      </c>
      <c r="I219" s="79">
        <v>4637.38</v>
      </c>
      <c r="J219" s="79">
        <v>13912.14</v>
      </c>
    </row>
    <row r="220" spans="1:10" ht="15" thickBot="1">
      <c r="A220" s="98">
        <v>44959</v>
      </c>
      <c r="B220" s="80" t="s">
        <v>2686</v>
      </c>
      <c r="C220" s="80" t="s">
        <v>2658</v>
      </c>
      <c r="D220" s="80" t="s">
        <v>2645</v>
      </c>
      <c r="E220" s="80" t="s">
        <v>2642</v>
      </c>
      <c r="F220" s="80" t="s">
        <v>2374</v>
      </c>
      <c r="G220" s="80" t="s">
        <v>2689</v>
      </c>
      <c r="H220" s="79">
        <v>5</v>
      </c>
      <c r="I220" s="79">
        <v>3770.1</v>
      </c>
      <c r="J220" s="79">
        <v>18850.5</v>
      </c>
    </row>
    <row r="221" spans="1:10" ht="15" thickBot="1">
      <c r="A221" s="98" t="s">
        <v>2435</v>
      </c>
      <c r="B221" s="80" t="s">
        <v>2682</v>
      </c>
      <c r="C221" s="80" t="s">
        <v>2655</v>
      </c>
      <c r="D221" s="80" t="s">
        <v>2645</v>
      </c>
      <c r="E221" s="80" t="s">
        <v>2642</v>
      </c>
      <c r="F221" s="80" t="s">
        <v>2661</v>
      </c>
      <c r="G221" s="80" t="s">
        <v>2695</v>
      </c>
      <c r="H221" s="79">
        <v>20</v>
      </c>
      <c r="I221" s="79">
        <v>285.95999999999998</v>
      </c>
      <c r="J221" s="79">
        <v>5719.2</v>
      </c>
    </row>
    <row r="222" spans="1:10" ht="15" thickBot="1">
      <c r="A222" s="98">
        <v>45142</v>
      </c>
      <c r="B222" s="80" t="s">
        <v>2683</v>
      </c>
      <c r="C222" s="80" t="s">
        <v>2659</v>
      </c>
      <c r="D222" s="80" t="s">
        <v>2647</v>
      </c>
      <c r="E222" s="80" t="s">
        <v>2643</v>
      </c>
      <c r="F222" s="80" t="s">
        <v>2373</v>
      </c>
      <c r="G222" s="80" t="s">
        <v>2705</v>
      </c>
      <c r="H222" s="79">
        <v>6</v>
      </c>
      <c r="I222" s="79">
        <v>1912.36</v>
      </c>
      <c r="J222" s="79">
        <v>11474.16</v>
      </c>
    </row>
    <row r="223" spans="1:10" ht="15" thickBot="1">
      <c r="A223" s="98" t="s">
        <v>2630</v>
      </c>
      <c r="B223" s="80" t="s">
        <v>2679</v>
      </c>
      <c r="C223" s="80" t="s">
        <v>2657</v>
      </c>
      <c r="D223" s="80" t="s">
        <v>2648</v>
      </c>
      <c r="E223" s="80" t="s">
        <v>2641</v>
      </c>
      <c r="F223" s="80" t="s">
        <v>2372</v>
      </c>
      <c r="G223" s="80" t="s">
        <v>2690</v>
      </c>
      <c r="H223" s="79">
        <v>19</v>
      </c>
      <c r="I223" s="79">
        <v>3648.27</v>
      </c>
      <c r="J223" s="79">
        <v>69317.13</v>
      </c>
    </row>
    <row r="224" spans="1:10" ht="15" thickBot="1">
      <c r="A224" s="98">
        <v>45022</v>
      </c>
      <c r="B224" s="80" t="s">
        <v>2680</v>
      </c>
      <c r="C224" s="80" t="s">
        <v>2658</v>
      </c>
      <c r="D224" s="80" t="s">
        <v>2645</v>
      </c>
      <c r="E224" s="80" t="s">
        <v>2642</v>
      </c>
      <c r="F224" s="80" t="s">
        <v>2373</v>
      </c>
      <c r="G224" s="80" t="s">
        <v>2703</v>
      </c>
      <c r="H224" s="79">
        <v>20</v>
      </c>
      <c r="I224" s="79">
        <v>473.23</v>
      </c>
      <c r="J224" s="79">
        <v>9464.6</v>
      </c>
    </row>
    <row r="225" spans="1:10" ht="15" thickBot="1">
      <c r="A225" s="98" t="s">
        <v>2547</v>
      </c>
      <c r="B225" s="80" t="s">
        <v>2678</v>
      </c>
      <c r="C225" s="80" t="s">
        <v>2651</v>
      </c>
      <c r="D225" s="80" t="s">
        <v>2646</v>
      </c>
      <c r="E225" s="80" t="s">
        <v>2642</v>
      </c>
      <c r="F225" s="80" t="s">
        <v>2370</v>
      </c>
      <c r="G225" s="80" t="s">
        <v>1335</v>
      </c>
      <c r="H225" s="79">
        <v>16</v>
      </c>
      <c r="I225" s="79">
        <v>1870.47</v>
      </c>
      <c r="J225" s="79">
        <v>29927.52</v>
      </c>
    </row>
    <row r="226" spans="1:10" ht="15" thickBot="1">
      <c r="A226" s="98" t="s">
        <v>2543</v>
      </c>
      <c r="B226" s="80" t="s">
        <v>2684</v>
      </c>
      <c r="C226" s="80" t="s">
        <v>2652</v>
      </c>
      <c r="D226" s="80" t="s">
        <v>2647</v>
      </c>
      <c r="E226" s="80" t="s">
        <v>2643</v>
      </c>
      <c r="F226" s="80" t="s">
        <v>2661</v>
      </c>
      <c r="G226" s="80" t="s">
        <v>2696</v>
      </c>
      <c r="H226" s="79">
        <v>18</v>
      </c>
      <c r="I226" s="79">
        <v>835.8</v>
      </c>
      <c r="J226" s="79">
        <v>15044.4</v>
      </c>
    </row>
    <row r="227" spans="1:10" ht="15" thickBot="1">
      <c r="A227" s="98">
        <v>44992</v>
      </c>
      <c r="B227" s="80" t="s">
        <v>2687</v>
      </c>
      <c r="C227" s="80" t="s">
        <v>2653</v>
      </c>
      <c r="D227" s="80" t="s">
        <v>2644</v>
      </c>
      <c r="E227" s="80" t="s">
        <v>2641</v>
      </c>
      <c r="F227" s="80" t="s">
        <v>2374</v>
      </c>
      <c r="G227" s="80" t="s">
        <v>2700</v>
      </c>
      <c r="H227" s="79">
        <v>18</v>
      </c>
      <c r="I227" s="79">
        <v>4850.91</v>
      </c>
      <c r="J227" s="79">
        <v>87316.38</v>
      </c>
    </row>
    <row r="228" spans="1:10" ht="15" thickBot="1">
      <c r="A228" s="98" t="s">
        <v>2537</v>
      </c>
      <c r="B228" s="80" t="s">
        <v>2680</v>
      </c>
      <c r="C228" s="80" t="s">
        <v>2393</v>
      </c>
      <c r="D228" s="80" t="s">
        <v>2644</v>
      </c>
      <c r="E228" s="80" t="s">
        <v>2641</v>
      </c>
      <c r="F228" s="80" t="s">
        <v>2373</v>
      </c>
      <c r="G228" s="80" t="s">
        <v>2688</v>
      </c>
      <c r="H228" s="79">
        <v>10</v>
      </c>
      <c r="I228" s="79">
        <v>2200.91</v>
      </c>
      <c r="J228" s="79">
        <v>22009.1</v>
      </c>
    </row>
    <row r="229" spans="1:10" ht="15" thickBot="1">
      <c r="A229" s="98">
        <v>45211</v>
      </c>
      <c r="B229" s="80" t="s">
        <v>2686</v>
      </c>
      <c r="C229" s="80" t="s">
        <v>2649</v>
      </c>
      <c r="D229" s="80" t="s">
        <v>2645</v>
      </c>
      <c r="E229" s="80" t="s">
        <v>2642</v>
      </c>
      <c r="F229" s="80" t="s">
        <v>2370</v>
      </c>
      <c r="G229" s="80" t="s">
        <v>1335</v>
      </c>
      <c r="H229" s="79">
        <v>9</v>
      </c>
      <c r="I229" s="79">
        <v>1694.83</v>
      </c>
      <c r="J229" s="79">
        <v>15253.47</v>
      </c>
    </row>
    <row r="230" spans="1:10" ht="15" thickBot="1">
      <c r="A230" s="98">
        <v>45079</v>
      </c>
      <c r="B230" s="80" t="s">
        <v>2687</v>
      </c>
      <c r="C230" s="80" t="s">
        <v>2654</v>
      </c>
      <c r="D230" s="80" t="s">
        <v>2646</v>
      </c>
      <c r="E230" s="80" t="s">
        <v>2642</v>
      </c>
      <c r="F230" s="80" t="s">
        <v>2373</v>
      </c>
      <c r="G230" s="80" t="s">
        <v>2703</v>
      </c>
      <c r="H230" s="79">
        <v>10</v>
      </c>
      <c r="I230" s="79">
        <v>1229.56</v>
      </c>
      <c r="J230" s="79">
        <v>12295.6</v>
      </c>
    </row>
    <row r="231" spans="1:10" ht="15" thickBot="1">
      <c r="A231" s="98" t="s">
        <v>2497</v>
      </c>
      <c r="B231" s="80" t="s">
        <v>2687</v>
      </c>
      <c r="C231" s="80" t="s">
        <v>2396</v>
      </c>
      <c r="D231" s="80" t="s">
        <v>2648</v>
      </c>
      <c r="E231" s="80" t="s">
        <v>2641</v>
      </c>
      <c r="F231" s="80" t="s">
        <v>2661</v>
      </c>
      <c r="G231" s="80" t="s">
        <v>2691</v>
      </c>
      <c r="H231" s="79">
        <v>14</v>
      </c>
      <c r="I231" s="79">
        <v>705.15</v>
      </c>
      <c r="J231" s="79">
        <v>9872.1</v>
      </c>
    </row>
    <row r="232" spans="1:10" ht="15" thickBot="1">
      <c r="A232" s="98" t="s">
        <v>2492</v>
      </c>
      <c r="B232" s="80" t="s">
        <v>2685</v>
      </c>
      <c r="C232" s="80" t="s">
        <v>2659</v>
      </c>
      <c r="D232" s="80" t="s">
        <v>2647</v>
      </c>
      <c r="E232" s="80" t="s">
        <v>2643</v>
      </c>
      <c r="F232" s="80" t="s">
        <v>2372</v>
      </c>
      <c r="G232" s="80" t="s">
        <v>2693</v>
      </c>
      <c r="H232" s="79">
        <v>19</v>
      </c>
      <c r="I232" s="79">
        <v>3485.85</v>
      </c>
      <c r="J232" s="79">
        <v>66231.149999999994</v>
      </c>
    </row>
    <row r="233" spans="1:10" ht="15" thickBot="1">
      <c r="A233" s="98" t="s">
        <v>2449</v>
      </c>
      <c r="B233" s="80" t="s">
        <v>2679</v>
      </c>
      <c r="C233" s="80" t="s">
        <v>2660</v>
      </c>
      <c r="D233" s="80" t="s">
        <v>2647</v>
      </c>
      <c r="E233" s="80" t="s">
        <v>2643</v>
      </c>
      <c r="F233" s="80" t="s">
        <v>2370</v>
      </c>
      <c r="G233" s="80" t="s">
        <v>1335</v>
      </c>
      <c r="H233" s="79">
        <v>10</v>
      </c>
      <c r="I233" s="79">
        <v>3633.26</v>
      </c>
      <c r="J233" s="79">
        <v>36332.6</v>
      </c>
    </row>
    <row r="234" spans="1:10" ht="15" thickBot="1">
      <c r="A234" s="98">
        <v>45208</v>
      </c>
      <c r="B234" s="80" t="s">
        <v>2685</v>
      </c>
      <c r="C234" s="80" t="s">
        <v>2653</v>
      </c>
      <c r="D234" s="80" t="s">
        <v>2644</v>
      </c>
      <c r="E234" s="80" t="s">
        <v>2641</v>
      </c>
      <c r="F234" s="80" t="s">
        <v>2661</v>
      </c>
      <c r="G234" s="80" t="s">
        <v>2698</v>
      </c>
      <c r="H234" s="79">
        <v>14</v>
      </c>
      <c r="I234" s="79">
        <v>1245.9000000000001</v>
      </c>
      <c r="J234" s="79">
        <v>17442.599999999999</v>
      </c>
    </row>
    <row r="235" spans="1:10" ht="15" thickBot="1">
      <c r="A235" s="98" t="s">
        <v>2455</v>
      </c>
      <c r="B235" s="80" t="s">
        <v>2681</v>
      </c>
      <c r="C235" s="80" t="s">
        <v>2660</v>
      </c>
      <c r="D235" s="80" t="s">
        <v>2647</v>
      </c>
      <c r="E235" s="80" t="s">
        <v>2643</v>
      </c>
      <c r="F235" s="80" t="s">
        <v>2373</v>
      </c>
      <c r="G235" s="80" t="s">
        <v>2688</v>
      </c>
      <c r="H235" s="79">
        <v>4</v>
      </c>
      <c r="I235" s="79">
        <v>4553.5200000000004</v>
      </c>
      <c r="J235" s="79">
        <v>18214.080000000002</v>
      </c>
    </row>
    <row r="236" spans="1:10" ht="15" thickBot="1">
      <c r="A236" s="98">
        <v>45146</v>
      </c>
      <c r="B236" s="80" t="s">
        <v>2679</v>
      </c>
      <c r="C236" s="80" t="s">
        <v>2393</v>
      </c>
      <c r="D236" s="80" t="s">
        <v>2644</v>
      </c>
      <c r="E236" s="80" t="s">
        <v>2641</v>
      </c>
      <c r="F236" s="80" t="s">
        <v>2373</v>
      </c>
      <c r="G236" s="80" t="s">
        <v>2697</v>
      </c>
      <c r="H236" s="79">
        <v>3</v>
      </c>
      <c r="I236" s="79">
        <v>1417.18</v>
      </c>
      <c r="J236" s="79">
        <v>4251.54</v>
      </c>
    </row>
    <row r="237" spans="1:10" ht="15" thickBot="1">
      <c r="A237" s="98" t="s">
        <v>2465</v>
      </c>
      <c r="B237" s="80" t="s">
        <v>2683</v>
      </c>
      <c r="C237" s="80" t="s">
        <v>2653</v>
      </c>
      <c r="D237" s="80" t="s">
        <v>2644</v>
      </c>
      <c r="E237" s="80" t="s">
        <v>2641</v>
      </c>
      <c r="F237" s="80" t="s">
        <v>2370</v>
      </c>
      <c r="G237" s="80" t="s">
        <v>2702</v>
      </c>
      <c r="H237" s="79">
        <v>7</v>
      </c>
      <c r="I237" s="79">
        <v>1249.3599999999999</v>
      </c>
      <c r="J237" s="79">
        <v>8745.52</v>
      </c>
    </row>
    <row r="238" spans="1:10" ht="15" thickBot="1">
      <c r="A238" s="98" t="s">
        <v>2609</v>
      </c>
      <c r="B238" s="80" t="s">
        <v>2682</v>
      </c>
      <c r="C238" s="80" t="s">
        <v>2654</v>
      </c>
      <c r="D238" s="80" t="s">
        <v>2646</v>
      </c>
      <c r="E238" s="80" t="s">
        <v>2642</v>
      </c>
      <c r="F238" s="80" t="s">
        <v>2372</v>
      </c>
      <c r="G238" s="80" t="s">
        <v>2699</v>
      </c>
      <c r="H238" s="79">
        <v>7</v>
      </c>
      <c r="I238" s="79">
        <v>3911.96</v>
      </c>
      <c r="J238" s="79">
        <v>27383.72</v>
      </c>
    </row>
    <row r="239" spans="1:10" ht="15" thickBot="1">
      <c r="A239" s="98" t="s">
        <v>2600</v>
      </c>
      <c r="B239" s="80" t="s">
        <v>2681</v>
      </c>
      <c r="C239" s="80" t="s">
        <v>2649</v>
      </c>
      <c r="D239" s="80" t="s">
        <v>2645</v>
      </c>
      <c r="E239" s="80" t="s">
        <v>2642</v>
      </c>
      <c r="F239" s="80" t="s">
        <v>2372</v>
      </c>
      <c r="G239" s="80" t="s">
        <v>2693</v>
      </c>
      <c r="H239" s="79">
        <v>4</v>
      </c>
      <c r="I239" s="79">
        <v>3087.87</v>
      </c>
      <c r="J239" s="79">
        <v>12351.48</v>
      </c>
    </row>
    <row r="240" spans="1:10" ht="15" thickBot="1">
      <c r="A240" s="98">
        <v>45241</v>
      </c>
      <c r="B240" s="80" t="s">
        <v>2681</v>
      </c>
      <c r="C240" s="80" t="s">
        <v>2653</v>
      </c>
      <c r="D240" s="80" t="s">
        <v>2644</v>
      </c>
      <c r="E240" s="80" t="s">
        <v>2641</v>
      </c>
      <c r="F240" s="80" t="s">
        <v>2370</v>
      </c>
      <c r="G240" s="80" t="s">
        <v>2702</v>
      </c>
      <c r="H240" s="79">
        <v>16</v>
      </c>
      <c r="I240" s="79">
        <v>628.15</v>
      </c>
      <c r="J240" s="79">
        <v>10050.4</v>
      </c>
    </row>
    <row r="241" spans="1:10" ht="15" thickBot="1">
      <c r="A241" s="98" t="s">
        <v>2479</v>
      </c>
      <c r="B241" s="80" t="s">
        <v>2683</v>
      </c>
      <c r="C241" s="80" t="s">
        <v>2658</v>
      </c>
      <c r="D241" s="80" t="s">
        <v>2645</v>
      </c>
      <c r="E241" s="80" t="s">
        <v>2642</v>
      </c>
      <c r="F241" s="80" t="s">
        <v>2661</v>
      </c>
      <c r="G241" s="80" t="s">
        <v>2698</v>
      </c>
      <c r="H241" s="79">
        <v>15</v>
      </c>
      <c r="I241" s="79">
        <v>3100.61</v>
      </c>
      <c r="J241" s="79">
        <v>46509.15</v>
      </c>
    </row>
    <row r="242" spans="1:10" ht="15" thickBot="1">
      <c r="A242" s="98" t="s">
        <v>2588</v>
      </c>
      <c r="B242" s="80" t="s">
        <v>2679</v>
      </c>
      <c r="C242" s="80" t="s">
        <v>2649</v>
      </c>
      <c r="D242" s="80" t="s">
        <v>2645</v>
      </c>
      <c r="E242" s="80" t="s">
        <v>2642</v>
      </c>
      <c r="F242" s="80" t="s">
        <v>2372</v>
      </c>
      <c r="G242" s="80" t="s">
        <v>2693</v>
      </c>
      <c r="H242" s="79">
        <v>10</v>
      </c>
      <c r="I242" s="79">
        <v>4017.66</v>
      </c>
      <c r="J242" s="79">
        <v>40176.6</v>
      </c>
    </row>
    <row r="243" spans="1:10" ht="15" thickBot="1">
      <c r="A243" s="98" t="s">
        <v>2544</v>
      </c>
      <c r="B243" s="80" t="s">
        <v>2679</v>
      </c>
      <c r="C243" s="80" t="s">
        <v>2655</v>
      </c>
      <c r="D243" s="80" t="s">
        <v>2645</v>
      </c>
      <c r="E243" s="80" t="s">
        <v>2642</v>
      </c>
      <c r="F243" s="80" t="s">
        <v>2373</v>
      </c>
      <c r="G243" s="80" t="s">
        <v>2697</v>
      </c>
      <c r="H243" s="79">
        <v>3</v>
      </c>
      <c r="I243" s="79">
        <v>3389.2</v>
      </c>
      <c r="J243" s="79">
        <v>10167.6</v>
      </c>
    </row>
    <row r="244" spans="1:10" ht="15" thickBot="1">
      <c r="A244" s="98" t="s">
        <v>2621</v>
      </c>
      <c r="B244" s="80" t="s">
        <v>2680</v>
      </c>
      <c r="C244" s="80" t="s">
        <v>2653</v>
      </c>
      <c r="D244" s="80" t="s">
        <v>2644</v>
      </c>
      <c r="E244" s="80" t="s">
        <v>2641</v>
      </c>
      <c r="F244" s="80" t="s">
        <v>2661</v>
      </c>
      <c r="G244" s="80" t="s">
        <v>2691</v>
      </c>
      <c r="H244" s="79">
        <v>20</v>
      </c>
      <c r="I244" s="79">
        <v>2441.83</v>
      </c>
      <c r="J244" s="79">
        <v>48836.6</v>
      </c>
    </row>
    <row r="245" spans="1:10" ht="15" thickBot="1">
      <c r="A245" s="98">
        <v>45181</v>
      </c>
      <c r="B245" s="80" t="s">
        <v>2679</v>
      </c>
      <c r="C245" s="80" t="s">
        <v>2652</v>
      </c>
      <c r="D245" s="80" t="s">
        <v>2647</v>
      </c>
      <c r="E245" s="80" t="s">
        <v>2643</v>
      </c>
      <c r="F245" s="80" t="s">
        <v>2373</v>
      </c>
      <c r="G245" s="80" t="s">
        <v>2703</v>
      </c>
      <c r="H245" s="79">
        <v>17</v>
      </c>
      <c r="I245" s="79">
        <v>2655.98</v>
      </c>
      <c r="J245" s="79">
        <v>45151.66</v>
      </c>
    </row>
    <row r="246" spans="1:10" ht="15" thickBot="1">
      <c r="A246" s="98">
        <v>44986</v>
      </c>
      <c r="B246" s="80" t="s">
        <v>2679</v>
      </c>
      <c r="C246" s="80" t="s">
        <v>2649</v>
      </c>
      <c r="D246" s="80" t="s">
        <v>2645</v>
      </c>
      <c r="E246" s="80" t="s">
        <v>2642</v>
      </c>
      <c r="F246" s="80" t="s">
        <v>2370</v>
      </c>
      <c r="G246" s="80" t="s">
        <v>2702</v>
      </c>
      <c r="H246" s="79">
        <v>3</v>
      </c>
      <c r="I246" s="79">
        <v>4908.74</v>
      </c>
      <c r="J246" s="79">
        <v>14726.22</v>
      </c>
    </row>
    <row r="247" spans="1:10" ht="15" thickBot="1">
      <c r="A247" s="98" t="s">
        <v>2587</v>
      </c>
      <c r="B247" s="80" t="s">
        <v>2685</v>
      </c>
      <c r="C247" s="80" t="s">
        <v>2659</v>
      </c>
      <c r="D247" s="80" t="s">
        <v>2647</v>
      </c>
      <c r="E247" s="80" t="s">
        <v>2643</v>
      </c>
      <c r="F247" s="80" t="s">
        <v>2370</v>
      </c>
      <c r="G247" s="80" t="s">
        <v>2702</v>
      </c>
      <c r="H247" s="79">
        <v>13</v>
      </c>
      <c r="I247" s="79">
        <v>4121.8</v>
      </c>
      <c r="J247" s="79">
        <v>53583.4</v>
      </c>
    </row>
    <row r="248" spans="1:10" ht="15" thickBot="1">
      <c r="A248" s="98">
        <v>45080</v>
      </c>
      <c r="B248" s="80" t="s">
        <v>2687</v>
      </c>
      <c r="C248" s="80" t="s">
        <v>2653</v>
      </c>
      <c r="D248" s="80" t="s">
        <v>2644</v>
      </c>
      <c r="E248" s="80" t="s">
        <v>2641</v>
      </c>
      <c r="F248" s="80" t="s">
        <v>2370</v>
      </c>
      <c r="G248" s="80" t="s">
        <v>2702</v>
      </c>
      <c r="H248" s="79">
        <v>7</v>
      </c>
      <c r="I248" s="79">
        <v>2083.7800000000002</v>
      </c>
      <c r="J248" s="79">
        <v>14586.46</v>
      </c>
    </row>
    <row r="249" spans="1:10" ht="15" thickBot="1">
      <c r="A249" s="98">
        <v>45201</v>
      </c>
      <c r="B249" s="80" t="s">
        <v>2683</v>
      </c>
      <c r="C249" s="80" t="s">
        <v>2393</v>
      </c>
      <c r="D249" s="80" t="s">
        <v>2644</v>
      </c>
      <c r="E249" s="80" t="s">
        <v>2641</v>
      </c>
      <c r="F249" s="80" t="s">
        <v>2372</v>
      </c>
      <c r="G249" s="80" t="s">
        <v>2699</v>
      </c>
      <c r="H249" s="79">
        <v>4</v>
      </c>
      <c r="I249" s="79">
        <v>697.88</v>
      </c>
      <c r="J249" s="79">
        <v>2791.52</v>
      </c>
    </row>
    <row r="250" spans="1:10" ht="15" thickBot="1">
      <c r="A250" s="98">
        <v>44930</v>
      </c>
      <c r="B250" s="80" t="s">
        <v>2687</v>
      </c>
      <c r="C250" s="80" t="s">
        <v>2660</v>
      </c>
      <c r="D250" s="80" t="s">
        <v>2647</v>
      </c>
      <c r="E250" s="80" t="s">
        <v>2643</v>
      </c>
      <c r="F250" s="80" t="s">
        <v>2370</v>
      </c>
      <c r="G250" s="80" t="s">
        <v>2701</v>
      </c>
      <c r="H250" s="79">
        <v>3</v>
      </c>
      <c r="I250" s="79">
        <v>3754.7</v>
      </c>
      <c r="J250" s="79">
        <v>11264.1</v>
      </c>
    </row>
    <row r="251" spans="1:10" ht="15" thickBot="1">
      <c r="A251" s="98" t="s">
        <v>2450</v>
      </c>
      <c r="B251" s="80" t="s">
        <v>2680</v>
      </c>
      <c r="C251" s="80" t="s">
        <v>2654</v>
      </c>
      <c r="D251" s="80" t="s">
        <v>2646</v>
      </c>
      <c r="E251" s="80" t="s">
        <v>2642</v>
      </c>
      <c r="F251" s="80" t="s">
        <v>2373</v>
      </c>
      <c r="G251" s="80" t="s">
        <v>2705</v>
      </c>
      <c r="H251" s="79">
        <v>20</v>
      </c>
      <c r="I251" s="79">
        <v>2449.44</v>
      </c>
      <c r="J251" s="79">
        <v>48988.800000000003</v>
      </c>
    </row>
    <row r="252" spans="1:10" ht="15" thickBot="1">
      <c r="A252" s="98">
        <v>44964</v>
      </c>
      <c r="B252" s="80" t="s">
        <v>2681</v>
      </c>
      <c r="C252" s="80" t="s">
        <v>2650</v>
      </c>
      <c r="D252" s="80" t="s">
        <v>2646</v>
      </c>
      <c r="E252" s="80" t="s">
        <v>2642</v>
      </c>
      <c r="F252" s="80" t="s">
        <v>2370</v>
      </c>
      <c r="G252" s="80" t="s">
        <v>1336</v>
      </c>
      <c r="H252" s="79">
        <v>6</v>
      </c>
      <c r="I252" s="79">
        <v>2862.86</v>
      </c>
      <c r="J252" s="79">
        <v>17177.16</v>
      </c>
    </row>
    <row r="253" spans="1:10" ht="15" thickBot="1">
      <c r="A253" s="98" t="s">
        <v>2494</v>
      </c>
      <c r="B253" s="80" t="s">
        <v>2684</v>
      </c>
      <c r="C253" s="80" t="s">
        <v>2650</v>
      </c>
      <c r="D253" s="80" t="s">
        <v>2646</v>
      </c>
      <c r="E253" s="80" t="s">
        <v>2642</v>
      </c>
      <c r="F253" s="80" t="s">
        <v>2374</v>
      </c>
      <c r="G253" s="80" t="s">
        <v>2689</v>
      </c>
      <c r="H253" s="79">
        <v>4</v>
      </c>
      <c r="I253" s="79">
        <v>4795.3999999999996</v>
      </c>
      <c r="J253" s="79">
        <v>19181.599999999999</v>
      </c>
    </row>
    <row r="254" spans="1:10" ht="15" thickBot="1">
      <c r="A254" s="98">
        <v>45271</v>
      </c>
      <c r="B254" s="80" t="s">
        <v>2684</v>
      </c>
      <c r="C254" s="80" t="s">
        <v>2660</v>
      </c>
      <c r="D254" s="80" t="s">
        <v>2647</v>
      </c>
      <c r="E254" s="80" t="s">
        <v>2643</v>
      </c>
      <c r="F254" s="80" t="s">
        <v>2373</v>
      </c>
      <c r="G254" s="80" t="s">
        <v>2703</v>
      </c>
      <c r="H254" s="79">
        <v>3</v>
      </c>
      <c r="I254" s="79">
        <v>672.84</v>
      </c>
      <c r="J254" s="79">
        <v>2018.52</v>
      </c>
    </row>
    <row r="255" spans="1:10" ht="15" thickBot="1">
      <c r="A255" s="98">
        <v>45086</v>
      </c>
      <c r="B255" s="80" t="s">
        <v>2687</v>
      </c>
      <c r="C255" s="80" t="s">
        <v>2655</v>
      </c>
      <c r="D255" s="80" t="s">
        <v>2645</v>
      </c>
      <c r="E255" s="80" t="s">
        <v>2642</v>
      </c>
      <c r="F255" s="80" t="s">
        <v>2373</v>
      </c>
      <c r="G255" s="80" t="s">
        <v>2705</v>
      </c>
      <c r="H255" s="79">
        <v>5</v>
      </c>
      <c r="I255" s="79">
        <v>4423.53</v>
      </c>
      <c r="J255" s="79">
        <v>22117.65</v>
      </c>
    </row>
    <row r="256" spans="1:10" ht="15" thickBot="1">
      <c r="A256" s="98">
        <v>44990</v>
      </c>
      <c r="B256" s="80" t="s">
        <v>2684</v>
      </c>
      <c r="C256" s="80" t="s">
        <v>2650</v>
      </c>
      <c r="D256" s="80" t="s">
        <v>2646</v>
      </c>
      <c r="E256" s="80" t="s">
        <v>2642</v>
      </c>
      <c r="F256" s="80" t="s">
        <v>2373</v>
      </c>
      <c r="G256" s="80" t="s">
        <v>2705</v>
      </c>
      <c r="H256" s="79">
        <v>13</v>
      </c>
      <c r="I256" s="79">
        <v>1330.85</v>
      </c>
      <c r="J256" s="79">
        <v>17301.05</v>
      </c>
    </row>
    <row r="257" spans="1:10" ht="15" thickBot="1">
      <c r="A257" s="98" t="s">
        <v>2596</v>
      </c>
      <c r="B257" s="80" t="s">
        <v>2687</v>
      </c>
      <c r="C257" s="80" t="s">
        <v>2653</v>
      </c>
      <c r="D257" s="80" t="s">
        <v>2644</v>
      </c>
      <c r="E257" s="80" t="s">
        <v>2641</v>
      </c>
      <c r="F257" s="80" t="s">
        <v>2374</v>
      </c>
      <c r="G257" s="80" t="s">
        <v>2700</v>
      </c>
      <c r="H257" s="79">
        <v>2</v>
      </c>
      <c r="I257" s="79">
        <v>1785.76</v>
      </c>
      <c r="J257" s="79">
        <v>3571.52</v>
      </c>
    </row>
    <row r="258" spans="1:10" ht="15" thickBot="1">
      <c r="A258" s="98" t="s">
        <v>2615</v>
      </c>
      <c r="B258" s="80" t="s">
        <v>2680</v>
      </c>
      <c r="C258" s="80" t="s">
        <v>2660</v>
      </c>
      <c r="D258" s="80" t="s">
        <v>2647</v>
      </c>
      <c r="E258" s="80" t="s">
        <v>2643</v>
      </c>
      <c r="F258" s="80" t="s">
        <v>2373</v>
      </c>
      <c r="G258" s="80" t="s">
        <v>2703</v>
      </c>
      <c r="H258" s="79">
        <v>10</v>
      </c>
      <c r="I258" s="79">
        <v>505.39</v>
      </c>
      <c r="J258" s="79">
        <v>5053.8999999999996</v>
      </c>
    </row>
    <row r="259" spans="1:10" ht="15" thickBot="1">
      <c r="A259" s="98" t="s">
        <v>2512</v>
      </c>
      <c r="B259" s="80" t="s">
        <v>2682</v>
      </c>
      <c r="C259" s="80" t="s">
        <v>2658</v>
      </c>
      <c r="D259" s="80" t="s">
        <v>2645</v>
      </c>
      <c r="E259" s="80" t="s">
        <v>2642</v>
      </c>
      <c r="F259" s="80" t="s">
        <v>2370</v>
      </c>
      <c r="G259" s="80" t="s">
        <v>2701</v>
      </c>
      <c r="H259" s="79">
        <v>1</v>
      </c>
      <c r="I259" s="79">
        <v>4966.8599999999997</v>
      </c>
      <c r="J259" s="79">
        <v>4966.8599999999997</v>
      </c>
    </row>
    <row r="260" spans="1:10" ht="15" thickBot="1">
      <c r="A260" s="98" t="s">
        <v>2613</v>
      </c>
      <c r="B260" s="80" t="s">
        <v>2680</v>
      </c>
      <c r="C260" s="80" t="s">
        <v>2657</v>
      </c>
      <c r="D260" s="80" t="s">
        <v>2648</v>
      </c>
      <c r="E260" s="80" t="s">
        <v>2641</v>
      </c>
      <c r="F260" s="80" t="s">
        <v>2373</v>
      </c>
      <c r="G260" s="80" t="s">
        <v>2697</v>
      </c>
      <c r="H260" s="79">
        <v>5</v>
      </c>
      <c r="I260" s="79">
        <v>4988.76</v>
      </c>
      <c r="J260" s="79">
        <v>24943.8</v>
      </c>
    </row>
    <row r="261" spans="1:10" ht="15" thickBot="1">
      <c r="A261" s="98" t="s">
        <v>2629</v>
      </c>
      <c r="B261" s="80" t="s">
        <v>2683</v>
      </c>
      <c r="C261" s="80" t="s">
        <v>2649</v>
      </c>
      <c r="D261" s="80" t="s">
        <v>2645</v>
      </c>
      <c r="E261" s="80" t="s">
        <v>2642</v>
      </c>
      <c r="F261" s="80" t="s">
        <v>2370</v>
      </c>
      <c r="G261" s="80" t="s">
        <v>2701</v>
      </c>
      <c r="H261" s="79">
        <v>18</v>
      </c>
      <c r="I261" s="79">
        <v>1745.63</v>
      </c>
      <c r="J261" s="79">
        <v>31421.34</v>
      </c>
    </row>
    <row r="262" spans="1:10" ht="15" thickBot="1">
      <c r="A262" s="98" t="s">
        <v>2491</v>
      </c>
      <c r="B262" s="80" t="s">
        <v>2680</v>
      </c>
      <c r="C262" s="80" t="s">
        <v>2392</v>
      </c>
      <c r="D262" s="80" t="s">
        <v>2644</v>
      </c>
      <c r="E262" s="80" t="s">
        <v>2641</v>
      </c>
      <c r="F262" s="80" t="s">
        <v>2372</v>
      </c>
      <c r="G262" s="80" t="s">
        <v>2699</v>
      </c>
      <c r="H262" s="79">
        <v>2</v>
      </c>
      <c r="I262" s="79">
        <v>3024.56</v>
      </c>
      <c r="J262" s="79">
        <v>6049.12</v>
      </c>
    </row>
    <row r="263" spans="1:10" ht="15" thickBot="1">
      <c r="A263" s="98">
        <v>45083</v>
      </c>
      <c r="B263" s="80" t="s">
        <v>2685</v>
      </c>
      <c r="C263" s="80" t="s">
        <v>2654</v>
      </c>
      <c r="D263" s="80" t="s">
        <v>2646</v>
      </c>
      <c r="E263" s="80" t="s">
        <v>2642</v>
      </c>
      <c r="F263" s="80" t="s">
        <v>2374</v>
      </c>
      <c r="G263" s="80" t="s">
        <v>2692</v>
      </c>
      <c r="H263" s="79">
        <v>15</v>
      </c>
      <c r="I263" s="79">
        <v>4599.74</v>
      </c>
      <c r="J263" s="79">
        <v>68996.100000000006</v>
      </c>
    </row>
    <row r="264" spans="1:10" ht="15" thickBot="1">
      <c r="A264" s="98" t="s">
        <v>2515</v>
      </c>
      <c r="B264" s="80" t="s">
        <v>2680</v>
      </c>
      <c r="C264" s="80" t="s">
        <v>2660</v>
      </c>
      <c r="D264" s="80" t="s">
        <v>2647</v>
      </c>
      <c r="E264" s="80" t="s">
        <v>2643</v>
      </c>
      <c r="F264" s="80" t="s">
        <v>2661</v>
      </c>
      <c r="G264" s="80" t="s">
        <v>2698</v>
      </c>
      <c r="H264" s="79">
        <v>18</v>
      </c>
      <c r="I264" s="79">
        <v>330.49</v>
      </c>
      <c r="J264" s="79">
        <v>5948.82</v>
      </c>
    </row>
    <row r="265" spans="1:10" ht="15" thickBot="1">
      <c r="A265" s="98" t="s">
        <v>2534</v>
      </c>
      <c r="B265" s="80" t="s">
        <v>2681</v>
      </c>
      <c r="C265" s="80" t="s">
        <v>2655</v>
      </c>
      <c r="D265" s="80" t="s">
        <v>2645</v>
      </c>
      <c r="E265" s="80" t="s">
        <v>2642</v>
      </c>
      <c r="F265" s="80" t="s">
        <v>2372</v>
      </c>
      <c r="G265" s="80" t="s">
        <v>2690</v>
      </c>
      <c r="H265" s="79">
        <v>8</v>
      </c>
      <c r="I265" s="79">
        <v>4775.74</v>
      </c>
      <c r="J265" s="79">
        <v>38205.919999999998</v>
      </c>
    </row>
    <row r="266" spans="1:10" ht="15" thickBot="1">
      <c r="A266" s="98" t="s">
        <v>2442</v>
      </c>
      <c r="B266" s="80" t="s">
        <v>2687</v>
      </c>
      <c r="C266" s="80" t="s">
        <v>2657</v>
      </c>
      <c r="D266" s="80" t="s">
        <v>2648</v>
      </c>
      <c r="E266" s="80" t="s">
        <v>2641</v>
      </c>
      <c r="F266" s="80" t="s">
        <v>2374</v>
      </c>
      <c r="G266" s="80" t="s">
        <v>2692</v>
      </c>
      <c r="H266" s="79">
        <v>16</v>
      </c>
      <c r="I266" s="79">
        <v>2329.86</v>
      </c>
      <c r="J266" s="79">
        <v>37277.760000000002</v>
      </c>
    </row>
    <row r="267" spans="1:10" ht="15" thickBot="1">
      <c r="A267" s="98" t="s">
        <v>2609</v>
      </c>
      <c r="B267" s="80" t="s">
        <v>2679</v>
      </c>
      <c r="C267" s="80" t="s">
        <v>2656</v>
      </c>
      <c r="D267" s="80" t="s">
        <v>2648</v>
      </c>
      <c r="E267" s="80" t="s">
        <v>2641</v>
      </c>
      <c r="F267" s="80" t="s">
        <v>2370</v>
      </c>
      <c r="G267" s="80" t="s">
        <v>1335</v>
      </c>
      <c r="H267" s="79">
        <v>16</v>
      </c>
      <c r="I267" s="79">
        <v>1426.64</v>
      </c>
      <c r="J267" s="79">
        <v>22826.240000000002</v>
      </c>
    </row>
    <row r="268" spans="1:10" ht="15" thickBot="1">
      <c r="A268" s="98" t="s">
        <v>2441</v>
      </c>
      <c r="B268" s="80" t="s">
        <v>2682</v>
      </c>
      <c r="C268" s="80" t="s">
        <v>2657</v>
      </c>
      <c r="D268" s="80" t="s">
        <v>2648</v>
      </c>
      <c r="E268" s="80" t="s">
        <v>2641</v>
      </c>
      <c r="F268" s="80" t="s">
        <v>2372</v>
      </c>
      <c r="G268" s="80" t="s">
        <v>2694</v>
      </c>
      <c r="H268" s="79">
        <v>8</v>
      </c>
      <c r="I268" s="79">
        <v>2663.16</v>
      </c>
      <c r="J268" s="79">
        <v>21305.279999999999</v>
      </c>
    </row>
    <row r="269" spans="1:10" ht="15" thickBot="1">
      <c r="A269" s="98">
        <v>45233</v>
      </c>
      <c r="B269" s="80" t="s">
        <v>2686</v>
      </c>
      <c r="C269" s="80" t="s">
        <v>2656</v>
      </c>
      <c r="D269" s="80" t="s">
        <v>2648</v>
      </c>
      <c r="E269" s="80" t="s">
        <v>2641</v>
      </c>
      <c r="F269" s="80" t="s">
        <v>2372</v>
      </c>
      <c r="G269" s="80" t="s">
        <v>2690</v>
      </c>
      <c r="H269" s="79">
        <v>20</v>
      </c>
      <c r="I269" s="79">
        <v>1690.56</v>
      </c>
      <c r="J269" s="79">
        <v>33811.199999999997</v>
      </c>
    </row>
    <row r="270" spans="1:10" ht="15" thickBot="1">
      <c r="A270" s="98" t="s">
        <v>2625</v>
      </c>
      <c r="B270" s="80" t="s">
        <v>2686</v>
      </c>
      <c r="C270" s="80" t="s">
        <v>2393</v>
      </c>
      <c r="D270" s="80" t="s">
        <v>2644</v>
      </c>
      <c r="E270" s="80" t="s">
        <v>2641</v>
      </c>
      <c r="F270" s="80" t="s">
        <v>2372</v>
      </c>
      <c r="G270" s="80" t="s">
        <v>2690</v>
      </c>
      <c r="H270" s="79">
        <v>1</v>
      </c>
      <c r="I270" s="79">
        <v>776.08</v>
      </c>
      <c r="J270" s="79">
        <v>776.08</v>
      </c>
    </row>
    <row r="271" spans="1:10" ht="15" thickBot="1">
      <c r="A271" s="98">
        <v>44961</v>
      </c>
      <c r="B271" s="80" t="s">
        <v>2679</v>
      </c>
      <c r="C271" s="80" t="s">
        <v>2658</v>
      </c>
      <c r="D271" s="80" t="s">
        <v>2645</v>
      </c>
      <c r="E271" s="80" t="s">
        <v>2642</v>
      </c>
      <c r="F271" s="80" t="s">
        <v>2661</v>
      </c>
      <c r="G271" s="80" t="s">
        <v>2696</v>
      </c>
      <c r="H271" s="79">
        <v>3</v>
      </c>
      <c r="I271" s="79">
        <v>1435.01</v>
      </c>
      <c r="J271" s="79">
        <v>4305.03</v>
      </c>
    </row>
    <row r="272" spans="1:10" ht="15" thickBot="1">
      <c r="A272" s="98">
        <v>45116</v>
      </c>
      <c r="B272" s="80" t="s">
        <v>2681</v>
      </c>
      <c r="C272" s="80" t="s">
        <v>2396</v>
      </c>
      <c r="D272" s="80" t="s">
        <v>2648</v>
      </c>
      <c r="E272" s="80" t="s">
        <v>2641</v>
      </c>
      <c r="F272" s="80" t="s">
        <v>2374</v>
      </c>
      <c r="G272" s="80" t="s">
        <v>2700</v>
      </c>
      <c r="H272" s="79">
        <v>16</v>
      </c>
      <c r="I272" s="79">
        <v>1473.98</v>
      </c>
      <c r="J272" s="79">
        <v>23583.68</v>
      </c>
    </row>
    <row r="273" spans="1:10" ht="15" thickBot="1">
      <c r="A273" s="98">
        <v>45057</v>
      </c>
      <c r="B273" s="80" t="s">
        <v>2686</v>
      </c>
      <c r="C273" s="80" t="s">
        <v>2652</v>
      </c>
      <c r="D273" s="80" t="s">
        <v>2647</v>
      </c>
      <c r="E273" s="80" t="s">
        <v>2643</v>
      </c>
      <c r="F273" s="80" t="s">
        <v>2373</v>
      </c>
      <c r="G273" s="80" t="s">
        <v>2697</v>
      </c>
      <c r="H273" s="79">
        <v>6</v>
      </c>
      <c r="I273" s="79">
        <v>1822.86</v>
      </c>
      <c r="J273" s="79">
        <v>10937.16</v>
      </c>
    </row>
    <row r="274" spans="1:10" ht="15" thickBot="1">
      <c r="A274" s="98">
        <v>45079</v>
      </c>
      <c r="B274" s="80" t="s">
        <v>2686</v>
      </c>
      <c r="C274" s="80" t="s">
        <v>2651</v>
      </c>
      <c r="D274" s="80" t="s">
        <v>2646</v>
      </c>
      <c r="E274" s="80" t="s">
        <v>2642</v>
      </c>
      <c r="F274" s="80" t="s">
        <v>2372</v>
      </c>
      <c r="G274" s="80" t="s">
        <v>2693</v>
      </c>
      <c r="H274" s="79">
        <v>13</v>
      </c>
      <c r="I274" s="79">
        <v>739.6</v>
      </c>
      <c r="J274" s="79">
        <v>9614.7999999999993</v>
      </c>
    </row>
    <row r="275" spans="1:10" ht="15" thickBot="1">
      <c r="A275" s="98">
        <v>45172</v>
      </c>
      <c r="B275" s="80" t="s">
        <v>2683</v>
      </c>
      <c r="C275" s="80" t="s">
        <v>2656</v>
      </c>
      <c r="D275" s="80" t="s">
        <v>2648</v>
      </c>
      <c r="E275" s="80" t="s">
        <v>2641</v>
      </c>
      <c r="F275" s="80" t="s">
        <v>2661</v>
      </c>
      <c r="G275" s="80" t="s">
        <v>2698</v>
      </c>
      <c r="H275" s="79">
        <v>11</v>
      </c>
      <c r="I275" s="79">
        <v>4209.66</v>
      </c>
      <c r="J275" s="79">
        <v>46306.26</v>
      </c>
    </row>
    <row r="276" spans="1:10" ht="15" thickBot="1">
      <c r="A276" s="98">
        <v>44929</v>
      </c>
      <c r="B276" s="80" t="s">
        <v>2679</v>
      </c>
      <c r="C276" s="80" t="s">
        <v>2655</v>
      </c>
      <c r="D276" s="80" t="s">
        <v>2645</v>
      </c>
      <c r="E276" s="80" t="s">
        <v>2642</v>
      </c>
      <c r="F276" s="80" t="s">
        <v>2370</v>
      </c>
      <c r="G276" s="80" t="s">
        <v>1336</v>
      </c>
      <c r="H276" s="79">
        <v>8</v>
      </c>
      <c r="I276" s="79">
        <v>4105.17</v>
      </c>
      <c r="J276" s="79">
        <v>32841.360000000001</v>
      </c>
    </row>
    <row r="277" spans="1:10" ht="15" thickBot="1">
      <c r="A277" s="98" t="s">
        <v>2621</v>
      </c>
      <c r="B277" s="80" t="s">
        <v>2683</v>
      </c>
      <c r="C277" s="80" t="s">
        <v>2660</v>
      </c>
      <c r="D277" s="80" t="s">
        <v>2647</v>
      </c>
      <c r="E277" s="80" t="s">
        <v>2643</v>
      </c>
      <c r="F277" s="80" t="s">
        <v>2373</v>
      </c>
      <c r="G277" s="80" t="s">
        <v>2688</v>
      </c>
      <c r="H277" s="79">
        <v>2</v>
      </c>
      <c r="I277" s="79">
        <v>4100.3999999999996</v>
      </c>
      <c r="J277" s="79">
        <v>8200.7999999999993</v>
      </c>
    </row>
    <row r="278" spans="1:10" ht="15" thickBot="1">
      <c r="A278" s="98" t="s">
        <v>2670</v>
      </c>
      <c r="B278" s="80" t="s">
        <v>2679</v>
      </c>
      <c r="C278" s="80" t="s">
        <v>2654</v>
      </c>
      <c r="D278" s="80" t="s">
        <v>2646</v>
      </c>
      <c r="E278" s="80" t="s">
        <v>2642</v>
      </c>
      <c r="F278" s="80" t="s">
        <v>2661</v>
      </c>
      <c r="G278" s="80" t="s">
        <v>2691</v>
      </c>
      <c r="H278" s="79">
        <v>20</v>
      </c>
      <c r="I278" s="79">
        <v>2295.08</v>
      </c>
      <c r="J278" s="79">
        <v>45901.599999999999</v>
      </c>
    </row>
    <row r="279" spans="1:10" ht="15" thickBot="1">
      <c r="A279" s="98">
        <v>45241</v>
      </c>
      <c r="B279" s="80" t="s">
        <v>2686</v>
      </c>
      <c r="C279" s="80" t="s">
        <v>2392</v>
      </c>
      <c r="D279" s="80" t="s">
        <v>2644</v>
      </c>
      <c r="E279" s="80" t="s">
        <v>2641</v>
      </c>
      <c r="F279" s="80" t="s">
        <v>2661</v>
      </c>
      <c r="G279" s="80" t="s">
        <v>2695</v>
      </c>
      <c r="H279" s="79">
        <v>20</v>
      </c>
      <c r="I279" s="79">
        <v>4970.33</v>
      </c>
      <c r="J279" s="79">
        <v>99406.6</v>
      </c>
    </row>
    <row r="280" spans="1:10" ht="15" thickBot="1">
      <c r="A280" s="98">
        <v>45272</v>
      </c>
      <c r="B280" s="80" t="s">
        <v>2683</v>
      </c>
      <c r="C280" s="80" t="s">
        <v>2657</v>
      </c>
      <c r="D280" s="80" t="s">
        <v>2648</v>
      </c>
      <c r="E280" s="80" t="s">
        <v>2641</v>
      </c>
      <c r="F280" s="80" t="s">
        <v>2373</v>
      </c>
      <c r="G280" s="80" t="s">
        <v>2697</v>
      </c>
      <c r="H280" s="79">
        <v>12</v>
      </c>
      <c r="I280" s="79">
        <v>3939.5</v>
      </c>
      <c r="J280" s="79">
        <v>47274</v>
      </c>
    </row>
    <row r="281" spans="1:10" ht="15" thickBot="1">
      <c r="A281" s="98" t="s">
        <v>2482</v>
      </c>
      <c r="B281" s="80" t="s">
        <v>2684</v>
      </c>
      <c r="C281" s="80" t="s">
        <v>2649</v>
      </c>
      <c r="D281" s="80" t="s">
        <v>2645</v>
      </c>
      <c r="E281" s="80" t="s">
        <v>2642</v>
      </c>
      <c r="F281" s="80" t="s">
        <v>2370</v>
      </c>
      <c r="G281" s="80" t="s">
        <v>2701</v>
      </c>
      <c r="H281" s="79">
        <v>15</v>
      </c>
      <c r="I281" s="79">
        <v>1450.75</v>
      </c>
      <c r="J281" s="79">
        <v>21761.25</v>
      </c>
    </row>
    <row r="282" spans="1:10" ht="15" thickBot="1">
      <c r="A282" s="98">
        <v>45057</v>
      </c>
      <c r="B282" s="80" t="s">
        <v>2684</v>
      </c>
      <c r="C282" s="80" t="s">
        <v>2651</v>
      </c>
      <c r="D282" s="80" t="s">
        <v>2646</v>
      </c>
      <c r="E282" s="80" t="s">
        <v>2642</v>
      </c>
      <c r="F282" s="80" t="s">
        <v>2373</v>
      </c>
      <c r="G282" s="80" t="s">
        <v>2688</v>
      </c>
      <c r="H282" s="79">
        <v>8</v>
      </c>
      <c r="I282" s="79">
        <v>3279.33</v>
      </c>
      <c r="J282" s="79">
        <v>26234.639999999999</v>
      </c>
    </row>
    <row r="283" spans="1:10" ht="15" thickBot="1">
      <c r="A283" s="98" t="s">
        <v>2489</v>
      </c>
      <c r="B283" s="80" t="s">
        <v>2686</v>
      </c>
      <c r="C283" s="80" t="s">
        <v>2393</v>
      </c>
      <c r="D283" s="80" t="s">
        <v>2644</v>
      </c>
      <c r="E283" s="80" t="s">
        <v>2641</v>
      </c>
      <c r="F283" s="80" t="s">
        <v>2372</v>
      </c>
      <c r="G283" s="80" t="s">
        <v>2694</v>
      </c>
      <c r="H283" s="79">
        <v>7</v>
      </c>
      <c r="I283" s="79">
        <v>579.91999999999996</v>
      </c>
      <c r="J283" s="79">
        <v>4059.44</v>
      </c>
    </row>
    <row r="284" spans="1:10" ht="15" thickBot="1">
      <c r="A284" s="98">
        <v>45048</v>
      </c>
      <c r="B284" s="80" t="s">
        <v>2684</v>
      </c>
      <c r="C284" s="80" t="s">
        <v>2651</v>
      </c>
      <c r="D284" s="80" t="s">
        <v>2646</v>
      </c>
      <c r="E284" s="80" t="s">
        <v>2642</v>
      </c>
      <c r="F284" s="80" t="s">
        <v>2370</v>
      </c>
      <c r="G284" s="80" t="s">
        <v>1335</v>
      </c>
      <c r="H284" s="79">
        <v>10</v>
      </c>
      <c r="I284" s="79">
        <v>2515.54</v>
      </c>
      <c r="J284" s="79">
        <v>25155.4</v>
      </c>
    </row>
    <row r="285" spans="1:10" ht="15" thickBot="1">
      <c r="A285" s="98" t="s">
        <v>2672</v>
      </c>
      <c r="B285" s="80" t="s">
        <v>2681</v>
      </c>
      <c r="C285" s="80" t="s">
        <v>2393</v>
      </c>
      <c r="D285" s="80" t="s">
        <v>2644</v>
      </c>
      <c r="E285" s="80" t="s">
        <v>2641</v>
      </c>
      <c r="F285" s="80" t="s">
        <v>2661</v>
      </c>
      <c r="G285" s="80" t="s">
        <v>2695</v>
      </c>
      <c r="H285" s="79">
        <v>10</v>
      </c>
      <c r="I285" s="79">
        <v>2976.69</v>
      </c>
      <c r="J285" s="79">
        <v>29766.9</v>
      </c>
    </row>
    <row r="286" spans="1:10" ht="15" thickBot="1">
      <c r="A286" s="98" t="s">
        <v>2580</v>
      </c>
      <c r="B286" s="80" t="s">
        <v>2681</v>
      </c>
      <c r="C286" s="80" t="s">
        <v>2654</v>
      </c>
      <c r="D286" s="80" t="s">
        <v>2646</v>
      </c>
      <c r="E286" s="80" t="s">
        <v>2642</v>
      </c>
      <c r="F286" s="80" t="s">
        <v>2661</v>
      </c>
      <c r="G286" s="80" t="s">
        <v>2698</v>
      </c>
      <c r="H286" s="79">
        <v>16</v>
      </c>
      <c r="I286" s="79">
        <v>4047.21</v>
      </c>
      <c r="J286" s="79">
        <v>64755.360000000001</v>
      </c>
    </row>
    <row r="287" spans="1:10" ht="15" thickBot="1">
      <c r="A287" s="98">
        <v>45203</v>
      </c>
      <c r="B287" s="80" t="s">
        <v>2682</v>
      </c>
      <c r="C287" s="80" t="s">
        <v>2396</v>
      </c>
      <c r="D287" s="80" t="s">
        <v>2648</v>
      </c>
      <c r="E287" s="80" t="s">
        <v>2641</v>
      </c>
      <c r="F287" s="80" t="s">
        <v>2661</v>
      </c>
      <c r="G287" s="80" t="s">
        <v>2696</v>
      </c>
      <c r="H287" s="79">
        <v>18</v>
      </c>
      <c r="I287" s="79">
        <v>2825.07</v>
      </c>
      <c r="J287" s="79">
        <v>50851.26</v>
      </c>
    </row>
    <row r="288" spans="1:10" ht="15" thickBot="1">
      <c r="A288" s="98" t="s">
        <v>2629</v>
      </c>
      <c r="B288" s="80" t="s">
        <v>2683</v>
      </c>
      <c r="C288" s="80" t="s">
        <v>2650</v>
      </c>
      <c r="D288" s="80" t="s">
        <v>2646</v>
      </c>
      <c r="E288" s="80" t="s">
        <v>2642</v>
      </c>
      <c r="F288" s="80" t="s">
        <v>2372</v>
      </c>
      <c r="G288" s="80" t="s">
        <v>2699</v>
      </c>
      <c r="H288" s="79">
        <v>13</v>
      </c>
      <c r="I288" s="79">
        <v>1406.82</v>
      </c>
      <c r="J288" s="79">
        <v>18288.66</v>
      </c>
    </row>
    <row r="289" spans="1:10" ht="15" thickBot="1">
      <c r="A289" s="98" t="s">
        <v>2591</v>
      </c>
      <c r="B289" s="80" t="s">
        <v>2687</v>
      </c>
      <c r="C289" s="80" t="s">
        <v>2653</v>
      </c>
      <c r="D289" s="80" t="s">
        <v>2644</v>
      </c>
      <c r="E289" s="80" t="s">
        <v>2641</v>
      </c>
      <c r="F289" s="80" t="s">
        <v>2374</v>
      </c>
      <c r="G289" s="80" t="s">
        <v>2704</v>
      </c>
      <c r="H289" s="79">
        <v>16</v>
      </c>
      <c r="I289" s="79">
        <v>1090.18</v>
      </c>
      <c r="J289" s="79">
        <v>17442.88</v>
      </c>
    </row>
    <row r="290" spans="1:10" ht="15" thickBot="1">
      <c r="A290" s="98">
        <v>44987</v>
      </c>
      <c r="B290" s="80" t="s">
        <v>2685</v>
      </c>
      <c r="C290" s="80" t="s">
        <v>2652</v>
      </c>
      <c r="D290" s="80" t="s">
        <v>2647</v>
      </c>
      <c r="E290" s="80" t="s">
        <v>2643</v>
      </c>
      <c r="F290" s="80" t="s">
        <v>2370</v>
      </c>
      <c r="G290" s="80" t="s">
        <v>2701</v>
      </c>
      <c r="H290" s="79">
        <v>12</v>
      </c>
      <c r="I290" s="79">
        <v>3696.43</v>
      </c>
      <c r="J290" s="79">
        <v>44357.16</v>
      </c>
    </row>
    <row r="291" spans="1:10" ht="15" thickBot="1">
      <c r="A291" s="98">
        <v>45180</v>
      </c>
      <c r="B291" s="80" t="s">
        <v>2681</v>
      </c>
      <c r="C291" s="80" t="s">
        <v>2655</v>
      </c>
      <c r="D291" s="80" t="s">
        <v>2645</v>
      </c>
      <c r="E291" s="80" t="s">
        <v>2642</v>
      </c>
      <c r="F291" s="80" t="s">
        <v>2370</v>
      </c>
      <c r="G291" s="80" t="s">
        <v>2701</v>
      </c>
      <c r="H291" s="79">
        <v>7</v>
      </c>
      <c r="I291" s="79">
        <v>4535.1400000000003</v>
      </c>
      <c r="J291" s="79">
        <v>31745.98</v>
      </c>
    </row>
    <row r="292" spans="1:10" ht="15" thickBot="1">
      <c r="A292" s="98">
        <v>44968</v>
      </c>
      <c r="B292" s="80" t="s">
        <v>2682</v>
      </c>
      <c r="C292" s="80" t="s">
        <v>2654</v>
      </c>
      <c r="D292" s="80" t="s">
        <v>2646</v>
      </c>
      <c r="E292" s="80" t="s">
        <v>2642</v>
      </c>
      <c r="F292" s="80" t="s">
        <v>2661</v>
      </c>
      <c r="G292" s="80" t="s">
        <v>2698</v>
      </c>
      <c r="H292" s="79">
        <v>3</v>
      </c>
      <c r="I292" s="79">
        <v>4931.6899999999996</v>
      </c>
      <c r="J292" s="79">
        <v>14795.07</v>
      </c>
    </row>
    <row r="293" spans="1:10" ht="15" thickBot="1">
      <c r="A293" s="98" t="s">
        <v>2537</v>
      </c>
      <c r="B293" s="80" t="s">
        <v>2687</v>
      </c>
      <c r="C293" s="80" t="s">
        <v>2659</v>
      </c>
      <c r="D293" s="80" t="s">
        <v>2647</v>
      </c>
      <c r="E293" s="80" t="s">
        <v>2643</v>
      </c>
      <c r="F293" s="80" t="s">
        <v>2661</v>
      </c>
      <c r="G293" s="80" t="s">
        <v>2691</v>
      </c>
      <c r="H293" s="79">
        <v>16</v>
      </c>
      <c r="I293" s="79">
        <v>3263.65</v>
      </c>
      <c r="J293" s="79">
        <v>52218.400000000001</v>
      </c>
    </row>
    <row r="294" spans="1:10" ht="15" thickBot="1">
      <c r="A294" s="98" t="s">
        <v>2488</v>
      </c>
      <c r="B294" s="80" t="s">
        <v>2680</v>
      </c>
      <c r="C294" s="80" t="s">
        <v>2392</v>
      </c>
      <c r="D294" s="80" t="s">
        <v>2644</v>
      </c>
      <c r="E294" s="80" t="s">
        <v>2641</v>
      </c>
      <c r="F294" s="80" t="s">
        <v>2374</v>
      </c>
      <c r="G294" s="80" t="s">
        <v>2700</v>
      </c>
      <c r="H294" s="79">
        <v>17</v>
      </c>
      <c r="I294" s="79">
        <v>4083.07</v>
      </c>
      <c r="J294" s="79">
        <v>69412.19</v>
      </c>
    </row>
    <row r="295" spans="1:10" ht="15" thickBot="1">
      <c r="A295" s="98" t="s">
        <v>2536</v>
      </c>
      <c r="B295" s="80" t="s">
        <v>2684</v>
      </c>
      <c r="C295" s="80" t="s">
        <v>2393</v>
      </c>
      <c r="D295" s="80" t="s">
        <v>2644</v>
      </c>
      <c r="E295" s="80" t="s">
        <v>2641</v>
      </c>
      <c r="F295" s="80" t="s">
        <v>2374</v>
      </c>
      <c r="G295" s="80" t="s">
        <v>2689</v>
      </c>
      <c r="H295" s="79">
        <v>12</v>
      </c>
      <c r="I295" s="79">
        <v>528.69000000000005</v>
      </c>
      <c r="J295" s="79">
        <v>6344.28</v>
      </c>
    </row>
    <row r="296" spans="1:10" ht="15" thickBot="1">
      <c r="A296" s="98">
        <v>45024</v>
      </c>
      <c r="B296" s="80" t="s">
        <v>2686</v>
      </c>
      <c r="C296" s="80" t="s">
        <v>2651</v>
      </c>
      <c r="D296" s="80" t="s">
        <v>2646</v>
      </c>
      <c r="E296" s="80" t="s">
        <v>2642</v>
      </c>
      <c r="F296" s="80" t="s">
        <v>2370</v>
      </c>
      <c r="G296" s="80" t="s">
        <v>2702</v>
      </c>
      <c r="H296" s="79">
        <v>8</v>
      </c>
      <c r="I296" s="79">
        <v>528.92999999999995</v>
      </c>
      <c r="J296" s="79">
        <v>4231.4399999999996</v>
      </c>
    </row>
    <row r="297" spans="1:10" ht="15" thickBot="1">
      <c r="A297" s="98">
        <v>45268</v>
      </c>
      <c r="B297" s="80" t="s">
        <v>2678</v>
      </c>
      <c r="C297" s="80" t="s">
        <v>2392</v>
      </c>
      <c r="D297" s="80" t="s">
        <v>2644</v>
      </c>
      <c r="E297" s="80" t="s">
        <v>2641</v>
      </c>
      <c r="F297" s="80" t="s">
        <v>2661</v>
      </c>
      <c r="G297" s="80" t="s">
        <v>2691</v>
      </c>
      <c r="H297" s="79">
        <v>11</v>
      </c>
      <c r="I297" s="79">
        <v>1749.31</v>
      </c>
      <c r="J297" s="79">
        <v>19242.41</v>
      </c>
    </row>
    <row r="298" spans="1:10" ht="15" thickBot="1">
      <c r="A298" s="98">
        <v>44969</v>
      </c>
      <c r="B298" s="80" t="s">
        <v>2678</v>
      </c>
      <c r="C298" s="80" t="s">
        <v>2653</v>
      </c>
      <c r="D298" s="80" t="s">
        <v>2644</v>
      </c>
      <c r="E298" s="80" t="s">
        <v>2641</v>
      </c>
      <c r="F298" s="80" t="s">
        <v>2374</v>
      </c>
      <c r="G298" s="80" t="s">
        <v>2689</v>
      </c>
      <c r="H298" s="79">
        <v>11</v>
      </c>
      <c r="I298" s="79">
        <v>2635.95</v>
      </c>
      <c r="J298" s="79">
        <v>28995.45</v>
      </c>
    </row>
    <row r="299" spans="1:10" ht="15" thickBot="1">
      <c r="A299" s="98" t="s">
        <v>2509</v>
      </c>
      <c r="B299" s="80" t="s">
        <v>2683</v>
      </c>
      <c r="C299" s="80" t="s">
        <v>2653</v>
      </c>
      <c r="D299" s="80" t="s">
        <v>2644</v>
      </c>
      <c r="E299" s="80" t="s">
        <v>2641</v>
      </c>
      <c r="F299" s="80" t="s">
        <v>2661</v>
      </c>
      <c r="G299" s="80" t="s">
        <v>2691</v>
      </c>
      <c r="H299" s="79">
        <v>6</v>
      </c>
      <c r="I299" s="79">
        <v>2850.31</v>
      </c>
      <c r="J299" s="79">
        <v>17101.86</v>
      </c>
    </row>
    <row r="300" spans="1:10" ht="15" thickBot="1">
      <c r="A300" s="98" t="s">
        <v>2493</v>
      </c>
      <c r="B300" s="80" t="s">
        <v>2687</v>
      </c>
      <c r="C300" s="80" t="s">
        <v>2658</v>
      </c>
      <c r="D300" s="80" t="s">
        <v>2645</v>
      </c>
      <c r="E300" s="80" t="s">
        <v>2642</v>
      </c>
      <c r="F300" s="80" t="s">
        <v>2370</v>
      </c>
      <c r="G300" s="80" t="s">
        <v>1336</v>
      </c>
      <c r="H300" s="79">
        <v>5</v>
      </c>
      <c r="I300" s="79">
        <v>1413.03</v>
      </c>
      <c r="J300" s="79">
        <v>7065.15</v>
      </c>
    </row>
    <row r="301" spans="1:10" ht="15" thickBot="1">
      <c r="A301" s="98" t="s">
        <v>2581</v>
      </c>
      <c r="B301" s="80" t="s">
        <v>2682</v>
      </c>
      <c r="C301" s="80" t="s">
        <v>2393</v>
      </c>
      <c r="D301" s="80" t="s">
        <v>2644</v>
      </c>
      <c r="E301" s="80" t="s">
        <v>2641</v>
      </c>
      <c r="F301" s="80" t="s">
        <v>2370</v>
      </c>
      <c r="G301" s="80" t="s">
        <v>2701</v>
      </c>
      <c r="H301" s="79">
        <v>14</v>
      </c>
      <c r="I301" s="79">
        <v>4541.87</v>
      </c>
      <c r="J301" s="79">
        <v>63586.18</v>
      </c>
    </row>
    <row r="302" spans="1:10" ht="15" thickBot="1">
      <c r="A302" s="98" t="s">
        <v>2575</v>
      </c>
      <c r="B302" s="80" t="s">
        <v>2682</v>
      </c>
      <c r="C302" s="80" t="s">
        <v>2660</v>
      </c>
      <c r="D302" s="80" t="s">
        <v>2647</v>
      </c>
      <c r="E302" s="80" t="s">
        <v>2643</v>
      </c>
      <c r="F302" s="80" t="s">
        <v>2372</v>
      </c>
      <c r="G302" s="80" t="s">
        <v>2694</v>
      </c>
      <c r="H302" s="79">
        <v>5</v>
      </c>
      <c r="I302" s="79">
        <v>3395.71</v>
      </c>
      <c r="J302" s="79">
        <v>16978.55</v>
      </c>
    </row>
    <row r="303" spans="1:10" ht="15" thickBot="1">
      <c r="A303" s="98">
        <v>45118</v>
      </c>
      <c r="B303" s="80" t="s">
        <v>2681</v>
      </c>
      <c r="C303" s="80" t="s">
        <v>2656</v>
      </c>
      <c r="D303" s="80" t="s">
        <v>2648</v>
      </c>
      <c r="E303" s="80" t="s">
        <v>2641</v>
      </c>
      <c r="F303" s="80" t="s">
        <v>2374</v>
      </c>
      <c r="G303" s="80" t="s">
        <v>2700</v>
      </c>
      <c r="H303" s="79">
        <v>2</v>
      </c>
      <c r="I303" s="79">
        <v>4050.46</v>
      </c>
      <c r="J303" s="79">
        <v>8100.92</v>
      </c>
    </row>
    <row r="304" spans="1:10" ht="15" thickBot="1">
      <c r="A304" s="98">
        <v>44993</v>
      </c>
      <c r="B304" s="80" t="s">
        <v>2685</v>
      </c>
      <c r="C304" s="80" t="s">
        <v>2657</v>
      </c>
      <c r="D304" s="80" t="s">
        <v>2648</v>
      </c>
      <c r="E304" s="80" t="s">
        <v>2641</v>
      </c>
      <c r="F304" s="80" t="s">
        <v>2372</v>
      </c>
      <c r="G304" s="80" t="s">
        <v>2690</v>
      </c>
      <c r="H304" s="79">
        <v>6</v>
      </c>
      <c r="I304" s="79">
        <v>3617.81</v>
      </c>
      <c r="J304" s="79">
        <v>21706.86</v>
      </c>
    </row>
    <row r="305" spans="1:10" ht="15" thickBot="1">
      <c r="A305" s="98" t="s">
        <v>2539</v>
      </c>
      <c r="B305" s="80" t="s">
        <v>2681</v>
      </c>
      <c r="C305" s="80" t="s">
        <v>2654</v>
      </c>
      <c r="D305" s="80" t="s">
        <v>2646</v>
      </c>
      <c r="E305" s="80" t="s">
        <v>2642</v>
      </c>
      <c r="F305" s="80" t="s">
        <v>2661</v>
      </c>
      <c r="G305" s="80" t="s">
        <v>2695</v>
      </c>
      <c r="H305" s="79">
        <v>11</v>
      </c>
      <c r="I305" s="79">
        <v>1527.71</v>
      </c>
      <c r="J305" s="79">
        <v>16804.810000000001</v>
      </c>
    </row>
    <row r="306" spans="1:10" ht="15" thickBot="1">
      <c r="A306" s="98">
        <v>45079</v>
      </c>
      <c r="B306" s="80" t="s">
        <v>2685</v>
      </c>
      <c r="C306" s="80" t="s">
        <v>2652</v>
      </c>
      <c r="D306" s="80" t="s">
        <v>2647</v>
      </c>
      <c r="E306" s="80" t="s">
        <v>2643</v>
      </c>
      <c r="F306" s="80" t="s">
        <v>2370</v>
      </c>
      <c r="G306" s="80" t="s">
        <v>2702</v>
      </c>
      <c r="H306" s="79">
        <v>7</v>
      </c>
      <c r="I306" s="79">
        <v>1420.32</v>
      </c>
      <c r="J306" s="79">
        <v>9942.24</v>
      </c>
    </row>
    <row r="307" spans="1:10" ht="15" thickBot="1">
      <c r="A307" s="98" t="s">
        <v>2497</v>
      </c>
      <c r="B307" s="80" t="s">
        <v>2682</v>
      </c>
      <c r="C307" s="80" t="s">
        <v>2651</v>
      </c>
      <c r="D307" s="80" t="s">
        <v>2646</v>
      </c>
      <c r="E307" s="80" t="s">
        <v>2642</v>
      </c>
      <c r="F307" s="80" t="s">
        <v>2370</v>
      </c>
      <c r="G307" s="80" t="s">
        <v>1335</v>
      </c>
      <c r="H307" s="79">
        <v>17</v>
      </c>
      <c r="I307" s="79">
        <v>1336.86</v>
      </c>
      <c r="J307" s="79">
        <v>22726.62</v>
      </c>
    </row>
    <row r="308" spans="1:10" ht="15" thickBot="1">
      <c r="A308" s="98">
        <v>45200</v>
      </c>
      <c r="B308" s="80" t="s">
        <v>2678</v>
      </c>
      <c r="C308" s="80" t="s">
        <v>2657</v>
      </c>
      <c r="D308" s="80" t="s">
        <v>2648</v>
      </c>
      <c r="E308" s="80" t="s">
        <v>2641</v>
      </c>
      <c r="F308" s="80" t="s">
        <v>2372</v>
      </c>
      <c r="G308" s="80" t="s">
        <v>2690</v>
      </c>
      <c r="H308" s="79">
        <v>15</v>
      </c>
      <c r="I308" s="79">
        <v>359.4</v>
      </c>
      <c r="J308" s="79">
        <v>5391</v>
      </c>
    </row>
    <row r="309" spans="1:10" ht="15" thickBot="1">
      <c r="A309" s="98" t="s">
        <v>2587</v>
      </c>
      <c r="B309" s="80" t="s">
        <v>2686</v>
      </c>
      <c r="C309" s="80" t="s">
        <v>2652</v>
      </c>
      <c r="D309" s="80" t="s">
        <v>2647</v>
      </c>
      <c r="E309" s="80" t="s">
        <v>2643</v>
      </c>
      <c r="F309" s="80" t="s">
        <v>2373</v>
      </c>
      <c r="G309" s="80" t="s">
        <v>2705</v>
      </c>
      <c r="H309" s="79">
        <v>6</v>
      </c>
      <c r="I309" s="79">
        <v>4109.0200000000004</v>
      </c>
      <c r="J309" s="79">
        <v>24654.12</v>
      </c>
    </row>
    <row r="310" spans="1:10" ht="15" thickBot="1">
      <c r="A310" s="98">
        <v>45140</v>
      </c>
      <c r="B310" s="80" t="s">
        <v>2680</v>
      </c>
      <c r="C310" s="80" t="s">
        <v>2658</v>
      </c>
      <c r="D310" s="80" t="s">
        <v>2645</v>
      </c>
      <c r="E310" s="80" t="s">
        <v>2642</v>
      </c>
      <c r="F310" s="80" t="s">
        <v>2373</v>
      </c>
      <c r="G310" s="80" t="s">
        <v>2688</v>
      </c>
      <c r="H310" s="79">
        <v>12</v>
      </c>
      <c r="I310" s="79">
        <v>3700.23</v>
      </c>
      <c r="J310" s="79">
        <v>44402.76</v>
      </c>
    </row>
    <row r="311" spans="1:10" ht="15" thickBot="1">
      <c r="A311" s="98" t="s">
        <v>2543</v>
      </c>
      <c r="B311" s="80" t="s">
        <v>2681</v>
      </c>
      <c r="C311" s="80" t="s">
        <v>2651</v>
      </c>
      <c r="D311" s="80" t="s">
        <v>2646</v>
      </c>
      <c r="E311" s="80" t="s">
        <v>2642</v>
      </c>
      <c r="F311" s="80" t="s">
        <v>2373</v>
      </c>
      <c r="G311" s="80" t="s">
        <v>2705</v>
      </c>
      <c r="H311" s="79">
        <v>5</v>
      </c>
      <c r="I311" s="79">
        <v>221.41</v>
      </c>
      <c r="J311" s="79">
        <v>1107.05</v>
      </c>
    </row>
    <row r="312" spans="1:10" ht="15" thickBot="1">
      <c r="A312" s="98" t="s">
        <v>2632</v>
      </c>
      <c r="B312" s="80" t="s">
        <v>2686</v>
      </c>
      <c r="C312" s="80" t="s">
        <v>2655</v>
      </c>
      <c r="D312" s="80" t="s">
        <v>2645</v>
      </c>
      <c r="E312" s="80" t="s">
        <v>2642</v>
      </c>
      <c r="F312" s="80" t="s">
        <v>2372</v>
      </c>
      <c r="G312" s="80" t="s">
        <v>2690</v>
      </c>
      <c r="H312" s="79">
        <v>12</v>
      </c>
      <c r="I312" s="79">
        <v>4446.1499999999996</v>
      </c>
      <c r="J312" s="79">
        <v>53353.8</v>
      </c>
    </row>
    <row r="313" spans="1:10" ht="15" thickBot="1">
      <c r="A313" s="98">
        <v>45145</v>
      </c>
      <c r="B313" s="80" t="s">
        <v>2682</v>
      </c>
      <c r="C313" s="80" t="s">
        <v>2655</v>
      </c>
      <c r="D313" s="80" t="s">
        <v>2645</v>
      </c>
      <c r="E313" s="80" t="s">
        <v>2642</v>
      </c>
      <c r="F313" s="80" t="s">
        <v>2661</v>
      </c>
      <c r="G313" s="80" t="s">
        <v>2691</v>
      </c>
      <c r="H313" s="79">
        <v>12</v>
      </c>
      <c r="I313" s="79">
        <v>2393.9699999999998</v>
      </c>
      <c r="J313" s="79">
        <v>28727.64</v>
      </c>
    </row>
    <row r="314" spans="1:10" ht="15" thickBot="1">
      <c r="A314" s="98">
        <v>45266</v>
      </c>
      <c r="B314" s="80" t="s">
        <v>2683</v>
      </c>
      <c r="C314" s="80" t="s">
        <v>2660</v>
      </c>
      <c r="D314" s="80" t="s">
        <v>2647</v>
      </c>
      <c r="E314" s="80" t="s">
        <v>2643</v>
      </c>
      <c r="F314" s="80" t="s">
        <v>2661</v>
      </c>
      <c r="G314" s="80" t="s">
        <v>2696</v>
      </c>
      <c r="H314" s="79">
        <v>7</v>
      </c>
      <c r="I314" s="79">
        <v>256.57</v>
      </c>
      <c r="J314" s="79">
        <v>1795.99</v>
      </c>
    </row>
    <row r="315" spans="1:10" ht="15" thickBot="1">
      <c r="A315" s="98" t="s">
        <v>2564</v>
      </c>
      <c r="B315" s="80" t="s">
        <v>2686</v>
      </c>
      <c r="C315" s="80" t="s">
        <v>2650</v>
      </c>
      <c r="D315" s="80" t="s">
        <v>2646</v>
      </c>
      <c r="E315" s="80" t="s">
        <v>2642</v>
      </c>
      <c r="F315" s="80" t="s">
        <v>2372</v>
      </c>
      <c r="G315" s="80" t="s">
        <v>2699</v>
      </c>
      <c r="H315" s="79">
        <v>9</v>
      </c>
      <c r="I315" s="79">
        <v>4218.3599999999997</v>
      </c>
      <c r="J315" s="79">
        <v>37965.24</v>
      </c>
    </row>
    <row r="316" spans="1:10" ht="15" thickBot="1">
      <c r="A316" s="98" t="s">
        <v>2555</v>
      </c>
      <c r="B316" s="80" t="s">
        <v>2682</v>
      </c>
      <c r="C316" s="80" t="s">
        <v>2660</v>
      </c>
      <c r="D316" s="80" t="s">
        <v>2647</v>
      </c>
      <c r="E316" s="80" t="s">
        <v>2643</v>
      </c>
      <c r="F316" s="80" t="s">
        <v>2372</v>
      </c>
      <c r="G316" s="80" t="s">
        <v>2693</v>
      </c>
      <c r="H316" s="79">
        <v>8</v>
      </c>
      <c r="I316" s="79">
        <v>4930.67</v>
      </c>
      <c r="J316" s="79">
        <v>39445.360000000001</v>
      </c>
    </row>
    <row r="317" spans="1:10" ht="15" thickBot="1">
      <c r="A317" s="98" t="s">
        <v>2513</v>
      </c>
      <c r="B317" s="80" t="s">
        <v>2679</v>
      </c>
      <c r="C317" s="80" t="s">
        <v>2651</v>
      </c>
      <c r="D317" s="80" t="s">
        <v>2646</v>
      </c>
      <c r="E317" s="80" t="s">
        <v>2642</v>
      </c>
      <c r="F317" s="80" t="s">
        <v>2372</v>
      </c>
      <c r="G317" s="80" t="s">
        <v>2693</v>
      </c>
      <c r="H317" s="79">
        <v>2</v>
      </c>
      <c r="I317" s="79">
        <v>1264.68</v>
      </c>
      <c r="J317" s="79">
        <v>2529.36</v>
      </c>
    </row>
    <row r="318" spans="1:10" ht="15" thickBot="1">
      <c r="A318" s="98">
        <v>45113</v>
      </c>
      <c r="B318" s="80" t="s">
        <v>2678</v>
      </c>
      <c r="C318" s="80" t="s">
        <v>2393</v>
      </c>
      <c r="D318" s="80" t="s">
        <v>2644</v>
      </c>
      <c r="E318" s="80" t="s">
        <v>2641</v>
      </c>
      <c r="F318" s="80" t="s">
        <v>2374</v>
      </c>
      <c r="G318" s="80" t="s">
        <v>2692</v>
      </c>
      <c r="H318" s="79">
        <v>16</v>
      </c>
      <c r="I318" s="79">
        <v>2192.7399999999998</v>
      </c>
      <c r="J318" s="79">
        <v>35083.839999999997</v>
      </c>
    </row>
    <row r="319" spans="1:10" ht="15" thickBot="1">
      <c r="A319" s="98" t="s">
        <v>2506</v>
      </c>
      <c r="B319" s="80" t="s">
        <v>2679</v>
      </c>
      <c r="C319" s="80" t="s">
        <v>2393</v>
      </c>
      <c r="D319" s="80" t="s">
        <v>2644</v>
      </c>
      <c r="E319" s="80" t="s">
        <v>2641</v>
      </c>
      <c r="F319" s="80" t="s">
        <v>2661</v>
      </c>
      <c r="G319" s="80" t="s">
        <v>2695</v>
      </c>
      <c r="H319" s="79">
        <v>14</v>
      </c>
      <c r="I319" s="79">
        <v>3943.42</v>
      </c>
      <c r="J319" s="79">
        <v>55207.88</v>
      </c>
    </row>
    <row r="320" spans="1:10" ht="15" thickBot="1">
      <c r="A320" s="98">
        <v>44994</v>
      </c>
      <c r="B320" s="80" t="s">
        <v>2685</v>
      </c>
      <c r="C320" s="80" t="s">
        <v>2396</v>
      </c>
      <c r="D320" s="80" t="s">
        <v>2648</v>
      </c>
      <c r="E320" s="80" t="s">
        <v>2641</v>
      </c>
      <c r="F320" s="80" t="s">
        <v>2661</v>
      </c>
      <c r="G320" s="80" t="s">
        <v>2698</v>
      </c>
      <c r="H320" s="79">
        <v>11</v>
      </c>
      <c r="I320" s="79">
        <v>2951.18</v>
      </c>
      <c r="J320" s="79">
        <v>32462.98</v>
      </c>
    </row>
    <row r="321" spans="1:10" ht="15" thickBot="1">
      <c r="A321" s="98" t="s">
        <v>2674</v>
      </c>
      <c r="B321" s="80" t="s">
        <v>2684</v>
      </c>
      <c r="C321" s="80" t="s">
        <v>2651</v>
      </c>
      <c r="D321" s="80" t="s">
        <v>2646</v>
      </c>
      <c r="E321" s="80" t="s">
        <v>2642</v>
      </c>
      <c r="F321" s="80" t="s">
        <v>2661</v>
      </c>
      <c r="G321" s="80" t="s">
        <v>2696</v>
      </c>
      <c r="H321" s="79">
        <v>11</v>
      </c>
      <c r="I321" s="79">
        <v>4325.83</v>
      </c>
      <c r="J321" s="79">
        <v>47584.13</v>
      </c>
    </row>
    <row r="322" spans="1:10" ht="15" thickBot="1">
      <c r="A322" s="98" t="s">
        <v>2505</v>
      </c>
      <c r="B322" s="80" t="s">
        <v>2684</v>
      </c>
      <c r="C322" s="80" t="s">
        <v>2396</v>
      </c>
      <c r="D322" s="80" t="s">
        <v>2648</v>
      </c>
      <c r="E322" s="80" t="s">
        <v>2641</v>
      </c>
      <c r="F322" s="80" t="s">
        <v>2370</v>
      </c>
      <c r="G322" s="80" t="s">
        <v>2702</v>
      </c>
      <c r="H322" s="79">
        <v>2</v>
      </c>
      <c r="I322" s="79">
        <v>1417.87</v>
      </c>
      <c r="J322" s="79">
        <v>2835.74</v>
      </c>
    </row>
    <row r="323" spans="1:10" ht="15" thickBot="1">
      <c r="A323" s="98" t="s">
        <v>2453</v>
      </c>
      <c r="B323" s="80" t="s">
        <v>2684</v>
      </c>
      <c r="C323" s="80" t="s">
        <v>2392</v>
      </c>
      <c r="D323" s="80" t="s">
        <v>2644</v>
      </c>
      <c r="E323" s="80" t="s">
        <v>2641</v>
      </c>
      <c r="F323" s="80" t="s">
        <v>2374</v>
      </c>
      <c r="G323" s="80" t="s">
        <v>2689</v>
      </c>
      <c r="H323" s="79">
        <v>13</v>
      </c>
      <c r="I323" s="79">
        <v>2511.64</v>
      </c>
      <c r="J323" s="79">
        <v>32651.32</v>
      </c>
    </row>
    <row r="324" spans="1:10" ht="15" thickBot="1">
      <c r="A324" s="98">
        <v>44931</v>
      </c>
      <c r="B324" s="80" t="s">
        <v>2685</v>
      </c>
      <c r="C324" s="80" t="s">
        <v>2392</v>
      </c>
      <c r="D324" s="80" t="s">
        <v>2644</v>
      </c>
      <c r="E324" s="80" t="s">
        <v>2641</v>
      </c>
      <c r="F324" s="80" t="s">
        <v>2373</v>
      </c>
      <c r="G324" s="80" t="s">
        <v>2688</v>
      </c>
      <c r="H324" s="79">
        <v>7</v>
      </c>
      <c r="I324" s="79">
        <v>862.76</v>
      </c>
      <c r="J324" s="79">
        <v>6039.32</v>
      </c>
    </row>
    <row r="325" spans="1:10" ht="15" thickBot="1">
      <c r="A325" s="98">
        <v>44936</v>
      </c>
      <c r="B325" s="80" t="s">
        <v>2679</v>
      </c>
      <c r="C325" s="80" t="s">
        <v>2649</v>
      </c>
      <c r="D325" s="80" t="s">
        <v>2645</v>
      </c>
      <c r="E325" s="80" t="s">
        <v>2642</v>
      </c>
      <c r="F325" s="80" t="s">
        <v>2372</v>
      </c>
      <c r="G325" s="80" t="s">
        <v>2699</v>
      </c>
      <c r="H325" s="79">
        <v>18</v>
      </c>
      <c r="I325" s="79">
        <v>1412.15</v>
      </c>
      <c r="J325" s="79">
        <v>25418.7</v>
      </c>
    </row>
    <row r="326" spans="1:10" ht="15" thickBot="1">
      <c r="A326" s="98">
        <v>45261</v>
      </c>
      <c r="B326" s="80" t="s">
        <v>2685</v>
      </c>
      <c r="C326" s="80" t="s">
        <v>2657</v>
      </c>
      <c r="D326" s="80" t="s">
        <v>2648</v>
      </c>
      <c r="E326" s="80" t="s">
        <v>2641</v>
      </c>
      <c r="F326" s="80" t="s">
        <v>2374</v>
      </c>
      <c r="G326" s="80" t="s">
        <v>2689</v>
      </c>
      <c r="H326" s="79">
        <v>6</v>
      </c>
      <c r="I326" s="79">
        <v>3295.29</v>
      </c>
      <c r="J326" s="79">
        <v>19771.740000000002</v>
      </c>
    </row>
    <row r="327" spans="1:10" ht="15" thickBot="1">
      <c r="A327" s="98" t="s">
        <v>2592</v>
      </c>
      <c r="B327" s="80" t="s">
        <v>2687</v>
      </c>
      <c r="C327" s="80" t="s">
        <v>2654</v>
      </c>
      <c r="D327" s="80" t="s">
        <v>2646</v>
      </c>
      <c r="E327" s="80" t="s">
        <v>2642</v>
      </c>
      <c r="F327" s="80" t="s">
        <v>2374</v>
      </c>
      <c r="G327" s="80" t="s">
        <v>2700</v>
      </c>
      <c r="H327" s="79">
        <v>18</v>
      </c>
      <c r="I327" s="79">
        <v>4132.6899999999996</v>
      </c>
      <c r="J327" s="79">
        <v>74388.42</v>
      </c>
    </row>
    <row r="328" spans="1:10" ht="15" thickBot="1">
      <c r="A328" s="98">
        <v>45179</v>
      </c>
      <c r="B328" s="80" t="s">
        <v>2680</v>
      </c>
      <c r="C328" s="80" t="s">
        <v>2651</v>
      </c>
      <c r="D328" s="80" t="s">
        <v>2646</v>
      </c>
      <c r="E328" s="80" t="s">
        <v>2642</v>
      </c>
      <c r="F328" s="80" t="s">
        <v>2370</v>
      </c>
      <c r="G328" s="80" t="s">
        <v>2701</v>
      </c>
      <c r="H328" s="79">
        <v>7</v>
      </c>
      <c r="I328" s="79">
        <v>1557.83</v>
      </c>
      <c r="J328" s="79">
        <v>10904.81</v>
      </c>
    </row>
    <row r="329" spans="1:10" ht="15" thickBot="1">
      <c r="A329" s="98" t="s">
        <v>2619</v>
      </c>
      <c r="B329" s="80" t="s">
        <v>2686</v>
      </c>
      <c r="C329" s="80" t="s">
        <v>2660</v>
      </c>
      <c r="D329" s="80" t="s">
        <v>2647</v>
      </c>
      <c r="E329" s="80" t="s">
        <v>2643</v>
      </c>
      <c r="F329" s="80" t="s">
        <v>2374</v>
      </c>
      <c r="G329" s="80" t="s">
        <v>2692</v>
      </c>
      <c r="H329" s="79">
        <v>7</v>
      </c>
      <c r="I329" s="79">
        <v>4673.3100000000004</v>
      </c>
      <c r="J329" s="79">
        <v>32713.17</v>
      </c>
    </row>
    <row r="330" spans="1:10" ht="15" thickBot="1">
      <c r="A330" s="98" t="s">
        <v>2469</v>
      </c>
      <c r="B330" s="80" t="s">
        <v>2680</v>
      </c>
      <c r="C330" s="80" t="s">
        <v>2392</v>
      </c>
      <c r="D330" s="80" t="s">
        <v>2644</v>
      </c>
      <c r="E330" s="80" t="s">
        <v>2641</v>
      </c>
      <c r="F330" s="80" t="s">
        <v>2661</v>
      </c>
      <c r="G330" s="80" t="s">
        <v>2698</v>
      </c>
      <c r="H330" s="79">
        <v>5</v>
      </c>
      <c r="I330" s="79">
        <v>3775.72</v>
      </c>
      <c r="J330" s="79">
        <v>18878.599999999999</v>
      </c>
    </row>
    <row r="331" spans="1:10" ht="15" thickBot="1">
      <c r="A331" s="98" t="s">
        <v>2550</v>
      </c>
      <c r="B331" s="80" t="s">
        <v>2685</v>
      </c>
      <c r="C331" s="80" t="s">
        <v>2392</v>
      </c>
      <c r="D331" s="80" t="s">
        <v>2644</v>
      </c>
      <c r="E331" s="80" t="s">
        <v>2641</v>
      </c>
      <c r="F331" s="80" t="s">
        <v>2373</v>
      </c>
      <c r="G331" s="80" t="s">
        <v>2697</v>
      </c>
      <c r="H331" s="79">
        <v>6</v>
      </c>
      <c r="I331" s="79">
        <v>3524.48</v>
      </c>
      <c r="J331" s="79">
        <v>21146.880000000001</v>
      </c>
    </row>
    <row r="332" spans="1:10" ht="15" thickBot="1">
      <c r="A332" s="98" t="s">
        <v>2529</v>
      </c>
      <c r="B332" s="80" t="s">
        <v>2681</v>
      </c>
      <c r="C332" s="80" t="s">
        <v>2396</v>
      </c>
      <c r="D332" s="80" t="s">
        <v>2648</v>
      </c>
      <c r="E332" s="80" t="s">
        <v>2641</v>
      </c>
      <c r="F332" s="80" t="s">
        <v>2370</v>
      </c>
      <c r="G332" s="80" t="s">
        <v>1336</v>
      </c>
      <c r="H332" s="79">
        <v>1</v>
      </c>
      <c r="I332" s="79">
        <v>2961.1</v>
      </c>
      <c r="J332" s="79">
        <v>2961.1</v>
      </c>
    </row>
    <row r="333" spans="1:10" ht="15" thickBot="1">
      <c r="A333" s="98">
        <v>44930</v>
      </c>
      <c r="B333" s="80" t="s">
        <v>2680</v>
      </c>
      <c r="C333" s="80" t="s">
        <v>2658</v>
      </c>
      <c r="D333" s="80" t="s">
        <v>2645</v>
      </c>
      <c r="E333" s="80" t="s">
        <v>2642</v>
      </c>
      <c r="F333" s="80" t="s">
        <v>2374</v>
      </c>
      <c r="G333" s="80" t="s">
        <v>2704</v>
      </c>
      <c r="H333" s="79">
        <v>13</v>
      </c>
      <c r="I333" s="79">
        <v>513.05999999999995</v>
      </c>
      <c r="J333" s="79">
        <v>6669.78</v>
      </c>
    </row>
    <row r="334" spans="1:10" ht="15" thickBot="1">
      <c r="A334" s="98" t="s">
        <v>2588</v>
      </c>
      <c r="B334" s="80" t="s">
        <v>2680</v>
      </c>
      <c r="C334" s="80" t="s">
        <v>2658</v>
      </c>
      <c r="D334" s="80" t="s">
        <v>2645</v>
      </c>
      <c r="E334" s="80" t="s">
        <v>2642</v>
      </c>
      <c r="F334" s="80" t="s">
        <v>2373</v>
      </c>
      <c r="G334" s="80" t="s">
        <v>2703</v>
      </c>
      <c r="H334" s="79">
        <v>3</v>
      </c>
      <c r="I334" s="79">
        <v>953.26</v>
      </c>
      <c r="J334" s="79">
        <v>2859.78</v>
      </c>
    </row>
    <row r="335" spans="1:10" ht="15" thickBot="1">
      <c r="A335" s="98" t="s">
        <v>2549</v>
      </c>
      <c r="B335" s="80" t="s">
        <v>2678</v>
      </c>
      <c r="C335" s="80" t="s">
        <v>2659</v>
      </c>
      <c r="D335" s="80" t="s">
        <v>2647</v>
      </c>
      <c r="E335" s="80" t="s">
        <v>2643</v>
      </c>
      <c r="F335" s="80" t="s">
        <v>2374</v>
      </c>
      <c r="G335" s="80" t="s">
        <v>2692</v>
      </c>
      <c r="H335" s="79">
        <v>2</v>
      </c>
      <c r="I335" s="79">
        <v>1189.6500000000001</v>
      </c>
      <c r="J335" s="79">
        <v>2379.3000000000002</v>
      </c>
    </row>
    <row r="336" spans="1:10" ht="15" thickBot="1">
      <c r="A336" s="98">
        <v>44933</v>
      </c>
      <c r="B336" s="80" t="s">
        <v>2686</v>
      </c>
      <c r="C336" s="80" t="s">
        <v>2658</v>
      </c>
      <c r="D336" s="80" t="s">
        <v>2645</v>
      </c>
      <c r="E336" s="80" t="s">
        <v>2642</v>
      </c>
      <c r="F336" s="80" t="s">
        <v>2374</v>
      </c>
      <c r="G336" s="80" t="s">
        <v>2692</v>
      </c>
      <c r="H336" s="79">
        <v>1</v>
      </c>
      <c r="I336" s="79">
        <v>1915.3</v>
      </c>
      <c r="J336" s="79">
        <v>1915.3</v>
      </c>
    </row>
    <row r="337" spans="1:10" ht="15" thickBot="1">
      <c r="A337" s="98">
        <v>45178</v>
      </c>
      <c r="B337" s="80" t="s">
        <v>2685</v>
      </c>
      <c r="C337" s="80" t="s">
        <v>2650</v>
      </c>
      <c r="D337" s="80" t="s">
        <v>2646</v>
      </c>
      <c r="E337" s="80" t="s">
        <v>2642</v>
      </c>
      <c r="F337" s="80" t="s">
        <v>2374</v>
      </c>
      <c r="G337" s="80" t="s">
        <v>2700</v>
      </c>
      <c r="H337" s="79">
        <v>8</v>
      </c>
      <c r="I337" s="79">
        <v>3927.74</v>
      </c>
      <c r="J337" s="79">
        <v>31421.919999999998</v>
      </c>
    </row>
    <row r="338" spans="1:10" ht="15" thickBot="1">
      <c r="A338" s="98" t="s">
        <v>2488</v>
      </c>
      <c r="B338" s="80" t="s">
        <v>2687</v>
      </c>
      <c r="C338" s="80" t="s">
        <v>2652</v>
      </c>
      <c r="D338" s="80" t="s">
        <v>2647</v>
      </c>
      <c r="E338" s="80" t="s">
        <v>2643</v>
      </c>
      <c r="F338" s="80" t="s">
        <v>2372</v>
      </c>
      <c r="G338" s="80" t="s">
        <v>2699</v>
      </c>
      <c r="H338" s="79">
        <v>10</v>
      </c>
      <c r="I338" s="79">
        <v>2682.33</v>
      </c>
      <c r="J338" s="79">
        <v>26823.3</v>
      </c>
    </row>
    <row r="339" spans="1:10" ht="15" thickBot="1">
      <c r="A339" s="98">
        <v>44995</v>
      </c>
      <c r="B339" s="80" t="s">
        <v>2686</v>
      </c>
      <c r="C339" s="80" t="s">
        <v>2651</v>
      </c>
      <c r="D339" s="80" t="s">
        <v>2646</v>
      </c>
      <c r="E339" s="80" t="s">
        <v>2642</v>
      </c>
      <c r="F339" s="80" t="s">
        <v>2370</v>
      </c>
      <c r="G339" s="80" t="s">
        <v>2701</v>
      </c>
      <c r="H339" s="79">
        <v>6</v>
      </c>
      <c r="I339" s="79">
        <v>4086.27</v>
      </c>
      <c r="J339" s="79">
        <v>24517.62</v>
      </c>
    </row>
    <row r="340" spans="1:10" ht="15" thickBot="1">
      <c r="A340" s="98" t="s">
        <v>2568</v>
      </c>
      <c r="B340" s="80" t="s">
        <v>2686</v>
      </c>
      <c r="C340" s="80" t="s">
        <v>2651</v>
      </c>
      <c r="D340" s="80" t="s">
        <v>2646</v>
      </c>
      <c r="E340" s="80" t="s">
        <v>2642</v>
      </c>
      <c r="F340" s="80" t="s">
        <v>2370</v>
      </c>
      <c r="G340" s="80" t="s">
        <v>1335</v>
      </c>
      <c r="H340" s="79">
        <v>8</v>
      </c>
      <c r="I340" s="79">
        <v>827.02</v>
      </c>
      <c r="J340" s="79">
        <v>6616.16</v>
      </c>
    </row>
    <row r="341" spans="1:10" ht="15" thickBot="1">
      <c r="A341" s="98">
        <v>45051</v>
      </c>
      <c r="B341" s="80" t="s">
        <v>2687</v>
      </c>
      <c r="C341" s="80" t="s">
        <v>2659</v>
      </c>
      <c r="D341" s="80" t="s">
        <v>2647</v>
      </c>
      <c r="E341" s="80" t="s">
        <v>2643</v>
      </c>
      <c r="F341" s="80" t="s">
        <v>2661</v>
      </c>
      <c r="G341" s="80" t="s">
        <v>2695</v>
      </c>
      <c r="H341" s="79">
        <v>14</v>
      </c>
      <c r="I341" s="79">
        <v>4728.4399999999996</v>
      </c>
      <c r="J341" s="79">
        <v>66198.16</v>
      </c>
    </row>
    <row r="342" spans="1:10" ht="15" thickBot="1">
      <c r="A342" s="98" t="s">
        <v>2510</v>
      </c>
      <c r="B342" s="80" t="s">
        <v>2681</v>
      </c>
      <c r="C342" s="80" t="s">
        <v>2656</v>
      </c>
      <c r="D342" s="80" t="s">
        <v>2648</v>
      </c>
      <c r="E342" s="80" t="s">
        <v>2641</v>
      </c>
      <c r="F342" s="80" t="s">
        <v>2373</v>
      </c>
      <c r="G342" s="80" t="s">
        <v>2697</v>
      </c>
      <c r="H342" s="79">
        <v>11</v>
      </c>
      <c r="I342" s="79">
        <v>575.73</v>
      </c>
      <c r="J342" s="79">
        <v>6333.03</v>
      </c>
    </row>
    <row r="343" spans="1:10" ht="15" thickBot="1">
      <c r="A343" s="98" t="s">
        <v>2675</v>
      </c>
      <c r="B343" s="80" t="s">
        <v>2680</v>
      </c>
      <c r="C343" s="80" t="s">
        <v>2393</v>
      </c>
      <c r="D343" s="80" t="s">
        <v>2644</v>
      </c>
      <c r="E343" s="80" t="s">
        <v>2641</v>
      </c>
      <c r="F343" s="80" t="s">
        <v>2373</v>
      </c>
      <c r="G343" s="80" t="s">
        <v>2697</v>
      </c>
      <c r="H343" s="79">
        <v>4</v>
      </c>
      <c r="I343" s="79">
        <v>578.35</v>
      </c>
      <c r="J343" s="79">
        <v>2313.4</v>
      </c>
    </row>
    <row r="344" spans="1:10" ht="15" thickBot="1">
      <c r="A344" s="98" t="s">
        <v>2528</v>
      </c>
      <c r="B344" s="80" t="s">
        <v>2685</v>
      </c>
      <c r="C344" s="80" t="s">
        <v>2651</v>
      </c>
      <c r="D344" s="80" t="s">
        <v>2646</v>
      </c>
      <c r="E344" s="80" t="s">
        <v>2642</v>
      </c>
      <c r="F344" s="80" t="s">
        <v>2374</v>
      </c>
      <c r="G344" s="80" t="s">
        <v>2689</v>
      </c>
      <c r="H344" s="79">
        <v>8</v>
      </c>
      <c r="I344" s="79">
        <v>3043.72</v>
      </c>
      <c r="J344" s="79">
        <v>24349.759999999998</v>
      </c>
    </row>
    <row r="345" spans="1:10" ht="15" thickBot="1">
      <c r="A345" s="98" t="s">
        <v>2564</v>
      </c>
      <c r="B345" s="80" t="s">
        <v>2682</v>
      </c>
      <c r="C345" s="80" t="s">
        <v>2649</v>
      </c>
      <c r="D345" s="80" t="s">
        <v>2645</v>
      </c>
      <c r="E345" s="80" t="s">
        <v>2642</v>
      </c>
      <c r="F345" s="80" t="s">
        <v>2373</v>
      </c>
      <c r="G345" s="80" t="s">
        <v>2688</v>
      </c>
      <c r="H345" s="79">
        <v>10</v>
      </c>
      <c r="I345" s="79">
        <v>3339.72</v>
      </c>
      <c r="J345" s="79">
        <v>33397.199999999997</v>
      </c>
    </row>
    <row r="346" spans="1:10" ht="15" thickBot="1">
      <c r="A346" s="98">
        <v>45269</v>
      </c>
      <c r="B346" s="80" t="s">
        <v>2678</v>
      </c>
      <c r="C346" s="80" t="s">
        <v>2659</v>
      </c>
      <c r="D346" s="80" t="s">
        <v>2647</v>
      </c>
      <c r="E346" s="80" t="s">
        <v>2643</v>
      </c>
      <c r="F346" s="80" t="s">
        <v>2373</v>
      </c>
      <c r="G346" s="80" t="s">
        <v>2688</v>
      </c>
      <c r="H346" s="79">
        <v>7</v>
      </c>
      <c r="I346" s="79">
        <v>2286.4</v>
      </c>
      <c r="J346" s="79">
        <v>16004.8</v>
      </c>
    </row>
    <row r="347" spans="1:10" ht="15" thickBot="1">
      <c r="A347" s="98" t="s">
        <v>2530</v>
      </c>
      <c r="B347" s="80" t="s">
        <v>2686</v>
      </c>
      <c r="C347" s="80" t="s">
        <v>2650</v>
      </c>
      <c r="D347" s="80" t="s">
        <v>2646</v>
      </c>
      <c r="E347" s="80" t="s">
        <v>2642</v>
      </c>
      <c r="F347" s="80" t="s">
        <v>2374</v>
      </c>
      <c r="G347" s="80" t="s">
        <v>2700</v>
      </c>
      <c r="H347" s="79">
        <v>6</v>
      </c>
      <c r="I347" s="79">
        <v>4862.26</v>
      </c>
      <c r="J347" s="79">
        <v>29173.56</v>
      </c>
    </row>
    <row r="348" spans="1:10" ht="15" thickBot="1">
      <c r="A348" s="98" t="s">
        <v>2455</v>
      </c>
      <c r="B348" s="80" t="s">
        <v>2684</v>
      </c>
      <c r="C348" s="80" t="s">
        <v>2655</v>
      </c>
      <c r="D348" s="80" t="s">
        <v>2645</v>
      </c>
      <c r="E348" s="80" t="s">
        <v>2642</v>
      </c>
      <c r="F348" s="80" t="s">
        <v>2370</v>
      </c>
      <c r="G348" s="80" t="s">
        <v>1336</v>
      </c>
      <c r="H348" s="79">
        <v>6</v>
      </c>
      <c r="I348" s="79">
        <v>3470.44</v>
      </c>
      <c r="J348" s="79">
        <v>20822.64</v>
      </c>
    </row>
    <row r="349" spans="1:10" ht="15" thickBot="1">
      <c r="A349" s="98" t="s">
        <v>2577</v>
      </c>
      <c r="B349" s="80" t="s">
        <v>2683</v>
      </c>
      <c r="C349" s="80" t="s">
        <v>2653</v>
      </c>
      <c r="D349" s="80" t="s">
        <v>2644</v>
      </c>
      <c r="E349" s="80" t="s">
        <v>2641</v>
      </c>
      <c r="F349" s="80" t="s">
        <v>2372</v>
      </c>
      <c r="G349" s="80" t="s">
        <v>2693</v>
      </c>
      <c r="H349" s="79">
        <v>5</v>
      </c>
      <c r="I349" s="79">
        <v>4175.13</v>
      </c>
      <c r="J349" s="79">
        <v>20875.650000000001</v>
      </c>
    </row>
    <row r="350" spans="1:10" ht="15" thickBot="1">
      <c r="A350" s="98">
        <v>45056</v>
      </c>
      <c r="B350" s="80" t="s">
        <v>2685</v>
      </c>
      <c r="C350" s="80" t="s">
        <v>2658</v>
      </c>
      <c r="D350" s="80" t="s">
        <v>2645</v>
      </c>
      <c r="E350" s="80" t="s">
        <v>2642</v>
      </c>
      <c r="F350" s="80" t="s">
        <v>2661</v>
      </c>
      <c r="G350" s="80" t="s">
        <v>2695</v>
      </c>
      <c r="H350" s="79">
        <v>16</v>
      </c>
      <c r="I350" s="79">
        <v>1880.67</v>
      </c>
      <c r="J350" s="79">
        <v>30090.720000000001</v>
      </c>
    </row>
    <row r="351" spans="1:10" ht="15" thickBot="1">
      <c r="A351" s="98">
        <v>45238</v>
      </c>
      <c r="B351" s="80" t="s">
        <v>2684</v>
      </c>
      <c r="C351" s="80" t="s">
        <v>2652</v>
      </c>
      <c r="D351" s="80" t="s">
        <v>2647</v>
      </c>
      <c r="E351" s="80" t="s">
        <v>2643</v>
      </c>
      <c r="F351" s="80" t="s">
        <v>2370</v>
      </c>
      <c r="G351" s="80" t="s">
        <v>2701</v>
      </c>
      <c r="H351" s="79">
        <v>7</v>
      </c>
      <c r="I351" s="79">
        <v>2187.71</v>
      </c>
      <c r="J351" s="79">
        <v>15313.97</v>
      </c>
    </row>
    <row r="352" spans="1:10" ht="15" thickBot="1">
      <c r="A352" s="98" t="s">
        <v>2667</v>
      </c>
      <c r="B352" s="80" t="s">
        <v>2680</v>
      </c>
      <c r="C352" s="80" t="s">
        <v>2655</v>
      </c>
      <c r="D352" s="80" t="s">
        <v>2645</v>
      </c>
      <c r="E352" s="80" t="s">
        <v>2642</v>
      </c>
      <c r="F352" s="80" t="s">
        <v>2372</v>
      </c>
      <c r="G352" s="80" t="s">
        <v>2694</v>
      </c>
      <c r="H352" s="79">
        <v>14</v>
      </c>
      <c r="I352" s="79">
        <v>1024.22</v>
      </c>
      <c r="J352" s="79">
        <v>14339.08</v>
      </c>
    </row>
    <row r="353" spans="1:10" ht="15" thickBot="1">
      <c r="A353" s="98" t="s">
        <v>2435</v>
      </c>
      <c r="B353" s="80" t="s">
        <v>2686</v>
      </c>
      <c r="C353" s="80" t="s">
        <v>2651</v>
      </c>
      <c r="D353" s="80" t="s">
        <v>2646</v>
      </c>
      <c r="E353" s="80" t="s">
        <v>2642</v>
      </c>
      <c r="F353" s="80" t="s">
        <v>2372</v>
      </c>
      <c r="G353" s="80" t="s">
        <v>2693</v>
      </c>
      <c r="H353" s="79">
        <v>17</v>
      </c>
      <c r="I353" s="79">
        <v>544.41999999999996</v>
      </c>
      <c r="J353" s="79">
        <v>9255.14</v>
      </c>
    </row>
    <row r="354" spans="1:10" ht="15" thickBot="1">
      <c r="A354" s="98" t="s">
        <v>2618</v>
      </c>
      <c r="B354" s="80" t="s">
        <v>2682</v>
      </c>
      <c r="C354" s="80" t="s">
        <v>2392</v>
      </c>
      <c r="D354" s="80" t="s">
        <v>2644</v>
      </c>
      <c r="E354" s="80" t="s">
        <v>2641</v>
      </c>
      <c r="F354" s="80" t="s">
        <v>2374</v>
      </c>
      <c r="G354" s="80" t="s">
        <v>2700</v>
      </c>
      <c r="H354" s="79">
        <v>4</v>
      </c>
      <c r="I354" s="79">
        <v>942.96</v>
      </c>
      <c r="J354" s="79">
        <v>3771.84</v>
      </c>
    </row>
    <row r="355" spans="1:10" ht="15" thickBot="1">
      <c r="A355" s="98">
        <v>45211</v>
      </c>
      <c r="B355" s="80" t="s">
        <v>2686</v>
      </c>
      <c r="C355" s="80" t="s">
        <v>2650</v>
      </c>
      <c r="D355" s="80" t="s">
        <v>2646</v>
      </c>
      <c r="E355" s="80" t="s">
        <v>2642</v>
      </c>
      <c r="F355" s="80" t="s">
        <v>2373</v>
      </c>
      <c r="G355" s="80" t="s">
        <v>2705</v>
      </c>
      <c r="H355" s="79">
        <v>12</v>
      </c>
      <c r="I355" s="79">
        <v>1799.38</v>
      </c>
      <c r="J355" s="79">
        <v>21592.560000000001</v>
      </c>
    </row>
    <row r="356" spans="1:10" ht="15" thickBot="1">
      <c r="A356" s="98" t="s">
        <v>2444</v>
      </c>
      <c r="B356" s="80" t="s">
        <v>2681</v>
      </c>
      <c r="C356" s="80" t="s">
        <v>2650</v>
      </c>
      <c r="D356" s="80" t="s">
        <v>2646</v>
      </c>
      <c r="E356" s="80" t="s">
        <v>2642</v>
      </c>
      <c r="F356" s="80" t="s">
        <v>2372</v>
      </c>
      <c r="G356" s="80" t="s">
        <v>2694</v>
      </c>
      <c r="H356" s="79">
        <v>11</v>
      </c>
      <c r="I356" s="79">
        <v>1634.39</v>
      </c>
      <c r="J356" s="79">
        <v>17978.29</v>
      </c>
    </row>
    <row r="357" spans="1:10" ht="15" thickBot="1">
      <c r="A357" s="98">
        <v>45148</v>
      </c>
      <c r="B357" s="80" t="s">
        <v>2687</v>
      </c>
      <c r="C357" s="80" t="s">
        <v>2392</v>
      </c>
      <c r="D357" s="80" t="s">
        <v>2644</v>
      </c>
      <c r="E357" s="80" t="s">
        <v>2641</v>
      </c>
      <c r="F357" s="80" t="s">
        <v>2373</v>
      </c>
      <c r="G357" s="80" t="s">
        <v>2703</v>
      </c>
      <c r="H357" s="79">
        <v>3</v>
      </c>
      <c r="I357" s="79">
        <v>2950.28</v>
      </c>
      <c r="J357" s="79">
        <v>8850.84</v>
      </c>
    </row>
    <row r="358" spans="1:10" ht="15" thickBot="1">
      <c r="A358" s="98" t="s">
        <v>2676</v>
      </c>
      <c r="B358" s="80" t="s">
        <v>2681</v>
      </c>
      <c r="C358" s="80" t="s">
        <v>2393</v>
      </c>
      <c r="D358" s="80" t="s">
        <v>2644</v>
      </c>
      <c r="E358" s="80" t="s">
        <v>2641</v>
      </c>
      <c r="F358" s="80" t="s">
        <v>2661</v>
      </c>
      <c r="G358" s="80" t="s">
        <v>2698</v>
      </c>
      <c r="H358" s="79">
        <v>10</v>
      </c>
      <c r="I358" s="79">
        <v>4788</v>
      </c>
      <c r="J358" s="79">
        <v>47880</v>
      </c>
    </row>
    <row r="359" spans="1:10" ht="15" thickBot="1">
      <c r="A359" s="98" t="s">
        <v>2618</v>
      </c>
      <c r="B359" s="80" t="s">
        <v>2679</v>
      </c>
      <c r="C359" s="80" t="s">
        <v>2654</v>
      </c>
      <c r="D359" s="80" t="s">
        <v>2646</v>
      </c>
      <c r="E359" s="80" t="s">
        <v>2642</v>
      </c>
      <c r="F359" s="80" t="s">
        <v>2373</v>
      </c>
      <c r="G359" s="80" t="s">
        <v>2697</v>
      </c>
      <c r="H359" s="79">
        <v>8</v>
      </c>
      <c r="I359" s="79">
        <v>1807.67</v>
      </c>
      <c r="J359" s="79">
        <v>14461.36</v>
      </c>
    </row>
    <row r="360" spans="1:10" ht="15" thickBot="1">
      <c r="A360" s="98">
        <v>44967</v>
      </c>
      <c r="B360" s="80" t="s">
        <v>2683</v>
      </c>
      <c r="C360" s="80" t="s">
        <v>2658</v>
      </c>
      <c r="D360" s="80" t="s">
        <v>2645</v>
      </c>
      <c r="E360" s="80" t="s">
        <v>2642</v>
      </c>
      <c r="F360" s="80" t="s">
        <v>2661</v>
      </c>
      <c r="G360" s="80" t="s">
        <v>2698</v>
      </c>
      <c r="H360" s="79">
        <v>19</v>
      </c>
      <c r="I360" s="79">
        <v>797.02</v>
      </c>
      <c r="J360" s="79">
        <v>15143.38</v>
      </c>
    </row>
    <row r="361" spans="1:10" ht="15" thickBot="1">
      <c r="A361" s="98" t="s">
        <v>2512</v>
      </c>
      <c r="B361" s="80" t="s">
        <v>2679</v>
      </c>
      <c r="C361" s="80" t="s">
        <v>2654</v>
      </c>
      <c r="D361" s="80" t="s">
        <v>2646</v>
      </c>
      <c r="E361" s="80" t="s">
        <v>2642</v>
      </c>
      <c r="F361" s="80" t="s">
        <v>2370</v>
      </c>
      <c r="G361" s="80" t="s">
        <v>2701</v>
      </c>
      <c r="H361" s="79">
        <v>2</v>
      </c>
      <c r="I361" s="79">
        <v>1195.99</v>
      </c>
      <c r="J361" s="79">
        <v>2391.98</v>
      </c>
    </row>
    <row r="362" spans="1:10" ht="15" thickBot="1">
      <c r="A362" s="98">
        <v>45082</v>
      </c>
      <c r="B362" s="80" t="s">
        <v>2685</v>
      </c>
      <c r="C362" s="80" t="s">
        <v>2396</v>
      </c>
      <c r="D362" s="80" t="s">
        <v>2648</v>
      </c>
      <c r="E362" s="80" t="s">
        <v>2641</v>
      </c>
      <c r="F362" s="80" t="s">
        <v>2372</v>
      </c>
      <c r="G362" s="80" t="s">
        <v>2699</v>
      </c>
      <c r="H362" s="79">
        <v>20</v>
      </c>
      <c r="I362" s="79">
        <v>2056.65</v>
      </c>
      <c r="J362" s="79">
        <v>41133</v>
      </c>
    </row>
    <row r="363" spans="1:10" ht="15" thickBot="1">
      <c r="A363" s="98">
        <v>45019</v>
      </c>
      <c r="B363" s="80" t="s">
        <v>2685</v>
      </c>
      <c r="C363" s="80" t="s">
        <v>2650</v>
      </c>
      <c r="D363" s="80" t="s">
        <v>2646</v>
      </c>
      <c r="E363" s="80" t="s">
        <v>2642</v>
      </c>
      <c r="F363" s="80" t="s">
        <v>2373</v>
      </c>
      <c r="G363" s="80" t="s">
        <v>2705</v>
      </c>
      <c r="H363" s="79">
        <v>16</v>
      </c>
      <c r="I363" s="79">
        <v>4817.63</v>
      </c>
      <c r="J363" s="79">
        <v>77082.080000000002</v>
      </c>
    </row>
    <row r="364" spans="1:10" ht="15" thickBot="1">
      <c r="A364" s="98" t="s">
        <v>2570</v>
      </c>
      <c r="B364" s="80" t="s">
        <v>2679</v>
      </c>
      <c r="C364" s="80" t="s">
        <v>2649</v>
      </c>
      <c r="D364" s="80" t="s">
        <v>2645</v>
      </c>
      <c r="E364" s="80" t="s">
        <v>2642</v>
      </c>
      <c r="F364" s="80" t="s">
        <v>2372</v>
      </c>
      <c r="G364" s="80" t="s">
        <v>2694</v>
      </c>
      <c r="H364" s="79">
        <v>7</v>
      </c>
      <c r="I364" s="79">
        <v>4950.24</v>
      </c>
      <c r="J364" s="79">
        <v>34651.68</v>
      </c>
    </row>
    <row r="365" spans="1:10" ht="15" thickBot="1">
      <c r="A365" s="98" t="s">
        <v>2606</v>
      </c>
      <c r="B365" s="80" t="s">
        <v>2685</v>
      </c>
      <c r="C365" s="80" t="s">
        <v>2392</v>
      </c>
      <c r="D365" s="80" t="s">
        <v>2644</v>
      </c>
      <c r="E365" s="80" t="s">
        <v>2641</v>
      </c>
      <c r="F365" s="80" t="s">
        <v>2372</v>
      </c>
      <c r="G365" s="80" t="s">
        <v>2694</v>
      </c>
      <c r="H365" s="79">
        <v>9</v>
      </c>
      <c r="I365" s="79">
        <v>2935.97</v>
      </c>
      <c r="J365" s="79">
        <v>26423.73</v>
      </c>
    </row>
    <row r="366" spans="1:10" ht="15" thickBot="1">
      <c r="A366" s="98">
        <v>45181</v>
      </c>
      <c r="B366" s="80" t="s">
        <v>2687</v>
      </c>
      <c r="C366" s="80" t="s">
        <v>2657</v>
      </c>
      <c r="D366" s="80" t="s">
        <v>2648</v>
      </c>
      <c r="E366" s="80" t="s">
        <v>2641</v>
      </c>
      <c r="F366" s="80" t="s">
        <v>2661</v>
      </c>
      <c r="G366" s="80" t="s">
        <v>2691</v>
      </c>
      <c r="H366" s="79">
        <v>9</v>
      </c>
      <c r="I366" s="79">
        <v>3560.8</v>
      </c>
      <c r="J366" s="79">
        <v>32047.200000000001</v>
      </c>
    </row>
    <row r="367" spans="1:10" ht="15" thickBot="1">
      <c r="A367" s="98">
        <v>45141</v>
      </c>
      <c r="B367" s="80" t="s">
        <v>2687</v>
      </c>
      <c r="C367" s="80" t="s">
        <v>2396</v>
      </c>
      <c r="D367" s="80" t="s">
        <v>2648</v>
      </c>
      <c r="E367" s="80" t="s">
        <v>2641</v>
      </c>
      <c r="F367" s="80" t="s">
        <v>2374</v>
      </c>
      <c r="G367" s="80" t="s">
        <v>2704</v>
      </c>
      <c r="H367" s="79">
        <v>11</v>
      </c>
      <c r="I367" s="79">
        <v>4890.92</v>
      </c>
      <c r="J367" s="79">
        <v>53800.12</v>
      </c>
    </row>
    <row r="368" spans="1:10" ht="15" thickBot="1">
      <c r="A368" s="98" t="s">
        <v>2449</v>
      </c>
      <c r="B368" s="80" t="s">
        <v>2682</v>
      </c>
      <c r="C368" s="80" t="s">
        <v>2649</v>
      </c>
      <c r="D368" s="80" t="s">
        <v>2645</v>
      </c>
      <c r="E368" s="80" t="s">
        <v>2642</v>
      </c>
      <c r="F368" s="80" t="s">
        <v>2372</v>
      </c>
      <c r="G368" s="80" t="s">
        <v>2690</v>
      </c>
      <c r="H368" s="79">
        <v>8</v>
      </c>
      <c r="I368" s="79">
        <v>4143.5600000000004</v>
      </c>
      <c r="J368" s="79">
        <v>33148.480000000003</v>
      </c>
    </row>
    <row r="369" spans="1:10" ht="15" thickBot="1">
      <c r="A369" s="98" t="s">
        <v>2633</v>
      </c>
      <c r="B369" s="80" t="s">
        <v>2686</v>
      </c>
      <c r="C369" s="80" t="s">
        <v>2650</v>
      </c>
      <c r="D369" s="80" t="s">
        <v>2646</v>
      </c>
      <c r="E369" s="80" t="s">
        <v>2642</v>
      </c>
      <c r="F369" s="80" t="s">
        <v>2661</v>
      </c>
      <c r="G369" s="80" t="s">
        <v>2698</v>
      </c>
      <c r="H369" s="79">
        <v>4</v>
      </c>
      <c r="I369" s="79">
        <v>2395.66</v>
      </c>
      <c r="J369" s="79">
        <v>9582.64</v>
      </c>
    </row>
    <row r="370" spans="1:10" ht="15" thickBot="1">
      <c r="A370" s="98">
        <v>45177</v>
      </c>
      <c r="B370" s="80" t="s">
        <v>2682</v>
      </c>
      <c r="C370" s="80" t="s">
        <v>2657</v>
      </c>
      <c r="D370" s="80" t="s">
        <v>2648</v>
      </c>
      <c r="E370" s="80" t="s">
        <v>2641</v>
      </c>
      <c r="F370" s="80" t="s">
        <v>2372</v>
      </c>
      <c r="G370" s="80" t="s">
        <v>2693</v>
      </c>
      <c r="H370" s="79">
        <v>18</v>
      </c>
      <c r="I370" s="79">
        <v>1582.02</v>
      </c>
      <c r="J370" s="79">
        <v>28476.36</v>
      </c>
    </row>
    <row r="371" spans="1:10" ht="15" thickBot="1">
      <c r="A371" s="98" t="s">
        <v>2567</v>
      </c>
      <c r="B371" s="80" t="s">
        <v>2678</v>
      </c>
      <c r="C371" s="80" t="s">
        <v>2396</v>
      </c>
      <c r="D371" s="80" t="s">
        <v>2648</v>
      </c>
      <c r="E371" s="80" t="s">
        <v>2641</v>
      </c>
      <c r="F371" s="80" t="s">
        <v>2372</v>
      </c>
      <c r="G371" s="80" t="s">
        <v>2694</v>
      </c>
      <c r="H371" s="79">
        <v>14</v>
      </c>
      <c r="I371" s="79">
        <v>3381.77</v>
      </c>
      <c r="J371" s="79">
        <v>47344.78</v>
      </c>
    </row>
    <row r="372" spans="1:10" ht="15" thickBot="1">
      <c r="A372" s="98" t="s">
        <v>2552</v>
      </c>
      <c r="B372" s="80" t="s">
        <v>2687</v>
      </c>
      <c r="C372" s="80" t="s">
        <v>2658</v>
      </c>
      <c r="D372" s="80" t="s">
        <v>2645</v>
      </c>
      <c r="E372" s="80" t="s">
        <v>2642</v>
      </c>
      <c r="F372" s="80" t="s">
        <v>2374</v>
      </c>
      <c r="G372" s="80" t="s">
        <v>2692</v>
      </c>
      <c r="H372" s="79">
        <v>16</v>
      </c>
      <c r="I372" s="79">
        <v>2580.42</v>
      </c>
      <c r="J372" s="79">
        <v>41286.720000000001</v>
      </c>
    </row>
    <row r="373" spans="1:10" ht="15" thickBot="1">
      <c r="A373" s="98" t="s">
        <v>2577</v>
      </c>
      <c r="B373" s="80" t="s">
        <v>2684</v>
      </c>
      <c r="C373" s="80" t="s">
        <v>2657</v>
      </c>
      <c r="D373" s="80" t="s">
        <v>2648</v>
      </c>
      <c r="E373" s="80" t="s">
        <v>2641</v>
      </c>
      <c r="F373" s="80" t="s">
        <v>2372</v>
      </c>
      <c r="G373" s="80" t="s">
        <v>2694</v>
      </c>
      <c r="H373" s="79">
        <v>3</v>
      </c>
      <c r="I373" s="79">
        <v>3838.25</v>
      </c>
      <c r="J373" s="79">
        <v>11514.75</v>
      </c>
    </row>
    <row r="374" spans="1:10" ht="15" thickBot="1">
      <c r="A374" s="98" t="s">
        <v>2518</v>
      </c>
      <c r="B374" s="80" t="s">
        <v>2684</v>
      </c>
      <c r="C374" s="80" t="s">
        <v>2650</v>
      </c>
      <c r="D374" s="80" t="s">
        <v>2646</v>
      </c>
      <c r="E374" s="80" t="s">
        <v>2642</v>
      </c>
      <c r="F374" s="80" t="s">
        <v>2661</v>
      </c>
      <c r="G374" s="80" t="s">
        <v>2695</v>
      </c>
      <c r="H374" s="79">
        <v>2</v>
      </c>
      <c r="I374" s="79">
        <v>591.6</v>
      </c>
      <c r="J374" s="79">
        <v>1183.2</v>
      </c>
    </row>
    <row r="375" spans="1:10" ht="15" thickBot="1">
      <c r="A375" s="98" t="s">
        <v>2617</v>
      </c>
      <c r="B375" s="80" t="s">
        <v>2680</v>
      </c>
      <c r="C375" s="80" t="s">
        <v>2652</v>
      </c>
      <c r="D375" s="80" t="s">
        <v>2647</v>
      </c>
      <c r="E375" s="80" t="s">
        <v>2643</v>
      </c>
      <c r="F375" s="80" t="s">
        <v>2372</v>
      </c>
      <c r="G375" s="80" t="s">
        <v>2694</v>
      </c>
      <c r="H375" s="79">
        <v>1</v>
      </c>
      <c r="I375" s="79">
        <v>2709.05</v>
      </c>
      <c r="J375" s="79">
        <v>2709.05</v>
      </c>
    </row>
    <row r="376" spans="1:10" ht="15" thickBot="1">
      <c r="A376" s="98">
        <v>45177</v>
      </c>
      <c r="B376" s="80" t="s">
        <v>2681</v>
      </c>
      <c r="C376" s="80" t="s">
        <v>2658</v>
      </c>
      <c r="D376" s="80" t="s">
        <v>2645</v>
      </c>
      <c r="E376" s="80" t="s">
        <v>2642</v>
      </c>
      <c r="F376" s="80" t="s">
        <v>2370</v>
      </c>
      <c r="G376" s="80" t="s">
        <v>2701</v>
      </c>
      <c r="H376" s="79">
        <v>5</v>
      </c>
      <c r="I376" s="79">
        <v>194.7</v>
      </c>
      <c r="J376" s="79">
        <v>973.5</v>
      </c>
    </row>
    <row r="377" spans="1:10" ht="15" thickBot="1">
      <c r="A377" s="98" t="s">
        <v>2442</v>
      </c>
      <c r="B377" s="80" t="s">
        <v>2680</v>
      </c>
      <c r="C377" s="80" t="s">
        <v>2396</v>
      </c>
      <c r="D377" s="80" t="s">
        <v>2648</v>
      </c>
      <c r="E377" s="80" t="s">
        <v>2641</v>
      </c>
      <c r="F377" s="80" t="s">
        <v>2374</v>
      </c>
      <c r="G377" s="80" t="s">
        <v>2692</v>
      </c>
      <c r="H377" s="79">
        <v>4</v>
      </c>
      <c r="I377" s="79">
        <v>900.33</v>
      </c>
      <c r="J377" s="79">
        <v>3601.32</v>
      </c>
    </row>
    <row r="378" spans="1:10" ht="15" thickBot="1">
      <c r="A378" s="98" t="s">
        <v>2542</v>
      </c>
      <c r="B378" s="80" t="s">
        <v>2682</v>
      </c>
      <c r="C378" s="80" t="s">
        <v>2651</v>
      </c>
      <c r="D378" s="80" t="s">
        <v>2646</v>
      </c>
      <c r="E378" s="80" t="s">
        <v>2642</v>
      </c>
      <c r="F378" s="80" t="s">
        <v>2661</v>
      </c>
      <c r="G378" s="80" t="s">
        <v>2691</v>
      </c>
      <c r="H378" s="79">
        <v>13</v>
      </c>
      <c r="I378" s="79">
        <v>3574.45</v>
      </c>
      <c r="J378" s="79">
        <v>46467.85</v>
      </c>
    </row>
    <row r="379" spans="1:10" ht="15" thickBot="1">
      <c r="A379" s="98" t="s">
        <v>2445</v>
      </c>
      <c r="B379" s="80" t="s">
        <v>2679</v>
      </c>
      <c r="C379" s="80" t="s">
        <v>2660</v>
      </c>
      <c r="D379" s="80" t="s">
        <v>2647</v>
      </c>
      <c r="E379" s="80" t="s">
        <v>2643</v>
      </c>
      <c r="F379" s="80" t="s">
        <v>2370</v>
      </c>
      <c r="G379" s="80" t="s">
        <v>1335</v>
      </c>
      <c r="H379" s="79">
        <v>20</v>
      </c>
      <c r="I379" s="79">
        <v>1637.44</v>
      </c>
      <c r="J379" s="79">
        <v>32748.799999999999</v>
      </c>
    </row>
    <row r="380" spans="1:10" ht="15" thickBot="1">
      <c r="A380" s="98" t="s">
        <v>2574</v>
      </c>
      <c r="B380" s="80" t="s">
        <v>2680</v>
      </c>
      <c r="C380" s="80" t="s">
        <v>2655</v>
      </c>
      <c r="D380" s="80" t="s">
        <v>2645</v>
      </c>
      <c r="E380" s="80" t="s">
        <v>2642</v>
      </c>
      <c r="F380" s="80" t="s">
        <v>2373</v>
      </c>
      <c r="G380" s="80" t="s">
        <v>2703</v>
      </c>
      <c r="H380" s="79">
        <v>14</v>
      </c>
      <c r="I380" s="79">
        <v>3177.8</v>
      </c>
      <c r="J380" s="79">
        <v>44489.2</v>
      </c>
    </row>
    <row r="381" spans="1:10" ht="15" thickBot="1">
      <c r="A381" s="98" t="s">
        <v>2441</v>
      </c>
      <c r="B381" s="80" t="s">
        <v>2683</v>
      </c>
      <c r="C381" s="80" t="s">
        <v>2649</v>
      </c>
      <c r="D381" s="80" t="s">
        <v>2645</v>
      </c>
      <c r="E381" s="80" t="s">
        <v>2642</v>
      </c>
      <c r="F381" s="80" t="s">
        <v>2370</v>
      </c>
      <c r="G381" s="80" t="s">
        <v>1336</v>
      </c>
      <c r="H381" s="79">
        <v>1</v>
      </c>
      <c r="I381" s="79">
        <v>3382.37</v>
      </c>
      <c r="J381" s="79">
        <v>3382.37</v>
      </c>
    </row>
    <row r="382" spans="1:10" ht="15" thickBot="1">
      <c r="A382" s="98" t="s">
        <v>2600</v>
      </c>
      <c r="B382" s="80" t="s">
        <v>2678</v>
      </c>
      <c r="C382" s="80" t="s">
        <v>2660</v>
      </c>
      <c r="D382" s="80" t="s">
        <v>2647</v>
      </c>
      <c r="E382" s="80" t="s">
        <v>2643</v>
      </c>
      <c r="F382" s="80" t="s">
        <v>2374</v>
      </c>
      <c r="G382" s="80" t="s">
        <v>2704</v>
      </c>
      <c r="H382" s="79">
        <v>19</v>
      </c>
      <c r="I382" s="79">
        <v>2816.52</v>
      </c>
      <c r="J382" s="79">
        <v>53513.88</v>
      </c>
    </row>
    <row r="383" spans="1:10" ht="15" thickBot="1">
      <c r="A383" s="98" t="s">
        <v>2506</v>
      </c>
      <c r="B383" s="80" t="s">
        <v>2678</v>
      </c>
      <c r="C383" s="80" t="s">
        <v>2652</v>
      </c>
      <c r="D383" s="80" t="s">
        <v>2647</v>
      </c>
      <c r="E383" s="80" t="s">
        <v>2643</v>
      </c>
      <c r="F383" s="80" t="s">
        <v>2661</v>
      </c>
      <c r="G383" s="80" t="s">
        <v>2696</v>
      </c>
      <c r="H383" s="79">
        <v>13</v>
      </c>
      <c r="I383" s="79">
        <v>3417.94</v>
      </c>
      <c r="J383" s="79">
        <v>44433.22</v>
      </c>
    </row>
    <row r="384" spans="1:10" ht="15" thickBot="1">
      <c r="A384" s="98" t="s">
        <v>2519</v>
      </c>
      <c r="B384" s="80" t="s">
        <v>2678</v>
      </c>
      <c r="C384" s="80" t="s">
        <v>2649</v>
      </c>
      <c r="D384" s="80" t="s">
        <v>2645</v>
      </c>
      <c r="E384" s="80" t="s">
        <v>2642</v>
      </c>
      <c r="F384" s="80" t="s">
        <v>2372</v>
      </c>
      <c r="G384" s="80" t="s">
        <v>2699</v>
      </c>
      <c r="H384" s="79">
        <v>14</v>
      </c>
      <c r="I384" s="79">
        <v>917.55</v>
      </c>
      <c r="J384" s="79">
        <v>12845.7</v>
      </c>
    </row>
    <row r="385" spans="1:10" ht="15" thickBot="1">
      <c r="A385" s="98">
        <v>45263</v>
      </c>
      <c r="B385" s="80" t="s">
        <v>2684</v>
      </c>
      <c r="C385" s="80" t="s">
        <v>2653</v>
      </c>
      <c r="D385" s="80" t="s">
        <v>2644</v>
      </c>
      <c r="E385" s="80" t="s">
        <v>2641</v>
      </c>
      <c r="F385" s="80" t="s">
        <v>2370</v>
      </c>
      <c r="G385" s="80" t="s">
        <v>1335</v>
      </c>
      <c r="H385" s="79">
        <v>1</v>
      </c>
      <c r="I385" s="79">
        <v>1598.87</v>
      </c>
      <c r="J385" s="79">
        <v>1598.87</v>
      </c>
    </row>
    <row r="386" spans="1:10" ht="15" thickBot="1">
      <c r="A386" s="98">
        <v>44936</v>
      </c>
      <c r="B386" s="80" t="s">
        <v>2684</v>
      </c>
      <c r="C386" s="80" t="s">
        <v>2660</v>
      </c>
      <c r="D386" s="80" t="s">
        <v>2647</v>
      </c>
      <c r="E386" s="80" t="s">
        <v>2643</v>
      </c>
      <c r="F386" s="80" t="s">
        <v>2373</v>
      </c>
      <c r="G386" s="80" t="s">
        <v>2688</v>
      </c>
      <c r="H386" s="79">
        <v>7</v>
      </c>
      <c r="I386" s="79">
        <v>405.27</v>
      </c>
      <c r="J386" s="79">
        <v>2836.89</v>
      </c>
    </row>
    <row r="387" spans="1:10" ht="15" thickBot="1">
      <c r="A387" s="98">
        <v>45270</v>
      </c>
      <c r="B387" s="80" t="s">
        <v>2684</v>
      </c>
      <c r="C387" s="80" t="s">
        <v>2392</v>
      </c>
      <c r="D387" s="80" t="s">
        <v>2644</v>
      </c>
      <c r="E387" s="80" t="s">
        <v>2641</v>
      </c>
      <c r="F387" s="80" t="s">
        <v>2661</v>
      </c>
      <c r="G387" s="80" t="s">
        <v>2695</v>
      </c>
      <c r="H387" s="79">
        <v>5</v>
      </c>
      <c r="I387" s="79">
        <v>2819.92</v>
      </c>
      <c r="J387" s="79">
        <v>14099.6</v>
      </c>
    </row>
    <row r="388" spans="1:10" ht="15" thickBot="1">
      <c r="A388" s="98" t="s">
        <v>2639</v>
      </c>
      <c r="B388" s="80" t="s">
        <v>2680</v>
      </c>
      <c r="C388" s="80" t="s">
        <v>2649</v>
      </c>
      <c r="D388" s="80" t="s">
        <v>2645</v>
      </c>
      <c r="E388" s="80" t="s">
        <v>2642</v>
      </c>
      <c r="F388" s="80" t="s">
        <v>2370</v>
      </c>
      <c r="G388" s="80" t="s">
        <v>1335</v>
      </c>
      <c r="H388" s="79">
        <v>7</v>
      </c>
      <c r="I388" s="79">
        <v>4023.6</v>
      </c>
      <c r="J388" s="79">
        <v>28165.200000000001</v>
      </c>
    </row>
    <row r="389" spans="1:10" ht="15" thickBot="1">
      <c r="A389" s="98" t="s">
        <v>2667</v>
      </c>
      <c r="B389" s="80" t="s">
        <v>2681</v>
      </c>
      <c r="C389" s="80" t="s">
        <v>2650</v>
      </c>
      <c r="D389" s="80" t="s">
        <v>2646</v>
      </c>
      <c r="E389" s="80" t="s">
        <v>2642</v>
      </c>
      <c r="F389" s="80" t="s">
        <v>2661</v>
      </c>
      <c r="G389" s="80" t="s">
        <v>2695</v>
      </c>
      <c r="H389" s="79">
        <v>6</v>
      </c>
      <c r="I389" s="79">
        <v>4911.79</v>
      </c>
      <c r="J389" s="79">
        <v>29470.74</v>
      </c>
    </row>
    <row r="390" spans="1:10" ht="15" thickBot="1">
      <c r="A390" s="98">
        <v>45210</v>
      </c>
      <c r="B390" s="80" t="s">
        <v>2683</v>
      </c>
      <c r="C390" s="80" t="s">
        <v>2655</v>
      </c>
      <c r="D390" s="80" t="s">
        <v>2645</v>
      </c>
      <c r="E390" s="80" t="s">
        <v>2642</v>
      </c>
      <c r="F390" s="80" t="s">
        <v>2373</v>
      </c>
      <c r="G390" s="80" t="s">
        <v>2697</v>
      </c>
      <c r="H390" s="79">
        <v>7</v>
      </c>
      <c r="I390" s="79">
        <v>2186.75</v>
      </c>
      <c r="J390" s="79">
        <v>15307.25</v>
      </c>
    </row>
    <row r="391" spans="1:10" ht="15" thickBot="1">
      <c r="A391" s="98" t="s">
        <v>2550</v>
      </c>
      <c r="B391" s="80" t="s">
        <v>2687</v>
      </c>
      <c r="C391" s="80" t="s">
        <v>2660</v>
      </c>
      <c r="D391" s="80" t="s">
        <v>2647</v>
      </c>
      <c r="E391" s="80" t="s">
        <v>2643</v>
      </c>
      <c r="F391" s="80" t="s">
        <v>2374</v>
      </c>
      <c r="G391" s="80" t="s">
        <v>2689</v>
      </c>
      <c r="H391" s="79">
        <v>9</v>
      </c>
      <c r="I391" s="79">
        <v>2304.23</v>
      </c>
      <c r="J391" s="79">
        <v>20738.07</v>
      </c>
    </row>
    <row r="392" spans="1:10" ht="15" thickBot="1">
      <c r="A392" s="98">
        <v>45021</v>
      </c>
      <c r="B392" s="80" t="s">
        <v>2683</v>
      </c>
      <c r="C392" s="80" t="s">
        <v>2392</v>
      </c>
      <c r="D392" s="80" t="s">
        <v>2644</v>
      </c>
      <c r="E392" s="80" t="s">
        <v>2641</v>
      </c>
      <c r="F392" s="80" t="s">
        <v>2370</v>
      </c>
      <c r="G392" s="80" t="s">
        <v>1336</v>
      </c>
      <c r="H392" s="79">
        <v>6</v>
      </c>
      <c r="I392" s="79">
        <v>2282.5500000000002</v>
      </c>
      <c r="J392" s="79">
        <v>13695.3</v>
      </c>
    </row>
    <row r="393" spans="1:10" ht="15" thickBot="1">
      <c r="A393" s="98" t="s">
        <v>2442</v>
      </c>
      <c r="B393" s="80" t="s">
        <v>2681</v>
      </c>
      <c r="C393" s="80" t="s">
        <v>2656</v>
      </c>
      <c r="D393" s="80" t="s">
        <v>2648</v>
      </c>
      <c r="E393" s="80" t="s">
        <v>2641</v>
      </c>
      <c r="F393" s="80" t="s">
        <v>2370</v>
      </c>
      <c r="G393" s="80" t="s">
        <v>2701</v>
      </c>
      <c r="H393" s="79">
        <v>4</v>
      </c>
      <c r="I393" s="79">
        <v>4778.2299999999996</v>
      </c>
      <c r="J393" s="79">
        <v>19112.919999999998</v>
      </c>
    </row>
    <row r="394" spans="1:10" ht="15" thickBot="1">
      <c r="A394" s="98">
        <v>44931</v>
      </c>
      <c r="B394" s="80" t="s">
        <v>2684</v>
      </c>
      <c r="C394" s="80" t="s">
        <v>2654</v>
      </c>
      <c r="D394" s="80" t="s">
        <v>2646</v>
      </c>
      <c r="E394" s="80" t="s">
        <v>2642</v>
      </c>
      <c r="F394" s="80" t="s">
        <v>2372</v>
      </c>
      <c r="G394" s="80" t="s">
        <v>2694</v>
      </c>
      <c r="H394" s="79">
        <v>11</v>
      </c>
      <c r="I394" s="79">
        <v>1286.08</v>
      </c>
      <c r="J394" s="79">
        <v>14146.88</v>
      </c>
    </row>
    <row r="395" spans="1:10" ht="15" thickBot="1">
      <c r="A395" s="98" t="s">
        <v>2553</v>
      </c>
      <c r="B395" s="80" t="s">
        <v>2685</v>
      </c>
      <c r="C395" s="80" t="s">
        <v>2393</v>
      </c>
      <c r="D395" s="80" t="s">
        <v>2644</v>
      </c>
      <c r="E395" s="80" t="s">
        <v>2641</v>
      </c>
      <c r="F395" s="80" t="s">
        <v>2370</v>
      </c>
      <c r="G395" s="80" t="s">
        <v>2702</v>
      </c>
      <c r="H395" s="79">
        <v>19</v>
      </c>
      <c r="I395" s="79">
        <v>1844.31</v>
      </c>
      <c r="J395" s="79">
        <v>35041.89</v>
      </c>
    </row>
    <row r="396" spans="1:10" ht="15" thickBot="1">
      <c r="A396" s="98">
        <v>44969</v>
      </c>
      <c r="B396" s="80" t="s">
        <v>2685</v>
      </c>
      <c r="C396" s="80" t="s">
        <v>2656</v>
      </c>
      <c r="D396" s="80" t="s">
        <v>2648</v>
      </c>
      <c r="E396" s="80" t="s">
        <v>2641</v>
      </c>
      <c r="F396" s="80" t="s">
        <v>2372</v>
      </c>
      <c r="G396" s="80" t="s">
        <v>2690</v>
      </c>
      <c r="H396" s="79">
        <v>14</v>
      </c>
      <c r="I396" s="79">
        <v>148.43</v>
      </c>
      <c r="J396" s="79">
        <v>2078.02</v>
      </c>
    </row>
    <row r="397" spans="1:10" ht="15" thickBot="1">
      <c r="A397" s="98">
        <v>45140</v>
      </c>
      <c r="B397" s="80" t="s">
        <v>2685</v>
      </c>
      <c r="C397" s="80" t="s">
        <v>2657</v>
      </c>
      <c r="D397" s="80" t="s">
        <v>2648</v>
      </c>
      <c r="E397" s="80" t="s">
        <v>2641</v>
      </c>
      <c r="F397" s="80" t="s">
        <v>2374</v>
      </c>
      <c r="G397" s="80" t="s">
        <v>2692</v>
      </c>
      <c r="H397" s="79">
        <v>3</v>
      </c>
      <c r="I397" s="79">
        <v>2502.81</v>
      </c>
      <c r="J397" s="79">
        <v>7508.43</v>
      </c>
    </row>
    <row r="398" spans="1:10" ht="15" thickBot="1">
      <c r="A398" s="98">
        <v>45082</v>
      </c>
      <c r="B398" s="80" t="s">
        <v>2687</v>
      </c>
      <c r="C398" s="80" t="s">
        <v>2656</v>
      </c>
      <c r="D398" s="80" t="s">
        <v>2648</v>
      </c>
      <c r="E398" s="80" t="s">
        <v>2641</v>
      </c>
      <c r="F398" s="80" t="s">
        <v>2373</v>
      </c>
      <c r="G398" s="80" t="s">
        <v>2697</v>
      </c>
      <c r="H398" s="79">
        <v>7</v>
      </c>
      <c r="I398" s="79">
        <v>3721.37</v>
      </c>
      <c r="J398" s="79">
        <v>26049.59</v>
      </c>
    </row>
    <row r="399" spans="1:10" ht="15" thickBot="1">
      <c r="A399" s="98" t="s">
        <v>2566</v>
      </c>
      <c r="B399" s="80" t="s">
        <v>2685</v>
      </c>
      <c r="C399" s="80" t="s">
        <v>2654</v>
      </c>
      <c r="D399" s="80" t="s">
        <v>2646</v>
      </c>
      <c r="E399" s="80" t="s">
        <v>2642</v>
      </c>
      <c r="F399" s="80" t="s">
        <v>2373</v>
      </c>
      <c r="G399" s="80" t="s">
        <v>2703</v>
      </c>
      <c r="H399" s="79">
        <v>2</v>
      </c>
      <c r="I399" s="79">
        <v>3719.83</v>
      </c>
      <c r="J399" s="79">
        <v>7439.66</v>
      </c>
    </row>
    <row r="400" spans="1:10" ht="15" thickBot="1">
      <c r="A400" s="98">
        <v>45148</v>
      </c>
      <c r="B400" s="80" t="s">
        <v>2680</v>
      </c>
      <c r="C400" s="80" t="s">
        <v>2659</v>
      </c>
      <c r="D400" s="80" t="s">
        <v>2647</v>
      </c>
      <c r="E400" s="80" t="s">
        <v>2643</v>
      </c>
      <c r="F400" s="80" t="s">
        <v>2372</v>
      </c>
      <c r="G400" s="80" t="s">
        <v>2690</v>
      </c>
      <c r="H400" s="79">
        <v>19</v>
      </c>
      <c r="I400" s="79">
        <v>2862.47</v>
      </c>
      <c r="J400" s="79">
        <v>54386.93</v>
      </c>
    </row>
    <row r="401" spans="1:10" ht="15" thickBot="1">
      <c r="A401" s="98" t="s">
        <v>2580</v>
      </c>
      <c r="B401" s="80" t="s">
        <v>2682</v>
      </c>
      <c r="C401" s="80" t="s">
        <v>2651</v>
      </c>
      <c r="D401" s="80" t="s">
        <v>2646</v>
      </c>
      <c r="E401" s="80" t="s">
        <v>2642</v>
      </c>
      <c r="F401" s="80" t="s">
        <v>2374</v>
      </c>
      <c r="G401" s="80" t="s">
        <v>2689</v>
      </c>
      <c r="H401" s="79">
        <v>5</v>
      </c>
      <c r="I401" s="79">
        <v>4715.05</v>
      </c>
      <c r="J401" s="79">
        <v>23575.25</v>
      </c>
    </row>
    <row r="402" spans="1:10" ht="15" thickBot="1">
      <c r="A402" s="98" t="s">
        <v>2581</v>
      </c>
      <c r="B402" s="80" t="s">
        <v>2680</v>
      </c>
      <c r="C402" s="80" t="s">
        <v>2652</v>
      </c>
      <c r="D402" s="80" t="s">
        <v>2647</v>
      </c>
      <c r="E402" s="80" t="s">
        <v>2643</v>
      </c>
      <c r="F402" s="80" t="s">
        <v>2661</v>
      </c>
      <c r="G402" s="80" t="s">
        <v>2696</v>
      </c>
      <c r="H402" s="79">
        <v>11</v>
      </c>
      <c r="I402" s="79">
        <v>3314</v>
      </c>
      <c r="J402" s="79">
        <v>36454</v>
      </c>
    </row>
    <row r="403" spans="1:10" ht="15" thickBot="1">
      <c r="A403" s="98">
        <v>45174</v>
      </c>
      <c r="B403" s="80" t="s">
        <v>2683</v>
      </c>
      <c r="C403" s="80" t="s">
        <v>2649</v>
      </c>
      <c r="D403" s="80" t="s">
        <v>2645</v>
      </c>
      <c r="E403" s="80" t="s">
        <v>2642</v>
      </c>
      <c r="F403" s="80" t="s">
        <v>2373</v>
      </c>
      <c r="G403" s="80" t="s">
        <v>2688</v>
      </c>
      <c r="H403" s="79">
        <v>3</v>
      </c>
      <c r="I403" s="79">
        <v>4146.75</v>
      </c>
      <c r="J403" s="79">
        <v>12440.25</v>
      </c>
    </row>
    <row r="404" spans="1:10" ht="15" thickBot="1">
      <c r="A404" s="98">
        <v>45054</v>
      </c>
      <c r="B404" s="80" t="s">
        <v>2685</v>
      </c>
      <c r="C404" s="80" t="s">
        <v>2650</v>
      </c>
      <c r="D404" s="80" t="s">
        <v>2646</v>
      </c>
      <c r="E404" s="80" t="s">
        <v>2642</v>
      </c>
      <c r="F404" s="80" t="s">
        <v>2370</v>
      </c>
      <c r="G404" s="80" t="s">
        <v>2702</v>
      </c>
      <c r="H404" s="79">
        <v>4</v>
      </c>
      <c r="I404" s="79">
        <v>4062.52</v>
      </c>
      <c r="J404" s="79">
        <v>16250.08</v>
      </c>
    </row>
    <row r="405" spans="1:10" ht="15" thickBot="1">
      <c r="A405" s="98">
        <v>45141</v>
      </c>
      <c r="B405" s="80" t="s">
        <v>2685</v>
      </c>
      <c r="C405" s="80" t="s">
        <v>2655</v>
      </c>
      <c r="D405" s="80" t="s">
        <v>2645</v>
      </c>
      <c r="E405" s="80" t="s">
        <v>2642</v>
      </c>
      <c r="F405" s="80" t="s">
        <v>2370</v>
      </c>
      <c r="G405" s="80" t="s">
        <v>2702</v>
      </c>
      <c r="H405" s="79">
        <v>4</v>
      </c>
      <c r="I405" s="79">
        <v>3022.21</v>
      </c>
      <c r="J405" s="79">
        <v>12088.84</v>
      </c>
    </row>
    <row r="406" spans="1:10" ht="15" thickBot="1">
      <c r="A406" s="98">
        <v>45019</v>
      </c>
      <c r="B406" s="80" t="s">
        <v>2680</v>
      </c>
      <c r="C406" s="80" t="s">
        <v>2659</v>
      </c>
      <c r="D406" s="80" t="s">
        <v>2647</v>
      </c>
      <c r="E406" s="80" t="s">
        <v>2643</v>
      </c>
      <c r="F406" s="80" t="s">
        <v>2661</v>
      </c>
      <c r="G406" s="80" t="s">
        <v>2695</v>
      </c>
      <c r="H406" s="79">
        <v>7</v>
      </c>
      <c r="I406" s="79">
        <v>217.04</v>
      </c>
      <c r="J406" s="79">
        <v>1519.28</v>
      </c>
    </row>
    <row r="407" spans="1:10" ht="15" thickBot="1">
      <c r="A407" s="98">
        <v>45115</v>
      </c>
      <c r="B407" s="80" t="s">
        <v>2685</v>
      </c>
      <c r="C407" s="80" t="s">
        <v>2655</v>
      </c>
      <c r="D407" s="80" t="s">
        <v>2645</v>
      </c>
      <c r="E407" s="80" t="s">
        <v>2642</v>
      </c>
      <c r="F407" s="80" t="s">
        <v>2661</v>
      </c>
      <c r="G407" s="80" t="s">
        <v>2695</v>
      </c>
      <c r="H407" s="79">
        <v>2</v>
      </c>
      <c r="I407" s="79">
        <v>4883.5600000000004</v>
      </c>
      <c r="J407" s="79">
        <v>9767.1200000000008</v>
      </c>
    </row>
    <row r="408" spans="1:10" ht="15" thickBot="1">
      <c r="A408" s="98" t="s">
        <v>2434</v>
      </c>
      <c r="B408" s="80" t="s">
        <v>2687</v>
      </c>
      <c r="C408" s="80" t="s">
        <v>2657</v>
      </c>
      <c r="D408" s="80" t="s">
        <v>2648</v>
      </c>
      <c r="E408" s="80" t="s">
        <v>2641</v>
      </c>
      <c r="F408" s="80" t="s">
        <v>2370</v>
      </c>
      <c r="G408" s="80" t="s">
        <v>2701</v>
      </c>
      <c r="H408" s="79">
        <v>16</v>
      </c>
      <c r="I408" s="79">
        <v>2015.76</v>
      </c>
      <c r="J408" s="79">
        <v>32252.16</v>
      </c>
    </row>
    <row r="409" spans="1:10" ht="15" thickBot="1">
      <c r="A409" s="98">
        <v>45236</v>
      </c>
      <c r="B409" s="80" t="s">
        <v>2686</v>
      </c>
      <c r="C409" s="80" t="s">
        <v>2658</v>
      </c>
      <c r="D409" s="80" t="s">
        <v>2645</v>
      </c>
      <c r="E409" s="80" t="s">
        <v>2642</v>
      </c>
      <c r="F409" s="80" t="s">
        <v>2661</v>
      </c>
      <c r="G409" s="80" t="s">
        <v>2691</v>
      </c>
      <c r="H409" s="79">
        <v>1</v>
      </c>
      <c r="I409" s="79">
        <v>2777.22</v>
      </c>
      <c r="J409" s="79">
        <v>2777.22</v>
      </c>
    </row>
    <row r="410" spans="1:10" ht="15" thickBot="1">
      <c r="A410" s="98" t="s">
        <v>2533</v>
      </c>
      <c r="B410" s="80" t="s">
        <v>2679</v>
      </c>
      <c r="C410" s="80" t="s">
        <v>2658</v>
      </c>
      <c r="D410" s="80" t="s">
        <v>2645</v>
      </c>
      <c r="E410" s="80" t="s">
        <v>2642</v>
      </c>
      <c r="F410" s="80" t="s">
        <v>2373</v>
      </c>
      <c r="G410" s="80" t="s">
        <v>2697</v>
      </c>
      <c r="H410" s="79">
        <v>13</v>
      </c>
      <c r="I410" s="79">
        <v>4318.62</v>
      </c>
      <c r="J410" s="79">
        <v>56142.06</v>
      </c>
    </row>
    <row r="411" spans="1:10" ht="15" thickBot="1">
      <c r="A411" s="98" t="s">
        <v>2517</v>
      </c>
      <c r="B411" s="80" t="s">
        <v>2687</v>
      </c>
      <c r="C411" s="80" t="s">
        <v>2653</v>
      </c>
      <c r="D411" s="80" t="s">
        <v>2644</v>
      </c>
      <c r="E411" s="80" t="s">
        <v>2641</v>
      </c>
      <c r="F411" s="80" t="s">
        <v>2370</v>
      </c>
      <c r="G411" s="80" t="s">
        <v>2701</v>
      </c>
      <c r="H411" s="79">
        <v>15</v>
      </c>
      <c r="I411" s="79">
        <v>3225.2</v>
      </c>
      <c r="J411" s="79">
        <v>48378</v>
      </c>
    </row>
    <row r="412" spans="1:10" ht="15" thickBot="1">
      <c r="A412" s="98" t="s">
        <v>2528</v>
      </c>
      <c r="B412" s="80" t="s">
        <v>2683</v>
      </c>
      <c r="C412" s="80" t="s">
        <v>2653</v>
      </c>
      <c r="D412" s="80" t="s">
        <v>2644</v>
      </c>
      <c r="E412" s="80" t="s">
        <v>2641</v>
      </c>
      <c r="F412" s="80" t="s">
        <v>2370</v>
      </c>
      <c r="G412" s="80" t="s">
        <v>2701</v>
      </c>
      <c r="H412" s="79">
        <v>9</v>
      </c>
      <c r="I412" s="79">
        <v>631.99</v>
      </c>
      <c r="J412" s="79">
        <v>5687.91</v>
      </c>
    </row>
    <row r="413" spans="1:10" ht="15" thickBot="1">
      <c r="A413" s="98">
        <v>45051</v>
      </c>
      <c r="B413" s="80" t="s">
        <v>2681</v>
      </c>
      <c r="C413" s="80" t="s">
        <v>2659</v>
      </c>
      <c r="D413" s="80" t="s">
        <v>2647</v>
      </c>
      <c r="E413" s="80" t="s">
        <v>2643</v>
      </c>
      <c r="F413" s="80" t="s">
        <v>2374</v>
      </c>
      <c r="G413" s="80" t="s">
        <v>2700</v>
      </c>
      <c r="H413" s="79">
        <v>16</v>
      </c>
      <c r="I413" s="79">
        <v>981</v>
      </c>
      <c r="J413" s="79">
        <v>15696</v>
      </c>
    </row>
    <row r="414" spans="1:10" ht="15" thickBot="1">
      <c r="A414" s="98">
        <v>45266</v>
      </c>
      <c r="B414" s="80" t="s">
        <v>2686</v>
      </c>
      <c r="C414" s="80" t="s">
        <v>2656</v>
      </c>
      <c r="D414" s="80" t="s">
        <v>2648</v>
      </c>
      <c r="E414" s="80" t="s">
        <v>2641</v>
      </c>
      <c r="F414" s="80" t="s">
        <v>2370</v>
      </c>
      <c r="G414" s="80" t="s">
        <v>1336</v>
      </c>
      <c r="H414" s="79">
        <v>14</v>
      </c>
      <c r="I414" s="79">
        <v>1049.21</v>
      </c>
      <c r="J414" s="79">
        <v>14688.94</v>
      </c>
    </row>
    <row r="415" spans="1:10" ht="15" thickBot="1">
      <c r="A415" s="98" t="s">
        <v>2566</v>
      </c>
      <c r="B415" s="80" t="s">
        <v>2687</v>
      </c>
      <c r="C415" s="80" t="s">
        <v>2654</v>
      </c>
      <c r="D415" s="80" t="s">
        <v>2646</v>
      </c>
      <c r="E415" s="80" t="s">
        <v>2642</v>
      </c>
      <c r="F415" s="80" t="s">
        <v>2373</v>
      </c>
      <c r="G415" s="80" t="s">
        <v>2688</v>
      </c>
      <c r="H415" s="79">
        <v>3</v>
      </c>
      <c r="I415" s="79">
        <v>3276.84</v>
      </c>
      <c r="J415" s="79">
        <v>9830.52</v>
      </c>
    </row>
    <row r="416" spans="1:10" ht="15" thickBot="1">
      <c r="A416" s="98">
        <v>45207</v>
      </c>
      <c r="B416" s="80" t="s">
        <v>2681</v>
      </c>
      <c r="C416" s="80" t="s">
        <v>2392</v>
      </c>
      <c r="D416" s="80" t="s">
        <v>2644</v>
      </c>
      <c r="E416" s="80" t="s">
        <v>2641</v>
      </c>
      <c r="F416" s="80" t="s">
        <v>2370</v>
      </c>
      <c r="G416" s="80" t="s">
        <v>1335</v>
      </c>
      <c r="H416" s="79">
        <v>10</v>
      </c>
      <c r="I416" s="79">
        <v>1693.46</v>
      </c>
      <c r="J416" s="79">
        <v>16934.599999999999</v>
      </c>
    </row>
    <row r="417" spans="1:10" ht="15" thickBot="1">
      <c r="A417" s="98" t="s">
        <v>2593</v>
      </c>
      <c r="B417" s="80" t="s">
        <v>2686</v>
      </c>
      <c r="C417" s="80" t="s">
        <v>2652</v>
      </c>
      <c r="D417" s="80" t="s">
        <v>2647</v>
      </c>
      <c r="E417" s="80" t="s">
        <v>2643</v>
      </c>
      <c r="F417" s="80" t="s">
        <v>2374</v>
      </c>
      <c r="G417" s="80" t="s">
        <v>2700</v>
      </c>
      <c r="H417" s="79">
        <v>15</v>
      </c>
      <c r="I417" s="79">
        <v>1790.58</v>
      </c>
      <c r="J417" s="79">
        <v>26858.7</v>
      </c>
    </row>
    <row r="418" spans="1:10" ht="15" thickBot="1">
      <c r="A418" s="98" t="s">
        <v>2672</v>
      </c>
      <c r="B418" s="80" t="s">
        <v>2682</v>
      </c>
      <c r="C418" s="80" t="s">
        <v>2656</v>
      </c>
      <c r="D418" s="80" t="s">
        <v>2648</v>
      </c>
      <c r="E418" s="80" t="s">
        <v>2641</v>
      </c>
      <c r="F418" s="80" t="s">
        <v>2373</v>
      </c>
      <c r="G418" s="80" t="s">
        <v>2697</v>
      </c>
      <c r="H418" s="79">
        <v>16</v>
      </c>
      <c r="I418" s="79">
        <v>1018.83</v>
      </c>
      <c r="J418" s="79">
        <v>16301.28</v>
      </c>
    </row>
    <row r="419" spans="1:10" ht="15" thickBot="1">
      <c r="A419" s="98">
        <v>45109</v>
      </c>
      <c r="B419" s="80" t="s">
        <v>2683</v>
      </c>
      <c r="C419" s="80" t="s">
        <v>2655</v>
      </c>
      <c r="D419" s="80" t="s">
        <v>2645</v>
      </c>
      <c r="E419" s="80" t="s">
        <v>2642</v>
      </c>
      <c r="F419" s="80" t="s">
        <v>2370</v>
      </c>
      <c r="G419" s="80" t="s">
        <v>2702</v>
      </c>
      <c r="H419" s="79">
        <v>6</v>
      </c>
      <c r="I419" s="79">
        <v>1246.5899999999999</v>
      </c>
      <c r="J419" s="79">
        <v>7479.54</v>
      </c>
    </row>
    <row r="420" spans="1:10" ht="15" thickBot="1">
      <c r="A420" s="98" t="s">
        <v>2484</v>
      </c>
      <c r="B420" s="80" t="s">
        <v>2685</v>
      </c>
      <c r="C420" s="80" t="s">
        <v>2654</v>
      </c>
      <c r="D420" s="80" t="s">
        <v>2646</v>
      </c>
      <c r="E420" s="80" t="s">
        <v>2642</v>
      </c>
      <c r="F420" s="80" t="s">
        <v>2661</v>
      </c>
      <c r="G420" s="80" t="s">
        <v>2696</v>
      </c>
      <c r="H420" s="79">
        <v>14</v>
      </c>
      <c r="I420" s="79">
        <v>859.79</v>
      </c>
      <c r="J420" s="79">
        <v>12037.06</v>
      </c>
    </row>
    <row r="421" spans="1:10" ht="15" thickBot="1">
      <c r="A421" s="98">
        <v>45180</v>
      </c>
      <c r="B421" s="80" t="s">
        <v>2678</v>
      </c>
      <c r="C421" s="80" t="s">
        <v>2652</v>
      </c>
      <c r="D421" s="80" t="s">
        <v>2647</v>
      </c>
      <c r="E421" s="80" t="s">
        <v>2643</v>
      </c>
      <c r="F421" s="80" t="s">
        <v>2372</v>
      </c>
      <c r="G421" s="80" t="s">
        <v>2693</v>
      </c>
      <c r="H421" s="79">
        <v>12</v>
      </c>
      <c r="I421" s="79">
        <v>149.16</v>
      </c>
      <c r="J421" s="79">
        <v>1789.92</v>
      </c>
    </row>
    <row r="422" spans="1:10" ht="15" thickBot="1">
      <c r="A422" s="98" t="s">
        <v>2438</v>
      </c>
      <c r="B422" s="80" t="s">
        <v>2682</v>
      </c>
      <c r="C422" s="80" t="s">
        <v>2653</v>
      </c>
      <c r="D422" s="80" t="s">
        <v>2644</v>
      </c>
      <c r="E422" s="80" t="s">
        <v>2641</v>
      </c>
      <c r="F422" s="80" t="s">
        <v>2373</v>
      </c>
      <c r="G422" s="80" t="s">
        <v>2697</v>
      </c>
      <c r="H422" s="79">
        <v>20</v>
      </c>
      <c r="I422" s="79">
        <v>1108.83</v>
      </c>
      <c r="J422" s="79">
        <v>22176.6</v>
      </c>
    </row>
    <row r="423" spans="1:10" ht="15" thickBot="1">
      <c r="A423" s="98" t="s">
        <v>2469</v>
      </c>
      <c r="B423" s="80" t="s">
        <v>2683</v>
      </c>
      <c r="C423" s="80" t="s">
        <v>2658</v>
      </c>
      <c r="D423" s="80" t="s">
        <v>2645</v>
      </c>
      <c r="E423" s="80" t="s">
        <v>2642</v>
      </c>
      <c r="F423" s="80" t="s">
        <v>2373</v>
      </c>
      <c r="G423" s="80" t="s">
        <v>2705</v>
      </c>
      <c r="H423" s="79">
        <v>8</v>
      </c>
      <c r="I423" s="79">
        <v>3628.65</v>
      </c>
      <c r="J423" s="79">
        <v>29029.200000000001</v>
      </c>
    </row>
    <row r="424" spans="1:10" ht="15" thickBot="1">
      <c r="A424" s="98" t="s">
        <v>2519</v>
      </c>
      <c r="B424" s="80" t="s">
        <v>2678</v>
      </c>
      <c r="C424" s="80" t="s">
        <v>2656</v>
      </c>
      <c r="D424" s="80" t="s">
        <v>2648</v>
      </c>
      <c r="E424" s="80" t="s">
        <v>2641</v>
      </c>
      <c r="F424" s="80" t="s">
        <v>2372</v>
      </c>
      <c r="G424" s="80" t="s">
        <v>2693</v>
      </c>
      <c r="H424" s="79">
        <v>19</v>
      </c>
      <c r="I424" s="79">
        <v>1317.72</v>
      </c>
      <c r="J424" s="79">
        <v>25036.68</v>
      </c>
    </row>
    <row r="425" spans="1:10" ht="15" thickBot="1">
      <c r="A425" s="98" t="s">
        <v>2582</v>
      </c>
      <c r="B425" s="80" t="s">
        <v>2682</v>
      </c>
      <c r="C425" s="80" t="s">
        <v>2659</v>
      </c>
      <c r="D425" s="80" t="s">
        <v>2647</v>
      </c>
      <c r="E425" s="80" t="s">
        <v>2643</v>
      </c>
      <c r="F425" s="80" t="s">
        <v>2372</v>
      </c>
      <c r="G425" s="80" t="s">
        <v>2699</v>
      </c>
      <c r="H425" s="79">
        <v>16</v>
      </c>
      <c r="I425" s="79">
        <v>2995.01</v>
      </c>
      <c r="J425" s="79">
        <v>47920.160000000003</v>
      </c>
    </row>
    <row r="426" spans="1:10" ht="15" thickBot="1">
      <c r="A426" s="98" t="s">
        <v>2564</v>
      </c>
      <c r="B426" s="80" t="s">
        <v>2683</v>
      </c>
      <c r="C426" s="80" t="s">
        <v>2393</v>
      </c>
      <c r="D426" s="80" t="s">
        <v>2644</v>
      </c>
      <c r="E426" s="80" t="s">
        <v>2641</v>
      </c>
      <c r="F426" s="80" t="s">
        <v>2373</v>
      </c>
      <c r="G426" s="80" t="s">
        <v>2705</v>
      </c>
      <c r="H426" s="79">
        <v>11</v>
      </c>
      <c r="I426" s="79">
        <v>2318.96</v>
      </c>
      <c r="J426" s="79">
        <v>25508.560000000001</v>
      </c>
    </row>
    <row r="427" spans="1:10" ht="15" thickBot="1">
      <c r="A427" s="98" t="s">
        <v>2435</v>
      </c>
      <c r="B427" s="80" t="s">
        <v>2680</v>
      </c>
      <c r="C427" s="80" t="s">
        <v>2649</v>
      </c>
      <c r="D427" s="80" t="s">
        <v>2645</v>
      </c>
      <c r="E427" s="80" t="s">
        <v>2642</v>
      </c>
      <c r="F427" s="80" t="s">
        <v>2661</v>
      </c>
      <c r="G427" s="80" t="s">
        <v>2696</v>
      </c>
      <c r="H427" s="79">
        <v>14</v>
      </c>
      <c r="I427" s="79">
        <v>4935.3</v>
      </c>
      <c r="J427" s="79">
        <v>69094.2</v>
      </c>
    </row>
    <row r="428" spans="1:10" ht="15" thickBot="1">
      <c r="A428" s="98" t="s">
        <v>2458</v>
      </c>
      <c r="B428" s="80" t="s">
        <v>2686</v>
      </c>
      <c r="C428" s="80" t="s">
        <v>2655</v>
      </c>
      <c r="D428" s="80" t="s">
        <v>2645</v>
      </c>
      <c r="E428" s="80" t="s">
        <v>2642</v>
      </c>
      <c r="F428" s="80" t="s">
        <v>2373</v>
      </c>
      <c r="G428" s="80" t="s">
        <v>2697</v>
      </c>
      <c r="H428" s="79">
        <v>1</v>
      </c>
      <c r="I428" s="79">
        <v>1083.26</v>
      </c>
      <c r="J428" s="79">
        <v>1083.26</v>
      </c>
    </row>
    <row r="429" spans="1:10" ht="15" thickBot="1">
      <c r="A429" s="98">
        <v>45056</v>
      </c>
      <c r="B429" s="80" t="s">
        <v>2685</v>
      </c>
      <c r="C429" s="80" t="s">
        <v>2651</v>
      </c>
      <c r="D429" s="80" t="s">
        <v>2646</v>
      </c>
      <c r="E429" s="80" t="s">
        <v>2642</v>
      </c>
      <c r="F429" s="80" t="s">
        <v>2373</v>
      </c>
      <c r="G429" s="80" t="s">
        <v>2697</v>
      </c>
      <c r="H429" s="79">
        <v>11</v>
      </c>
      <c r="I429" s="79">
        <v>1673.53</v>
      </c>
      <c r="J429" s="79">
        <v>18408.830000000002</v>
      </c>
    </row>
    <row r="430" spans="1:10" ht="15" thickBot="1">
      <c r="A430" s="98" t="s">
        <v>2556</v>
      </c>
      <c r="B430" s="80" t="s">
        <v>2681</v>
      </c>
      <c r="C430" s="80" t="s">
        <v>2656</v>
      </c>
      <c r="D430" s="80" t="s">
        <v>2648</v>
      </c>
      <c r="E430" s="80" t="s">
        <v>2641</v>
      </c>
      <c r="F430" s="80" t="s">
        <v>2370</v>
      </c>
      <c r="G430" s="80" t="s">
        <v>2701</v>
      </c>
      <c r="H430" s="79">
        <v>10</v>
      </c>
      <c r="I430" s="79">
        <v>3829.38</v>
      </c>
      <c r="J430" s="79">
        <v>38293.800000000003</v>
      </c>
    </row>
    <row r="431" spans="1:10" ht="15" thickBot="1">
      <c r="A431" s="98" t="s">
        <v>2667</v>
      </c>
      <c r="B431" s="80" t="s">
        <v>2685</v>
      </c>
      <c r="C431" s="80" t="s">
        <v>2658</v>
      </c>
      <c r="D431" s="80" t="s">
        <v>2645</v>
      </c>
      <c r="E431" s="80" t="s">
        <v>2642</v>
      </c>
      <c r="F431" s="80" t="s">
        <v>2372</v>
      </c>
      <c r="G431" s="80" t="s">
        <v>2690</v>
      </c>
      <c r="H431" s="79">
        <v>6</v>
      </c>
      <c r="I431" s="79">
        <v>470.36</v>
      </c>
      <c r="J431" s="79">
        <v>2822.16</v>
      </c>
    </row>
    <row r="432" spans="1:10" ht="15" thickBot="1">
      <c r="A432" s="98" t="s">
        <v>2493</v>
      </c>
      <c r="B432" s="80" t="s">
        <v>2687</v>
      </c>
      <c r="C432" s="80" t="s">
        <v>2393</v>
      </c>
      <c r="D432" s="80" t="s">
        <v>2644</v>
      </c>
      <c r="E432" s="80" t="s">
        <v>2641</v>
      </c>
      <c r="F432" s="80" t="s">
        <v>2370</v>
      </c>
      <c r="G432" s="80" t="s">
        <v>2701</v>
      </c>
      <c r="H432" s="79">
        <v>12</v>
      </c>
      <c r="I432" s="79">
        <v>2489.14</v>
      </c>
      <c r="J432" s="79">
        <v>29869.68</v>
      </c>
    </row>
    <row r="433" spans="1:10" ht="15" thickBot="1">
      <c r="A433" s="98" t="s">
        <v>2673</v>
      </c>
      <c r="B433" s="80" t="s">
        <v>2685</v>
      </c>
      <c r="C433" s="80" t="s">
        <v>2658</v>
      </c>
      <c r="D433" s="80" t="s">
        <v>2645</v>
      </c>
      <c r="E433" s="80" t="s">
        <v>2642</v>
      </c>
      <c r="F433" s="80" t="s">
        <v>2372</v>
      </c>
      <c r="G433" s="80" t="s">
        <v>2699</v>
      </c>
      <c r="H433" s="79">
        <v>14</v>
      </c>
      <c r="I433" s="79">
        <v>1729.16</v>
      </c>
      <c r="J433" s="79">
        <v>24208.240000000002</v>
      </c>
    </row>
    <row r="434" spans="1:10" ht="15" thickBot="1">
      <c r="A434" s="98" t="s">
        <v>2579</v>
      </c>
      <c r="B434" s="80" t="s">
        <v>2678</v>
      </c>
      <c r="C434" s="80" t="s">
        <v>2650</v>
      </c>
      <c r="D434" s="80" t="s">
        <v>2646</v>
      </c>
      <c r="E434" s="80" t="s">
        <v>2642</v>
      </c>
      <c r="F434" s="80" t="s">
        <v>2374</v>
      </c>
      <c r="G434" s="80" t="s">
        <v>2700</v>
      </c>
      <c r="H434" s="79">
        <v>2</v>
      </c>
      <c r="I434" s="79">
        <v>2789.92</v>
      </c>
      <c r="J434" s="79">
        <v>5579.84</v>
      </c>
    </row>
    <row r="435" spans="1:10" ht="15" thickBot="1">
      <c r="A435" s="98" t="s">
        <v>2621</v>
      </c>
      <c r="B435" s="80" t="s">
        <v>2684</v>
      </c>
      <c r="C435" s="80" t="s">
        <v>2649</v>
      </c>
      <c r="D435" s="80" t="s">
        <v>2645</v>
      </c>
      <c r="E435" s="80" t="s">
        <v>2642</v>
      </c>
      <c r="F435" s="80" t="s">
        <v>2372</v>
      </c>
      <c r="G435" s="80" t="s">
        <v>2690</v>
      </c>
      <c r="H435" s="79">
        <v>17</v>
      </c>
      <c r="I435" s="79">
        <v>3244.79</v>
      </c>
      <c r="J435" s="79">
        <v>55161.43</v>
      </c>
    </row>
    <row r="436" spans="1:10" ht="15" thickBot="1">
      <c r="A436" s="98" t="s">
        <v>2549</v>
      </c>
      <c r="B436" s="80" t="s">
        <v>2680</v>
      </c>
      <c r="C436" s="80" t="s">
        <v>2655</v>
      </c>
      <c r="D436" s="80" t="s">
        <v>2645</v>
      </c>
      <c r="E436" s="80" t="s">
        <v>2642</v>
      </c>
      <c r="F436" s="80" t="s">
        <v>2374</v>
      </c>
      <c r="G436" s="80" t="s">
        <v>2689</v>
      </c>
      <c r="H436" s="79">
        <v>20</v>
      </c>
      <c r="I436" s="79">
        <v>2155.17</v>
      </c>
      <c r="J436" s="79">
        <v>43103.4</v>
      </c>
    </row>
    <row r="437" spans="1:10" ht="15" thickBot="1">
      <c r="A437" s="98">
        <v>45145</v>
      </c>
      <c r="B437" s="80" t="s">
        <v>2686</v>
      </c>
      <c r="C437" s="80" t="s">
        <v>2654</v>
      </c>
      <c r="D437" s="80" t="s">
        <v>2646</v>
      </c>
      <c r="E437" s="80" t="s">
        <v>2642</v>
      </c>
      <c r="F437" s="80" t="s">
        <v>2661</v>
      </c>
      <c r="G437" s="80" t="s">
        <v>2696</v>
      </c>
      <c r="H437" s="79">
        <v>13</v>
      </c>
      <c r="I437" s="79">
        <v>2526.1999999999998</v>
      </c>
      <c r="J437" s="79">
        <v>32840.6</v>
      </c>
    </row>
    <row r="438" spans="1:10" ht="15" thickBot="1">
      <c r="A438" s="98" t="s">
        <v>2522</v>
      </c>
      <c r="B438" s="80" t="s">
        <v>2684</v>
      </c>
      <c r="C438" s="80" t="s">
        <v>2651</v>
      </c>
      <c r="D438" s="80" t="s">
        <v>2646</v>
      </c>
      <c r="E438" s="80" t="s">
        <v>2642</v>
      </c>
      <c r="F438" s="80" t="s">
        <v>2370</v>
      </c>
      <c r="G438" s="80" t="s">
        <v>1336</v>
      </c>
      <c r="H438" s="79">
        <v>11</v>
      </c>
      <c r="I438" s="79">
        <v>1995.21</v>
      </c>
      <c r="J438" s="79">
        <v>21947.31</v>
      </c>
    </row>
    <row r="439" spans="1:10" ht="15" thickBot="1">
      <c r="A439" s="98">
        <v>45232</v>
      </c>
      <c r="B439" s="80" t="s">
        <v>2686</v>
      </c>
      <c r="C439" s="80" t="s">
        <v>2656</v>
      </c>
      <c r="D439" s="80" t="s">
        <v>2648</v>
      </c>
      <c r="E439" s="80" t="s">
        <v>2641</v>
      </c>
      <c r="F439" s="80" t="s">
        <v>2374</v>
      </c>
      <c r="G439" s="80" t="s">
        <v>2689</v>
      </c>
      <c r="H439" s="79">
        <v>4</v>
      </c>
      <c r="I439" s="79">
        <v>1139.74</v>
      </c>
      <c r="J439" s="79">
        <v>4558.96</v>
      </c>
    </row>
    <row r="440" spans="1:10" ht="15" thickBot="1">
      <c r="A440" s="98" t="s">
        <v>2479</v>
      </c>
      <c r="B440" s="80" t="s">
        <v>2687</v>
      </c>
      <c r="C440" s="80" t="s">
        <v>2659</v>
      </c>
      <c r="D440" s="80" t="s">
        <v>2647</v>
      </c>
      <c r="E440" s="80" t="s">
        <v>2643</v>
      </c>
      <c r="F440" s="80" t="s">
        <v>2373</v>
      </c>
      <c r="G440" s="80" t="s">
        <v>2703</v>
      </c>
      <c r="H440" s="79">
        <v>4</v>
      </c>
      <c r="I440" s="79">
        <v>3015.93</v>
      </c>
      <c r="J440" s="79">
        <v>12063.72</v>
      </c>
    </row>
    <row r="441" spans="1:10" ht="15" thickBot="1">
      <c r="A441" s="98">
        <v>45203</v>
      </c>
      <c r="B441" s="80" t="s">
        <v>2686</v>
      </c>
      <c r="C441" s="80" t="s">
        <v>2650</v>
      </c>
      <c r="D441" s="80" t="s">
        <v>2646</v>
      </c>
      <c r="E441" s="80" t="s">
        <v>2642</v>
      </c>
      <c r="F441" s="80" t="s">
        <v>2372</v>
      </c>
      <c r="G441" s="80" t="s">
        <v>2693</v>
      </c>
      <c r="H441" s="79">
        <v>4</v>
      </c>
      <c r="I441" s="79">
        <v>3831.39</v>
      </c>
      <c r="J441" s="79">
        <v>15325.56</v>
      </c>
    </row>
    <row r="442" spans="1:10" ht="15" thickBot="1">
      <c r="A442" s="98" t="s">
        <v>2518</v>
      </c>
      <c r="B442" s="80" t="s">
        <v>2678</v>
      </c>
      <c r="C442" s="80" t="s">
        <v>2392</v>
      </c>
      <c r="D442" s="80" t="s">
        <v>2644</v>
      </c>
      <c r="E442" s="80" t="s">
        <v>2641</v>
      </c>
      <c r="F442" s="80" t="s">
        <v>2372</v>
      </c>
      <c r="G442" s="80" t="s">
        <v>2690</v>
      </c>
      <c r="H442" s="79">
        <v>7</v>
      </c>
      <c r="I442" s="79">
        <v>105.05</v>
      </c>
      <c r="J442" s="79">
        <v>735.35</v>
      </c>
    </row>
    <row r="443" spans="1:10" ht="15" thickBot="1">
      <c r="A443" s="98">
        <v>44992</v>
      </c>
      <c r="B443" s="80" t="s">
        <v>2679</v>
      </c>
      <c r="C443" s="80" t="s">
        <v>2656</v>
      </c>
      <c r="D443" s="80" t="s">
        <v>2648</v>
      </c>
      <c r="E443" s="80" t="s">
        <v>2641</v>
      </c>
      <c r="F443" s="80" t="s">
        <v>2374</v>
      </c>
      <c r="G443" s="80" t="s">
        <v>2700</v>
      </c>
      <c r="H443" s="79">
        <v>11</v>
      </c>
      <c r="I443" s="79">
        <v>2416.1799999999998</v>
      </c>
      <c r="J443" s="79">
        <v>26577.98</v>
      </c>
    </row>
    <row r="444" spans="1:10" ht="15" thickBot="1">
      <c r="A444" s="98" t="s">
        <v>2457</v>
      </c>
      <c r="B444" s="80" t="s">
        <v>2683</v>
      </c>
      <c r="C444" s="80" t="s">
        <v>2656</v>
      </c>
      <c r="D444" s="80" t="s">
        <v>2648</v>
      </c>
      <c r="E444" s="80" t="s">
        <v>2641</v>
      </c>
      <c r="F444" s="80" t="s">
        <v>2374</v>
      </c>
      <c r="G444" s="80" t="s">
        <v>2700</v>
      </c>
      <c r="H444" s="79">
        <v>1</v>
      </c>
      <c r="I444" s="79">
        <v>549.14</v>
      </c>
      <c r="J444" s="79">
        <v>549.14</v>
      </c>
    </row>
    <row r="445" spans="1:10" ht="15" thickBot="1">
      <c r="A445" s="98" t="s">
        <v>2575</v>
      </c>
      <c r="B445" s="80" t="s">
        <v>2683</v>
      </c>
      <c r="C445" s="80" t="s">
        <v>2651</v>
      </c>
      <c r="D445" s="80" t="s">
        <v>2646</v>
      </c>
      <c r="E445" s="80" t="s">
        <v>2642</v>
      </c>
      <c r="F445" s="80" t="s">
        <v>2661</v>
      </c>
      <c r="G445" s="80" t="s">
        <v>2691</v>
      </c>
      <c r="H445" s="79">
        <v>10</v>
      </c>
      <c r="I445" s="79">
        <v>3771.5</v>
      </c>
      <c r="J445" s="79">
        <v>37715</v>
      </c>
    </row>
    <row r="446" spans="1:10" ht="15" thickBot="1">
      <c r="A446" s="98" t="s">
        <v>2438</v>
      </c>
      <c r="B446" s="80" t="s">
        <v>2679</v>
      </c>
      <c r="C446" s="80" t="s">
        <v>2656</v>
      </c>
      <c r="D446" s="80" t="s">
        <v>2648</v>
      </c>
      <c r="E446" s="80" t="s">
        <v>2641</v>
      </c>
      <c r="F446" s="80" t="s">
        <v>2373</v>
      </c>
      <c r="G446" s="80" t="s">
        <v>2703</v>
      </c>
      <c r="H446" s="79">
        <v>13</v>
      </c>
      <c r="I446" s="79">
        <v>956.49</v>
      </c>
      <c r="J446" s="79">
        <v>12434.37</v>
      </c>
    </row>
    <row r="447" spans="1:10" ht="15" thickBot="1">
      <c r="A447" s="98" t="s">
        <v>2584</v>
      </c>
      <c r="B447" s="80" t="s">
        <v>2680</v>
      </c>
      <c r="C447" s="80" t="s">
        <v>2658</v>
      </c>
      <c r="D447" s="80" t="s">
        <v>2645</v>
      </c>
      <c r="E447" s="80" t="s">
        <v>2642</v>
      </c>
      <c r="F447" s="80" t="s">
        <v>2373</v>
      </c>
      <c r="G447" s="80" t="s">
        <v>2697</v>
      </c>
      <c r="H447" s="79">
        <v>19</v>
      </c>
      <c r="I447" s="79">
        <v>3575.92</v>
      </c>
      <c r="J447" s="79">
        <v>67942.48</v>
      </c>
    </row>
    <row r="448" spans="1:10" ht="15" thickBot="1">
      <c r="A448" s="98" t="s">
        <v>2446</v>
      </c>
      <c r="B448" s="80" t="s">
        <v>2686</v>
      </c>
      <c r="C448" s="80" t="s">
        <v>2396</v>
      </c>
      <c r="D448" s="80" t="s">
        <v>2648</v>
      </c>
      <c r="E448" s="80" t="s">
        <v>2641</v>
      </c>
      <c r="F448" s="80" t="s">
        <v>2370</v>
      </c>
      <c r="G448" s="80" t="s">
        <v>2701</v>
      </c>
      <c r="H448" s="79">
        <v>8</v>
      </c>
      <c r="I448" s="79">
        <v>3971.12</v>
      </c>
      <c r="J448" s="79">
        <v>31768.959999999999</v>
      </c>
    </row>
    <row r="449" spans="1:10" ht="15" thickBot="1">
      <c r="A449" s="98" t="s">
        <v>2528</v>
      </c>
      <c r="B449" s="80" t="s">
        <v>2682</v>
      </c>
      <c r="C449" s="80" t="s">
        <v>2651</v>
      </c>
      <c r="D449" s="80" t="s">
        <v>2646</v>
      </c>
      <c r="E449" s="80" t="s">
        <v>2642</v>
      </c>
      <c r="F449" s="80" t="s">
        <v>2372</v>
      </c>
      <c r="G449" s="80" t="s">
        <v>2694</v>
      </c>
      <c r="H449" s="79">
        <v>14</v>
      </c>
      <c r="I449" s="79">
        <v>3631.62</v>
      </c>
      <c r="J449" s="79">
        <v>50842.68</v>
      </c>
    </row>
    <row r="450" spans="1:10" ht="15" thickBot="1">
      <c r="A450" s="98">
        <v>44931</v>
      </c>
      <c r="B450" s="80" t="s">
        <v>2685</v>
      </c>
      <c r="C450" s="80" t="s">
        <v>2653</v>
      </c>
      <c r="D450" s="80" t="s">
        <v>2644</v>
      </c>
      <c r="E450" s="80" t="s">
        <v>2641</v>
      </c>
      <c r="F450" s="80" t="s">
        <v>2373</v>
      </c>
      <c r="G450" s="80" t="s">
        <v>2697</v>
      </c>
      <c r="H450" s="79">
        <v>18</v>
      </c>
      <c r="I450" s="79">
        <v>2589.64</v>
      </c>
      <c r="J450" s="79">
        <v>46613.52</v>
      </c>
    </row>
    <row r="451" spans="1:10" ht="15" thickBot="1">
      <c r="A451" s="98">
        <v>45025</v>
      </c>
      <c r="B451" s="80" t="s">
        <v>2682</v>
      </c>
      <c r="C451" s="80" t="s">
        <v>2396</v>
      </c>
      <c r="D451" s="80" t="s">
        <v>2648</v>
      </c>
      <c r="E451" s="80" t="s">
        <v>2641</v>
      </c>
      <c r="F451" s="80" t="s">
        <v>2661</v>
      </c>
      <c r="G451" s="80" t="s">
        <v>2696</v>
      </c>
      <c r="H451" s="79">
        <v>2</v>
      </c>
      <c r="I451" s="79">
        <v>2713.34</v>
      </c>
      <c r="J451" s="79">
        <v>5426.68</v>
      </c>
    </row>
    <row r="452" spans="1:10" ht="15" thickBot="1">
      <c r="A452" s="98" t="s">
        <v>2669</v>
      </c>
      <c r="B452" s="80" t="s">
        <v>2683</v>
      </c>
      <c r="C452" s="80" t="s">
        <v>2658</v>
      </c>
      <c r="D452" s="80" t="s">
        <v>2645</v>
      </c>
      <c r="E452" s="80" t="s">
        <v>2642</v>
      </c>
      <c r="F452" s="80" t="s">
        <v>2374</v>
      </c>
      <c r="G452" s="80" t="s">
        <v>2689</v>
      </c>
      <c r="H452" s="79">
        <v>17</v>
      </c>
      <c r="I452" s="79">
        <v>1294.56</v>
      </c>
      <c r="J452" s="79">
        <v>22007.52</v>
      </c>
    </row>
    <row r="453" spans="1:10" ht="15" thickBot="1">
      <c r="A453" s="98" t="s">
        <v>2461</v>
      </c>
      <c r="B453" s="80" t="s">
        <v>2682</v>
      </c>
      <c r="C453" s="80" t="s">
        <v>2652</v>
      </c>
      <c r="D453" s="80" t="s">
        <v>2647</v>
      </c>
      <c r="E453" s="80" t="s">
        <v>2643</v>
      </c>
      <c r="F453" s="80" t="s">
        <v>2374</v>
      </c>
      <c r="G453" s="80" t="s">
        <v>2689</v>
      </c>
      <c r="H453" s="79">
        <v>8</v>
      </c>
      <c r="I453" s="79">
        <v>1171.53</v>
      </c>
      <c r="J453" s="79">
        <v>9372.24</v>
      </c>
    </row>
    <row r="454" spans="1:10" ht="15" thickBot="1">
      <c r="A454" s="98" t="s">
        <v>2501</v>
      </c>
      <c r="B454" s="80" t="s">
        <v>2685</v>
      </c>
      <c r="C454" s="80" t="s">
        <v>2660</v>
      </c>
      <c r="D454" s="80" t="s">
        <v>2647</v>
      </c>
      <c r="E454" s="80" t="s">
        <v>2643</v>
      </c>
      <c r="F454" s="80" t="s">
        <v>2372</v>
      </c>
      <c r="G454" s="80" t="s">
        <v>2699</v>
      </c>
      <c r="H454" s="79">
        <v>15</v>
      </c>
      <c r="I454" s="79">
        <v>4060.63</v>
      </c>
      <c r="J454" s="79">
        <v>60909.45</v>
      </c>
    </row>
    <row r="455" spans="1:10" ht="15" thickBot="1">
      <c r="A455" s="98">
        <v>45264</v>
      </c>
      <c r="B455" s="80" t="s">
        <v>2683</v>
      </c>
      <c r="C455" s="80" t="s">
        <v>2653</v>
      </c>
      <c r="D455" s="80" t="s">
        <v>2644</v>
      </c>
      <c r="E455" s="80" t="s">
        <v>2641</v>
      </c>
      <c r="F455" s="80" t="s">
        <v>2661</v>
      </c>
      <c r="G455" s="80" t="s">
        <v>2691</v>
      </c>
      <c r="H455" s="79">
        <v>4</v>
      </c>
      <c r="I455" s="79">
        <v>442.23</v>
      </c>
      <c r="J455" s="79">
        <v>1768.92</v>
      </c>
    </row>
    <row r="456" spans="1:10" ht="15" thickBot="1">
      <c r="A456" s="98" t="s">
        <v>2435</v>
      </c>
      <c r="B456" s="80" t="s">
        <v>2685</v>
      </c>
      <c r="C456" s="80" t="s">
        <v>2653</v>
      </c>
      <c r="D456" s="80" t="s">
        <v>2644</v>
      </c>
      <c r="E456" s="80" t="s">
        <v>2641</v>
      </c>
      <c r="F456" s="80" t="s">
        <v>2374</v>
      </c>
      <c r="G456" s="80" t="s">
        <v>2692</v>
      </c>
      <c r="H456" s="79">
        <v>5</v>
      </c>
      <c r="I456" s="79">
        <v>3725.36</v>
      </c>
      <c r="J456" s="79">
        <v>18626.8</v>
      </c>
    </row>
    <row r="457" spans="1:10" ht="15" thickBot="1">
      <c r="A457" s="98" t="s">
        <v>2582</v>
      </c>
      <c r="B457" s="80" t="s">
        <v>2685</v>
      </c>
      <c r="C457" s="80" t="s">
        <v>2656</v>
      </c>
      <c r="D457" s="80" t="s">
        <v>2648</v>
      </c>
      <c r="E457" s="80" t="s">
        <v>2641</v>
      </c>
      <c r="F457" s="80" t="s">
        <v>2372</v>
      </c>
      <c r="G457" s="80" t="s">
        <v>2690</v>
      </c>
      <c r="H457" s="79">
        <v>20</v>
      </c>
      <c r="I457" s="79">
        <v>2974.89</v>
      </c>
      <c r="J457" s="79">
        <v>59497.8</v>
      </c>
    </row>
    <row r="458" spans="1:10" ht="15" thickBot="1">
      <c r="A458" s="98">
        <v>44992</v>
      </c>
      <c r="B458" s="80" t="s">
        <v>2685</v>
      </c>
      <c r="C458" s="80" t="s">
        <v>2651</v>
      </c>
      <c r="D458" s="80" t="s">
        <v>2646</v>
      </c>
      <c r="E458" s="80" t="s">
        <v>2642</v>
      </c>
      <c r="F458" s="80" t="s">
        <v>2372</v>
      </c>
      <c r="G458" s="80" t="s">
        <v>2699</v>
      </c>
      <c r="H458" s="79">
        <v>1</v>
      </c>
      <c r="I458" s="79">
        <v>1717.6</v>
      </c>
      <c r="J458" s="79">
        <v>1717.6</v>
      </c>
    </row>
    <row r="459" spans="1:10" ht="15" thickBot="1">
      <c r="A459" s="98">
        <v>45080</v>
      </c>
      <c r="B459" s="80" t="s">
        <v>2684</v>
      </c>
      <c r="C459" s="80" t="s">
        <v>2652</v>
      </c>
      <c r="D459" s="80" t="s">
        <v>2647</v>
      </c>
      <c r="E459" s="80" t="s">
        <v>2643</v>
      </c>
      <c r="F459" s="80" t="s">
        <v>2373</v>
      </c>
      <c r="G459" s="80" t="s">
        <v>2705</v>
      </c>
      <c r="H459" s="79">
        <v>5</v>
      </c>
      <c r="I459" s="79">
        <v>2849.56</v>
      </c>
      <c r="J459" s="79">
        <v>14247.8</v>
      </c>
    </row>
    <row r="460" spans="1:10" ht="15" thickBot="1">
      <c r="A460" s="98" t="s">
        <v>2667</v>
      </c>
      <c r="B460" s="80" t="s">
        <v>2678</v>
      </c>
      <c r="C460" s="80" t="s">
        <v>2396</v>
      </c>
      <c r="D460" s="80" t="s">
        <v>2648</v>
      </c>
      <c r="E460" s="80" t="s">
        <v>2641</v>
      </c>
      <c r="F460" s="80" t="s">
        <v>2374</v>
      </c>
      <c r="G460" s="80" t="s">
        <v>2689</v>
      </c>
      <c r="H460" s="79">
        <v>18</v>
      </c>
      <c r="I460" s="79">
        <v>4150.7700000000004</v>
      </c>
      <c r="J460" s="79">
        <v>74713.86</v>
      </c>
    </row>
    <row r="461" spans="1:10" ht="15" thickBot="1">
      <c r="A461" s="98" t="s">
        <v>2460</v>
      </c>
      <c r="B461" s="80" t="s">
        <v>2684</v>
      </c>
      <c r="C461" s="80" t="s">
        <v>2393</v>
      </c>
      <c r="D461" s="80" t="s">
        <v>2644</v>
      </c>
      <c r="E461" s="80" t="s">
        <v>2641</v>
      </c>
      <c r="F461" s="80" t="s">
        <v>2374</v>
      </c>
      <c r="G461" s="80" t="s">
        <v>2704</v>
      </c>
      <c r="H461" s="79">
        <v>18</v>
      </c>
      <c r="I461" s="79">
        <v>2490.14</v>
      </c>
      <c r="J461" s="79">
        <v>44822.52</v>
      </c>
    </row>
    <row r="462" spans="1:10" ht="15" thickBot="1">
      <c r="A462" s="98" t="s">
        <v>2545</v>
      </c>
      <c r="B462" s="80" t="s">
        <v>2684</v>
      </c>
      <c r="C462" s="80" t="s">
        <v>2659</v>
      </c>
      <c r="D462" s="80" t="s">
        <v>2647</v>
      </c>
      <c r="E462" s="80" t="s">
        <v>2643</v>
      </c>
      <c r="F462" s="80" t="s">
        <v>2374</v>
      </c>
      <c r="G462" s="80" t="s">
        <v>2689</v>
      </c>
      <c r="H462" s="79">
        <v>17</v>
      </c>
      <c r="I462" s="79">
        <v>500.54</v>
      </c>
      <c r="J462" s="79">
        <v>8509.18</v>
      </c>
    </row>
    <row r="463" spans="1:10" ht="15" thickBot="1">
      <c r="A463" s="98" t="s">
        <v>2627</v>
      </c>
      <c r="B463" s="80" t="s">
        <v>2687</v>
      </c>
      <c r="C463" s="80" t="s">
        <v>2660</v>
      </c>
      <c r="D463" s="80" t="s">
        <v>2647</v>
      </c>
      <c r="E463" s="80" t="s">
        <v>2643</v>
      </c>
      <c r="F463" s="80" t="s">
        <v>2370</v>
      </c>
      <c r="G463" s="80" t="s">
        <v>2701</v>
      </c>
      <c r="H463" s="79">
        <v>19</v>
      </c>
      <c r="I463" s="79">
        <v>1067.94</v>
      </c>
      <c r="J463" s="79">
        <v>20290.86</v>
      </c>
    </row>
    <row r="464" spans="1:10" ht="15" thickBot="1">
      <c r="A464" s="98" t="s">
        <v>2487</v>
      </c>
      <c r="B464" s="80" t="s">
        <v>2687</v>
      </c>
      <c r="C464" s="80" t="s">
        <v>2655</v>
      </c>
      <c r="D464" s="80" t="s">
        <v>2645</v>
      </c>
      <c r="E464" s="80" t="s">
        <v>2642</v>
      </c>
      <c r="F464" s="80" t="s">
        <v>2661</v>
      </c>
      <c r="G464" s="80" t="s">
        <v>2696</v>
      </c>
      <c r="H464" s="79">
        <v>7</v>
      </c>
      <c r="I464" s="79">
        <v>2264.87</v>
      </c>
      <c r="J464" s="79">
        <v>15854.09</v>
      </c>
    </row>
    <row r="465" spans="1:10" ht="15" thickBot="1">
      <c r="A465" s="98">
        <v>45262</v>
      </c>
      <c r="B465" s="80" t="s">
        <v>2679</v>
      </c>
      <c r="C465" s="80" t="s">
        <v>2659</v>
      </c>
      <c r="D465" s="80" t="s">
        <v>2647</v>
      </c>
      <c r="E465" s="80" t="s">
        <v>2643</v>
      </c>
      <c r="F465" s="80" t="s">
        <v>2661</v>
      </c>
      <c r="G465" s="80" t="s">
        <v>2695</v>
      </c>
      <c r="H465" s="79">
        <v>18</v>
      </c>
      <c r="I465" s="79">
        <v>2584.0700000000002</v>
      </c>
      <c r="J465" s="79">
        <v>46513.26</v>
      </c>
    </row>
    <row r="466" spans="1:10" ht="15" thickBot="1">
      <c r="A466" s="98" t="s">
        <v>2627</v>
      </c>
      <c r="B466" s="80" t="s">
        <v>2687</v>
      </c>
      <c r="C466" s="80" t="s">
        <v>2658</v>
      </c>
      <c r="D466" s="80" t="s">
        <v>2645</v>
      </c>
      <c r="E466" s="80" t="s">
        <v>2642</v>
      </c>
      <c r="F466" s="80" t="s">
        <v>2374</v>
      </c>
      <c r="G466" s="80" t="s">
        <v>2700</v>
      </c>
      <c r="H466" s="79">
        <v>13</v>
      </c>
      <c r="I466" s="79">
        <v>4621.13</v>
      </c>
      <c r="J466" s="79">
        <v>60074.69</v>
      </c>
    </row>
    <row r="467" spans="1:10" ht="15" thickBot="1">
      <c r="A467" s="98">
        <v>45269</v>
      </c>
      <c r="B467" s="80" t="s">
        <v>2679</v>
      </c>
      <c r="C467" s="80" t="s">
        <v>2659</v>
      </c>
      <c r="D467" s="80" t="s">
        <v>2647</v>
      </c>
      <c r="E467" s="80" t="s">
        <v>2643</v>
      </c>
      <c r="F467" s="80" t="s">
        <v>2661</v>
      </c>
      <c r="G467" s="80" t="s">
        <v>2691</v>
      </c>
      <c r="H467" s="79">
        <v>16</v>
      </c>
      <c r="I467" s="79">
        <v>4826.2</v>
      </c>
      <c r="J467" s="79">
        <v>77219.199999999997</v>
      </c>
    </row>
    <row r="468" spans="1:10" ht="15" thickBot="1">
      <c r="A468" s="98">
        <v>45052</v>
      </c>
      <c r="B468" s="80" t="s">
        <v>2682</v>
      </c>
      <c r="C468" s="80" t="s">
        <v>2649</v>
      </c>
      <c r="D468" s="80" t="s">
        <v>2645</v>
      </c>
      <c r="E468" s="80" t="s">
        <v>2642</v>
      </c>
      <c r="F468" s="80" t="s">
        <v>2370</v>
      </c>
      <c r="G468" s="80" t="s">
        <v>1336</v>
      </c>
      <c r="H468" s="79">
        <v>5</v>
      </c>
      <c r="I468" s="79">
        <v>4773.5600000000004</v>
      </c>
      <c r="J468" s="79">
        <v>23867.8</v>
      </c>
    </row>
    <row r="469" spans="1:10" ht="15" thickBot="1">
      <c r="A469" s="98" t="s">
        <v>2632</v>
      </c>
      <c r="B469" s="80" t="s">
        <v>2687</v>
      </c>
      <c r="C469" s="80" t="s">
        <v>2651</v>
      </c>
      <c r="D469" s="80" t="s">
        <v>2646</v>
      </c>
      <c r="E469" s="80" t="s">
        <v>2642</v>
      </c>
      <c r="F469" s="80" t="s">
        <v>2661</v>
      </c>
      <c r="G469" s="80" t="s">
        <v>2696</v>
      </c>
      <c r="H469" s="79">
        <v>9</v>
      </c>
      <c r="I469" s="79">
        <v>3220.44</v>
      </c>
      <c r="J469" s="79">
        <v>28983.96</v>
      </c>
    </row>
    <row r="470" spans="1:10" ht="15" thickBot="1">
      <c r="A470" s="98" t="s">
        <v>2489</v>
      </c>
      <c r="B470" s="80" t="s">
        <v>2687</v>
      </c>
      <c r="C470" s="80" t="s">
        <v>2650</v>
      </c>
      <c r="D470" s="80" t="s">
        <v>2646</v>
      </c>
      <c r="E470" s="80" t="s">
        <v>2642</v>
      </c>
      <c r="F470" s="80" t="s">
        <v>2661</v>
      </c>
      <c r="G470" s="80" t="s">
        <v>2695</v>
      </c>
      <c r="H470" s="79">
        <v>15</v>
      </c>
      <c r="I470" s="79">
        <v>4945.79</v>
      </c>
      <c r="J470" s="79">
        <v>74186.850000000006</v>
      </c>
    </row>
    <row r="471" spans="1:10" ht="15" thickBot="1">
      <c r="A471" s="98">
        <v>45140</v>
      </c>
      <c r="B471" s="80" t="s">
        <v>2681</v>
      </c>
      <c r="C471" s="80" t="s">
        <v>2654</v>
      </c>
      <c r="D471" s="80" t="s">
        <v>2646</v>
      </c>
      <c r="E471" s="80" t="s">
        <v>2642</v>
      </c>
      <c r="F471" s="80" t="s">
        <v>2372</v>
      </c>
      <c r="G471" s="80" t="s">
        <v>2699</v>
      </c>
      <c r="H471" s="79">
        <v>14</v>
      </c>
      <c r="I471" s="79">
        <v>2355.56</v>
      </c>
      <c r="J471" s="79">
        <v>32977.839999999997</v>
      </c>
    </row>
    <row r="472" spans="1:10" ht="15" thickBot="1">
      <c r="A472" s="98" t="s">
        <v>2666</v>
      </c>
      <c r="B472" s="80" t="s">
        <v>2679</v>
      </c>
      <c r="C472" s="80" t="s">
        <v>2656</v>
      </c>
      <c r="D472" s="80" t="s">
        <v>2648</v>
      </c>
      <c r="E472" s="80" t="s">
        <v>2641</v>
      </c>
      <c r="F472" s="80" t="s">
        <v>2372</v>
      </c>
      <c r="G472" s="80" t="s">
        <v>2693</v>
      </c>
      <c r="H472" s="79">
        <v>4</v>
      </c>
      <c r="I472" s="79">
        <v>4412.41</v>
      </c>
      <c r="J472" s="79">
        <v>17649.64</v>
      </c>
    </row>
    <row r="473" spans="1:10" ht="15" thickBot="1">
      <c r="A473" s="98" t="s">
        <v>2472</v>
      </c>
      <c r="B473" s="80" t="s">
        <v>2685</v>
      </c>
      <c r="C473" s="80" t="s">
        <v>2660</v>
      </c>
      <c r="D473" s="80" t="s">
        <v>2647</v>
      </c>
      <c r="E473" s="80" t="s">
        <v>2643</v>
      </c>
      <c r="F473" s="80" t="s">
        <v>2374</v>
      </c>
      <c r="G473" s="80" t="s">
        <v>2700</v>
      </c>
      <c r="H473" s="79">
        <v>5</v>
      </c>
      <c r="I473" s="79">
        <v>355.6</v>
      </c>
      <c r="J473" s="79">
        <v>1778</v>
      </c>
    </row>
    <row r="474" spans="1:10" ht="15" thickBot="1">
      <c r="A474" s="98" t="s">
        <v>2596</v>
      </c>
      <c r="B474" s="80" t="s">
        <v>2681</v>
      </c>
      <c r="C474" s="80" t="s">
        <v>2653</v>
      </c>
      <c r="D474" s="80" t="s">
        <v>2644</v>
      </c>
      <c r="E474" s="80" t="s">
        <v>2641</v>
      </c>
      <c r="F474" s="80" t="s">
        <v>2370</v>
      </c>
      <c r="G474" s="80" t="s">
        <v>1335</v>
      </c>
      <c r="H474" s="79">
        <v>12</v>
      </c>
      <c r="I474" s="79">
        <v>4405.1899999999996</v>
      </c>
      <c r="J474" s="79">
        <v>52862.28</v>
      </c>
    </row>
    <row r="475" spans="1:10" ht="15" thickBot="1">
      <c r="A475" s="98" t="s">
        <v>2634</v>
      </c>
      <c r="B475" s="80" t="s">
        <v>2679</v>
      </c>
      <c r="C475" s="80" t="s">
        <v>2652</v>
      </c>
      <c r="D475" s="80" t="s">
        <v>2647</v>
      </c>
      <c r="E475" s="80" t="s">
        <v>2643</v>
      </c>
      <c r="F475" s="80" t="s">
        <v>2661</v>
      </c>
      <c r="G475" s="80" t="s">
        <v>2695</v>
      </c>
      <c r="H475" s="79">
        <v>9</v>
      </c>
      <c r="I475" s="79">
        <v>877.89</v>
      </c>
      <c r="J475" s="79">
        <v>7901.01</v>
      </c>
    </row>
    <row r="476" spans="1:10" ht="15" thickBot="1">
      <c r="A476" s="98" t="s">
        <v>2486</v>
      </c>
      <c r="B476" s="80" t="s">
        <v>2679</v>
      </c>
      <c r="C476" s="80" t="s">
        <v>2657</v>
      </c>
      <c r="D476" s="80" t="s">
        <v>2648</v>
      </c>
      <c r="E476" s="80" t="s">
        <v>2641</v>
      </c>
      <c r="F476" s="80" t="s">
        <v>2372</v>
      </c>
      <c r="G476" s="80" t="s">
        <v>2693</v>
      </c>
      <c r="H476" s="79">
        <v>1</v>
      </c>
      <c r="I476" s="79">
        <v>2970.66</v>
      </c>
      <c r="J476" s="79">
        <v>2970.66</v>
      </c>
    </row>
    <row r="477" spans="1:10" ht="15" thickBot="1">
      <c r="A477" s="98" t="s">
        <v>2582</v>
      </c>
      <c r="B477" s="80" t="s">
        <v>2684</v>
      </c>
      <c r="C477" s="80" t="s">
        <v>2653</v>
      </c>
      <c r="D477" s="80" t="s">
        <v>2644</v>
      </c>
      <c r="E477" s="80" t="s">
        <v>2641</v>
      </c>
      <c r="F477" s="80" t="s">
        <v>2373</v>
      </c>
      <c r="G477" s="80" t="s">
        <v>2703</v>
      </c>
      <c r="H477" s="79">
        <v>15</v>
      </c>
      <c r="I477" s="79">
        <v>3579.98</v>
      </c>
      <c r="J477" s="79">
        <v>53699.7</v>
      </c>
    </row>
    <row r="478" spans="1:10" ht="15" thickBot="1">
      <c r="A478" s="98">
        <v>45056</v>
      </c>
      <c r="B478" s="80" t="s">
        <v>2687</v>
      </c>
      <c r="C478" s="80" t="s">
        <v>2657</v>
      </c>
      <c r="D478" s="80" t="s">
        <v>2648</v>
      </c>
      <c r="E478" s="80" t="s">
        <v>2641</v>
      </c>
      <c r="F478" s="80" t="s">
        <v>2370</v>
      </c>
      <c r="G478" s="80" t="s">
        <v>1336</v>
      </c>
      <c r="H478" s="79">
        <v>9</v>
      </c>
      <c r="I478" s="79">
        <v>1605.02</v>
      </c>
      <c r="J478" s="79">
        <v>14445.18</v>
      </c>
    </row>
    <row r="479" spans="1:10" ht="15" thickBot="1">
      <c r="A479" s="98" t="s">
        <v>2456</v>
      </c>
      <c r="B479" s="80" t="s">
        <v>2678</v>
      </c>
      <c r="C479" s="80" t="s">
        <v>2650</v>
      </c>
      <c r="D479" s="80" t="s">
        <v>2646</v>
      </c>
      <c r="E479" s="80" t="s">
        <v>2642</v>
      </c>
      <c r="F479" s="80" t="s">
        <v>2370</v>
      </c>
      <c r="G479" s="80" t="s">
        <v>1335</v>
      </c>
      <c r="H479" s="79">
        <v>12</v>
      </c>
      <c r="I479" s="79">
        <v>1982.64</v>
      </c>
      <c r="J479" s="79">
        <v>23791.68</v>
      </c>
    </row>
    <row r="480" spans="1:10" ht="15" thickBot="1">
      <c r="A480" s="98" t="s">
        <v>2589</v>
      </c>
      <c r="B480" s="80" t="s">
        <v>2686</v>
      </c>
      <c r="C480" s="80" t="s">
        <v>2657</v>
      </c>
      <c r="D480" s="80" t="s">
        <v>2648</v>
      </c>
      <c r="E480" s="80" t="s">
        <v>2641</v>
      </c>
      <c r="F480" s="80" t="s">
        <v>2374</v>
      </c>
      <c r="G480" s="80" t="s">
        <v>2704</v>
      </c>
      <c r="H480" s="79">
        <v>20</v>
      </c>
      <c r="I480" s="79">
        <v>3195.53</v>
      </c>
      <c r="J480" s="79">
        <v>63910.6</v>
      </c>
    </row>
    <row r="481" spans="1:10" ht="15" thickBot="1">
      <c r="A481" s="98">
        <v>45176</v>
      </c>
      <c r="B481" s="80" t="s">
        <v>2687</v>
      </c>
      <c r="C481" s="80" t="s">
        <v>2656</v>
      </c>
      <c r="D481" s="80" t="s">
        <v>2648</v>
      </c>
      <c r="E481" s="80" t="s">
        <v>2641</v>
      </c>
      <c r="F481" s="80" t="s">
        <v>2661</v>
      </c>
      <c r="G481" s="80" t="s">
        <v>2696</v>
      </c>
      <c r="H481" s="79">
        <v>20</v>
      </c>
      <c r="I481" s="79">
        <v>1580.59</v>
      </c>
      <c r="J481" s="79">
        <v>31611.8</v>
      </c>
    </row>
    <row r="482" spans="1:10" ht="15" thickBot="1">
      <c r="A482" s="98" t="s">
        <v>2482</v>
      </c>
      <c r="B482" s="80" t="s">
        <v>2681</v>
      </c>
      <c r="C482" s="80" t="s">
        <v>2655</v>
      </c>
      <c r="D482" s="80" t="s">
        <v>2645</v>
      </c>
      <c r="E482" s="80" t="s">
        <v>2642</v>
      </c>
      <c r="F482" s="80" t="s">
        <v>2370</v>
      </c>
      <c r="G482" s="80" t="s">
        <v>2701</v>
      </c>
      <c r="H482" s="79">
        <v>6</v>
      </c>
      <c r="I482" s="79">
        <v>809.57</v>
      </c>
      <c r="J482" s="79">
        <v>4857.42</v>
      </c>
    </row>
    <row r="483" spans="1:10" ht="15" thickBot="1">
      <c r="A483" s="98" t="s">
        <v>2467</v>
      </c>
      <c r="B483" s="80" t="s">
        <v>2684</v>
      </c>
      <c r="C483" s="80" t="s">
        <v>2393</v>
      </c>
      <c r="D483" s="80" t="s">
        <v>2644</v>
      </c>
      <c r="E483" s="80" t="s">
        <v>2641</v>
      </c>
      <c r="F483" s="80" t="s">
        <v>2374</v>
      </c>
      <c r="G483" s="80" t="s">
        <v>2692</v>
      </c>
      <c r="H483" s="79">
        <v>6</v>
      </c>
      <c r="I483" s="79">
        <v>1221.52</v>
      </c>
      <c r="J483" s="79">
        <v>7329.12</v>
      </c>
    </row>
    <row r="484" spans="1:10" ht="15" thickBot="1">
      <c r="A484" s="98">
        <v>45054</v>
      </c>
      <c r="B484" s="80" t="s">
        <v>2680</v>
      </c>
      <c r="C484" s="80" t="s">
        <v>2649</v>
      </c>
      <c r="D484" s="80" t="s">
        <v>2645</v>
      </c>
      <c r="E484" s="80" t="s">
        <v>2642</v>
      </c>
      <c r="F484" s="80" t="s">
        <v>2373</v>
      </c>
      <c r="G484" s="80" t="s">
        <v>2688</v>
      </c>
      <c r="H484" s="79">
        <v>4</v>
      </c>
      <c r="I484" s="79">
        <v>2457.5</v>
      </c>
      <c r="J484" s="79">
        <v>9830</v>
      </c>
    </row>
    <row r="485" spans="1:10" ht="15" thickBot="1">
      <c r="A485" s="98">
        <v>45115</v>
      </c>
      <c r="B485" s="80" t="s">
        <v>2680</v>
      </c>
      <c r="C485" s="80" t="s">
        <v>2655</v>
      </c>
      <c r="D485" s="80" t="s">
        <v>2645</v>
      </c>
      <c r="E485" s="80" t="s">
        <v>2642</v>
      </c>
      <c r="F485" s="80" t="s">
        <v>2374</v>
      </c>
      <c r="G485" s="80" t="s">
        <v>2704</v>
      </c>
      <c r="H485" s="79">
        <v>12</v>
      </c>
      <c r="I485" s="79">
        <v>2820.88</v>
      </c>
      <c r="J485" s="79">
        <v>33850.559999999998</v>
      </c>
    </row>
    <row r="486" spans="1:10" ht="15" thickBot="1">
      <c r="A486" s="98">
        <v>45143</v>
      </c>
      <c r="B486" s="80" t="s">
        <v>2686</v>
      </c>
      <c r="C486" s="80" t="s">
        <v>2392</v>
      </c>
      <c r="D486" s="80" t="s">
        <v>2644</v>
      </c>
      <c r="E486" s="80" t="s">
        <v>2641</v>
      </c>
      <c r="F486" s="80" t="s">
        <v>2374</v>
      </c>
      <c r="G486" s="80" t="s">
        <v>2689</v>
      </c>
      <c r="H486" s="79">
        <v>10</v>
      </c>
      <c r="I486" s="79">
        <v>1512.64</v>
      </c>
      <c r="J486" s="79">
        <v>15126.4</v>
      </c>
    </row>
    <row r="487" spans="1:10" ht="15" thickBot="1">
      <c r="A487" s="98" t="s">
        <v>2589</v>
      </c>
      <c r="B487" s="80" t="s">
        <v>2683</v>
      </c>
      <c r="C487" s="80" t="s">
        <v>2660</v>
      </c>
      <c r="D487" s="80" t="s">
        <v>2647</v>
      </c>
      <c r="E487" s="80" t="s">
        <v>2643</v>
      </c>
      <c r="F487" s="80" t="s">
        <v>2661</v>
      </c>
      <c r="G487" s="80" t="s">
        <v>2691</v>
      </c>
      <c r="H487" s="79">
        <v>5</v>
      </c>
      <c r="I487" s="79">
        <v>3199.14</v>
      </c>
      <c r="J487" s="79">
        <v>15995.7</v>
      </c>
    </row>
    <row r="488" spans="1:10" ht="15" thickBot="1">
      <c r="A488" s="98" t="s">
        <v>2504</v>
      </c>
      <c r="B488" s="80" t="s">
        <v>2678</v>
      </c>
      <c r="C488" s="80" t="s">
        <v>2656</v>
      </c>
      <c r="D488" s="80" t="s">
        <v>2648</v>
      </c>
      <c r="E488" s="80" t="s">
        <v>2641</v>
      </c>
      <c r="F488" s="80" t="s">
        <v>2370</v>
      </c>
      <c r="G488" s="80" t="s">
        <v>2702</v>
      </c>
      <c r="H488" s="79">
        <v>11</v>
      </c>
      <c r="I488" s="79">
        <v>4315</v>
      </c>
      <c r="J488" s="79">
        <v>47465</v>
      </c>
    </row>
    <row r="489" spans="1:10" ht="15" thickBot="1">
      <c r="A489" s="98">
        <v>45057</v>
      </c>
      <c r="B489" s="80" t="s">
        <v>2679</v>
      </c>
      <c r="C489" s="80" t="s">
        <v>2653</v>
      </c>
      <c r="D489" s="80" t="s">
        <v>2644</v>
      </c>
      <c r="E489" s="80" t="s">
        <v>2641</v>
      </c>
      <c r="F489" s="80" t="s">
        <v>2661</v>
      </c>
      <c r="G489" s="80" t="s">
        <v>2696</v>
      </c>
      <c r="H489" s="79">
        <v>9</v>
      </c>
      <c r="I489" s="79">
        <v>2118.17</v>
      </c>
      <c r="J489" s="79">
        <v>19063.53</v>
      </c>
    </row>
    <row r="490" spans="1:10" ht="15" thickBot="1">
      <c r="A490" s="98">
        <v>45017</v>
      </c>
      <c r="B490" s="80" t="s">
        <v>2687</v>
      </c>
      <c r="C490" s="80" t="s">
        <v>2660</v>
      </c>
      <c r="D490" s="80" t="s">
        <v>2647</v>
      </c>
      <c r="E490" s="80" t="s">
        <v>2643</v>
      </c>
      <c r="F490" s="80" t="s">
        <v>2374</v>
      </c>
      <c r="G490" s="80" t="s">
        <v>2692</v>
      </c>
      <c r="H490" s="79">
        <v>18</v>
      </c>
      <c r="I490" s="79">
        <v>1042.99</v>
      </c>
      <c r="J490" s="79">
        <v>18773.82</v>
      </c>
    </row>
    <row r="491" spans="1:10" ht="15" thickBot="1">
      <c r="A491" s="98" t="s">
        <v>2468</v>
      </c>
      <c r="B491" s="80" t="s">
        <v>2679</v>
      </c>
      <c r="C491" s="80" t="s">
        <v>2659</v>
      </c>
      <c r="D491" s="80" t="s">
        <v>2647</v>
      </c>
      <c r="E491" s="80" t="s">
        <v>2643</v>
      </c>
      <c r="F491" s="80" t="s">
        <v>2370</v>
      </c>
      <c r="G491" s="80" t="s">
        <v>2702</v>
      </c>
      <c r="H491" s="79">
        <v>6</v>
      </c>
      <c r="I491" s="79">
        <v>4707.38</v>
      </c>
      <c r="J491" s="79">
        <v>28244.28</v>
      </c>
    </row>
    <row r="492" spans="1:10" ht="15" thickBot="1">
      <c r="A492" s="98" t="s">
        <v>2508</v>
      </c>
      <c r="B492" s="80" t="s">
        <v>2682</v>
      </c>
      <c r="C492" s="80" t="s">
        <v>2653</v>
      </c>
      <c r="D492" s="80" t="s">
        <v>2644</v>
      </c>
      <c r="E492" s="80" t="s">
        <v>2641</v>
      </c>
      <c r="F492" s="80" t="s">
        <v>2661</v>
      </c>
      <c r="G492" s="80" t="s">
        <v>2696</v>
      </c>
      <c r="H492" s="79">
        <v>8</v>
      </c>
      <c r="I492" s="79">
        <v>360.87</v>
      </c>
      <c r="J492" s="79">
        <v>2886.96</v>
      </c>
    </row>
    <row r="493" spans="1:10" ht="15" thickBot="1">
      <c r="A493" s="98">
        <v>45140</v>
      </c>
      <c r="B493" s="80" t="s">
        <v>2681</v>
      </c>
      <c r="C493" s="80" t="s">
        <v>2650</v>
      </c>
      <c r="D493" s="80" t="s">
        <v>2646</v>
      </c>
      <c r="E493" s="80" t="s">
        <v>2642</v>
      </c>
      <c r="F493" s="80" t="s">
        <v>2374</v>
      </c>
      <c r="G493" s="80" t="s">
        <v>2700</v>
      </c>
      <c r="H493" s="79">
        <v>12</v>
      </c>
      <c r="I493" s="79">
        <v>2519.65</v>
      </c>
      <c r="J493" s="79">
        <v>30235.8</v>
      </c>
    </row>
    <row r="494" spans="1:10" ht="15" thickBot="1">
      <c r="A494" s="98">
        <v>45176</v>
      </c>
      <c r="B494" s="80" t="s">
        <v>2680</v>
      </c>
      <c r="C494" s="80" t="s">
        <v>2660</v>
      </c>
      <c r="D494" s="80" t="s">
        <v>2647</v>
      </c>
      <c r="E494" s="80" t="s">
        <v>2643</v>
      </c>
      <c r="F494" s="80" t="s">
        <v>2374</v>
      </c>
      <c r="G494" s="80" t="s">
        <v>2692</v>
      </c>
      <c r="H494" s="79">
        <v>7</v>
      </c>
      <c r="I494" s="79">
        <v>2861.67</v>
      </c>
      <c r="J494" s="79">
        <v>20031.689999999999</v>
      </c>
    </row>
    <row r="495" spans="1:10" ht="15" thickBot="1">
      <c r="A495" s="98" t="s">
        <v>2476</v>
      </c>
      <c r="B495" s="80" t="s">
        <v>2680</v>
      </c>
      <c r="C495" s="80" t="s">
        <v>2652</v>
      </c>
      <c r="D495" s="80" t="s">
        <v>2647</v>
      </c>
      <c r="E495" s="80" t="s">
        <v>2643</v>
      </c>
      <c r="F495" s="80" t="s">
        <v>2661</v>
      </c>
      <c r="G495" s="80" t="s">
        <v>2695</v>
      </c>
      <c r="H495" s="79">
        <v>11</v>
      </c>
      <c r="I495" s="79">
        <v>4896.83</v>
      </c>
      <c r="J495" s="79">
        <v>53865.13</v>
      </c>
    </row>
    <row r="496" spans="1:10" ht="15" thickBot="1">
      <c r="A496" s="98" t="s">
        <v>2627</v>
      </c>
      <c r="B496" s="80" t="s">
        <v>2679</v>
      </c>
      <c r="C496" s="80" t="s">
        <v>2656</v>
      </c>
      <c r="D496" s="80" t="s">
        <v>2648</v>
      </c>
      <c r="E496" s="80" t="s">
        <v>2641</v>
      </c>
      <c r="F496" s="80" t="s">
        <v>2370</v>
      </c>
      <c r="G496" s="80" t="s">
        <v>1336</v>
      </c>
      <c r="H496" s="79">
        <v>15</v>
      </c>
      <c r="I496" s="79">
        <v>4180.6099999999997</v>
      </c>
      <c r="J496" s="79">
        <v>62709.15</v>
      </c>
    </row>
    <row r="497" spans="1:10" ht="15" thickBot="1">
      <c r="A497" s="98">
        <v>45242</v>
      </c>
      <c r="B497" s="80" t="s">
        <v>2683</v>
      </c>
      <c r="C497" s="80" t="s">
        <v>2659</v>
      </c>
      <c r="D497" s="80" t="s">
        <v>2647</v>
      </c>
      <c r="E497" s="80" t="s">
        <v>2643</v>
      </c>
      <c r="F497" s="80" t="s">
        <v>2661</v>
      </c>
      <c r="G497" s="80" t="s">
        <v>2691</v>
      </c>
      <c r="H497" s="79">
        <v>2</v>
      </c>
      <c r="I497" s="79">
        <v>3747.71</v>
      </c>
      <c r="J497" s="79">
        <v>7495.42</v>
      </c>
    </row>
    <row r="498" spans="1:10" ht="15" thickBot="1">
      <c r="A498" s="98" t="s">
        <v>2677</v>
      </c>
      <c r="B498" s="80" t="s">
        <v>2686</v>
      </c>
      <c r="C498" s="80" t="s">
        <v>2659</v>
      </c>
      <c r="D498" s="80" t="s">
        <v>2647</v>
      </c>
      <c r="E498" s="80" t="s">
        <v>2643</v>
      </c>
      <c r="F498" s="80" t="s">
        <v>2374</v>
      </c>
      <c r="G498" s="80" t="s">
        <v>2700</v>
      </c>
      <c r="H498" s="79">
        <v>3</v>
      </c>
      <c r="I498" s="79">
        <v>2792.38</v>
      </c>
      <c r="J498" s="79">
        <v>8377.14</v>
      </c>
    </row>
    <row r="499" spans="1:10" ht="15" thickBot="1">
      <c r="A499" s="98">
        <v>45028</v>
      </c>
      <c r="B499" s="80" t="s">
        <v>2682</v>
      </c>
      <c r="C499" s="80" t="s">
        <v>2392</v>
      </c>
      <c r="D499" s="80" t="s">
        <v>2644</v>
      </c>
      <c r="E499" s="80" t="s">
        <v>2641</v>
      </c>
      <c r="F499" s="80" t="s">
        <v>2370</v>
      </c>
      <c r="G499" s="80" t="s">
        <v>1336</v>
      </c>
      <c r="H499" s="79">
        <v>17</v>
      </c>
      <c r="I499" s="79">
        <v>683.31</v>
      </c>
      <c r="J499" s="79">
        <v>11616.27</v>
      </c>
    </row>
    <row r="500" spans="1:10" ht="15" thickBot="1">
      <c r="A500" s="98">
        <v>44986</v>
      </c>
      <c r="B500" s="80" t="s">
        <v>2683</v>
      </c>
      <c r="C500" s="80" t="s">
        <v>2652</v>
      </c>
      <c r="D500" s="80" t="s">
        <v>2647</v>
      </c>
      <c r="E500" s="80" t="s">
        <v>2643</v>
      </c>
      <c r="F500" s="80" t="s">
        <v>2372</v>
      </c>
      <c r="G500" s="80" t="s">
        <v>2694</v>
      </c>
      <c r="H500" s="79">
        <v>20</v>
      </c>
      <c r="I500" s="79">
        <v>3463.6</v>
      </c>
      <c r="J500" s="79">
        <v>69272</v>
      </c>
    </row>
    <row r="501" spans="1:10" ht="15" thickBot="1">
      <c r="A501" s="98" t="s">
        <v>2451</v>
      </c>
      <c r="B501" s="80" t="s">
        <v>2681</v>
      </c>
      <c r="C501" s="80" t="s">
        <v>2649</v>
      </c>
      <c r="D501" s="80" t="s">
        <v>2645</v>
      </c>
      <c r="E501" s="80" t="s">
        <v>2642</v>
      </c>
      <c r="F501" s="80" t="s">
        <v>2374</v>
      </c>
      <c r="G501" s="80" t="s">
        <v>2704</v>
      </c>
      <c r="H501" s="79">
        <v>9</v>
      </c>
      <c r="I501" s="79">
        <v>1609.98</v>
      </c>
      <c r="J501" s="79">
        <v>14489.82</v>
      </c>
    </row>
    <row r="502" spans="1:10" ht="15" thickBot="1">
      <c r="A502" s="98">
        <v>45084</v>
      </c>
      <c r="B502" s="80" t="s">
        <v>2679</v>
      </c>
      <c r="C502" s="80" t="s">
        <v>2392</v>
      </c>
      <c r="D502" s="80" t="s">
        <v>2644</v>
      </c>
      <c r="E502" s="80" t="s">
        <v>2641</v>
      </c>
      <c r="F502" s="80" t="s">
        <v>2374</v>
      </c>
      <c r="G502" s="80" t="s">
        <v>2700</v>
      </c>
      <c r="H502" s="79">
        <v>4</v>
      </c>
      <c r="I502" s="79">
        <v>2836.34</v>
      </c>
      <c r="J502" s="79">
        <v>11345.36</v>
      </c>
    </row>
    <row r="503" spans="1:10" ht="15" thickBot="1">
      <c r="A503" s="98" t="s">
        <v>2584</v>
      </c>
      <c r="B503" s="80" t="s">
        <v>2685</v>
      </c>
      <c r="C503" s="80" t="s">
        <v>2656</v>
      </c>
      <c r="D503" s="80" t="s">
        <v>2648</v>
      </c>
      <c r="E503" s="80" t="s">
        <v>2641</v>
      </c>
      <c r="F503" s="80" t="s">
        <v>2370</v>
      </c>
      <c r="G503" s="80" t="s">
        <v>2701</v>
      </c>
      <c r="H503" s="79">
        <v>18</v>
      </c>
      <c r="I503" s="79">
        <v>3238.98</v>
      </c>
      <c r="J503" s="79">
        <v>58301.64</v>
      </c>
    </row>
    <row r="504" spans="1:10" ht="15" thickBot="1">
      <c r="A504" s="98" t="s">
        <v>2544</v>
      </c>
      <c r="B504" s="80" t="s">
        <v>2681</v>
      </c>
      <c r="C504" s="80" t="s">
        <v>2649</v>
      </c>
      <c r="D504" s="80" t="s">
        <v>2645</v>
      </c>
      <c r="E504" s="80" t="s">
        <v>2642</v>
      </c>
      <c r="F504" s="80" t="s">
        <v>2373</v>
      </c>
      <c r="G504" s="80" t="s">
        <v>2703</v>
      </c>
      <c r="H504" s="79">
        <v>20</v>
      </c>
      <c r="I504" s="79">
        <v>2791.25</v>
      </c>
      <c r="J504" s="79">
        <v>55825</v>
      </c>
    </row>
    <row r="505" spans="1:10" ht="15" thickBot="1">
      <c r="A505" s="98" t="s">
        <v>2579</v>
      </c>
      <c r="B505" s="80" t="s">
        <v>2679</v>
      </c>
      <c r="C505" s="80" t="s">
        <v>2396</v>
      </c>
      <c r="D505" s="80" t="s">
        <v>2648</v>
      </c>
      <c r="E505" s="80" t="s">
        <v>2641</v>
      </c>
      <c r="F505" s="80" t="s">
        <v>2372</v>
      </c>
      <c r="G505" s="80" t="s">
        <v>2690</v>
      </c>
      <c r="H505" s="79">
        <v>1</v>
      </c>
      <c r="I505" s="79">
        <v>3165.04</v>
      </c>
      <c r="J505" s="79">
        <v>3165.04</v>
      </c>
    </row>
    <row r="506" spans="1:10" ht="15" thickBot="1">
      <c r="A506" s="98">
        <v>45117</v>
      </c>
      <c r="B506" s="80" t="s">
        <v>2679</v>
      </c>
      <c r="C506" s="80" t="s">
        <v>2653</v>
      </c>
      <c r="D506" s="80" t="s">
        <v>2644</v>
      </c>
      <c r="E506" s="80" t="s">
        <v>2641</v>
      </c>
      <c r="F506" s="80" t="s">
        <v>2374</v>
      </c>
      <c r="G506" s="80" t="s">
        <v>2689</v>
      </c>
      <c r="H506" s="79">
        <v>14</v>
      </c>
      <c r="I506" s="79">
        <v>3414.59</v>
      </c>
      <c r="J506" s="79">
        <v>47804.26</v>
      </c>
    </row>
    <row r="507" spans="1:10" ht="15" thickBot="1">
      <c r="A507" s="98">
        <v>45240</v>
      </c>
      <c r="B507" s="80" t="s">
        <v>2684</v>
      </c>
      <c r="C507" s="80" t="s">
        <v>2393</v>
      </c>
      <c r="D507" s="80" t="s">
        <v>2644</v>
      </c>
      <c r="E507" s="80" t="s">
        <v>2641</v>
      </c>
      <c r="F507" s="80" t="s">
        <v>2370</v>
      </c>
      <c r="G507" s="80" t="s">
        <v>2701</v>
      </c>
      <c r="H507" s="79">
        <v>4</v>
      </c>
      <c r="I507" s="79">
        <v>3896.69</v>
      </c>
      <c r="J507" s="79">
        <v>15586.76</v>
      </c>
    </row>
    <row r="508" spans="1:10" ht="15" thickBot="1">
      <c r="A508" s="98" t="s">
        <v>2571</v>
      </c>
      <c r="B508" s="80" t="s">
        <v>2681</v>
      </c>
      <c r="C508" s="80" t="s">
        <v>2651</v>
      </c>
      <c r="D508" s="80" t="s">
        <v>2646</v>
      </c>
      <c r="E508" s="80" t="s">
        <v>2642</v>
      </c>
      <c r="F508" s="80" t="s">
        <v>2372</v>
      </c>
      <c r="G508" s="80" t="s">
        <v>2699</v>
      </c>
      <c r="H508" s="79">
        <v>5</v>
      </c>
      <c r="I508" s="79">
        <v>2024.36</v>
      </c>
      <c r="J508" s="79">
        <v>10121.799999999999</v>
      </c>
    </row>
    <row r="509" spans="1:10" ht="15" thickBot="1">
      <c r="A509" s="98">
        <v>45207</v>
      </c>
      <c r="B509" s="80" t="s">
        <v>2682</v>
      </c>
      <c r="C509" s="80" t="s">
        <v>2660</v>
      </c>
      <c r="D509" s="80" t="s">
        <v>2647</v>
      </c>
      <c r="E509" s="80" t="s">
        <v>2643</v>
      </c>
      <c r="F509" s="80" t="s">
        <v>2372</v>
      </c>
      <c r="G509" s="80" t="s">
        <v>2690</v>
      </c>
      <c r="H509" s="79">
        <v>17</v>
      </c>
      <c r="I509" s="79">
        <v>102.62</v>
      </c>
      <c r="J509" s="79">
        <v>1744.54</v>
      </c>
    </row>
    <row r="510" spans="1:10" ht="15" thickBot="1">
      <c r="A510" s="98" t="s">
        <v>2535</v>
      </c>
      <c r="B510" s="80" t="s">
        <v>2681</v>
      </c>
      <c r="C510" s="80" t="s">
        <v>2396</v>
      </c>
      <c r="D510" s="80" t="s">
        <v>2648</v>
      </c>
      <c r="E510" s="80" t="s">
        <v>2641</v>
      </c>
      <c r="F510" s="80" t="s">
        <v>2374</v>
      </c>
      <c r="G510" s="80" t="s">
        <v>2689</v>
      </c>
      <c r="H510" s="79">
        <v>7</v>
      </c>
      <c r="I510" s="79">
        <v>146.52000000000001</v>
      </c>
      <c r="J510" s="79">
        <v>1025.6400000000001</v>
      </c>
    </row>
    <row r="511" spans="1:10" ht="15" thickBot="1">
      <c r="A511" s="98" t="s">
        <v>2551</v>
      </c>
      <c r="B511" s="80" t="s">
        <v>2682</v>
      </c>
      <c r="C511" s="80" t="s">
        <v>2660</v>
      </c>
      <c r="D511" s="80" t="s">
        <v>2647</v>
      </c>
      <c r="E511" s="80" t="s">
        <v>2643</v>
      </c>
      <c r="F511" s="80" t="s">
        <v>2373</v>
      </c>
      <c r="G511" s="80" t="s">
        <v>2703</v>
      </c>
      <c r="H511" s="79">
        <v>2</v>
      </c>
      <c r="I511" s="79">
        <v>4248</v>
      </c>
      <c r="J511" s="79">
        <v>8496</v>
      </c>
    </row>
    <row r="512" spans="1:10" ht="15" thickBot="1">
      <c r="A512" s="98">
        <v>44929</v>
      </c>
      <c r="B512" s="80" t="s">
        <v>2687</v>
      </c>
      <c r="C512" s="80" t="s">
        <v>2653</v>
      </c>
      <c r="D512" s="80" t="s">
        <v>2644</v>
      </c>
      <c r="E512" s="80" t="s">
        <v>2641</v>
      </c>
      <c r="F512" s="80" t="s">
        <v>2372</v>
      </c>
      <c r="G512" s="80" t="s">
        <v>2690</v>
      </c>
      <c r="H512" s="79">
        <v>8</v>
      </c>
      <c r="I512" s="79">
        <v>3075.58</v>
      </c>
      <c r="J512" s="79">
        <v>24604.639999999999</v>
      </c>
    </row>
    <row r="513" spans="1:10" ht="15" thickBot="1">
      <c r="A513" s="98" t="s">
        <v>2535</v>
      </c>
      <c r="B513" s="80" t="s">
        <v>2683</v>
      </c>
      <c r="C513" s="80" t="s">
        <v>2652</v>
      </c>
      <c r="D513" s="80" t="s">
        <v>2647</v>
      </c>
      <c r="E513" s="80" t="s">
        <v>2643</v>
      </c>
      <c r="F513" s="80" t="s">
        <v>2661</v>
      </c>
      <c r="G513" s="80" t="s">
        <v>2691</v>
      </c>
      <c r="H513" s="79">
        <v>13</v>
      </c>
      <c r="I513" s="79">
        <v>1246.1400000000001</v>
      </c>
      <c r="J513" s="79">
        <v>16199.82</v>
      </c>
    </row>
    <row r="514" spans="1:10" ht="15" thickBot="1">
      <c r="A514" s="98">
        <v>44966</v>
      </c>
      <c r="B514" s="80" t="s">
        <v>2686</v>
      </c>
      <c r="C514" s="80" t="s">
        <v>2654</v>
      </c>
      <c r="D514" s="80" t="s">
        <v>2646</v>
      </c>
      <c r="E514" s="80" t="s">
        <v>2642</v>
      </c>
      <c r="F514" s="80" t="s">
        <v>2370</v>
      </c>
      <c r="G514" s="80" t="s">
        <v>1335</v>
      </c>
      <c r="H514" s="79">
        <v>16</v>
      </c>
      <c r="I514" s="79">
        <v>3942.95</v>
      </c>
      <c r="J514" s="79">
        <v>63087.199999999997</v>
      </c>
    </row>
    <row r="515" spans="1:10" ht="15" thickBot="1">
      <c r="A515" s="98">
        <v>45233</v>
      </c>
      <c r="B515" s="80" t="s">
        <v>2687</v>
      </c>
      <c r="C515" s="80" t="s">
        <v>2652</v>
      </c>
      <c r="D515" s="80" t="s">
        <v>2647</v>
      </c>
      <c r="E515" s="80" t="s">
        <v>2643</v>
      </c>
      <c r="F515" s="80" t="s">
        <v>2374</v>
      </c>
      <c r="G515" s="80" t="s">
        <v>2704</v>
      </c>
      <c r="H515" s="79">
        <v>1</v>
      </c>
      <c r="I515" s="79">
        <v>936.56</v>
      </c>
      <c r="J515" s="79">
        <v>936.56</v>
      </c>
    </row>
    <row r="516" spans="1:10" ht="15" thickBot="1">
      <c r="A516" s="98" t="s">
        <v>2529</v>
      </c>
      <c r="B516" s="80" t="s">
        <v>2684</v>
      </c>
      <c r="C516" s="80" t="s">
        <v>2660</v>
      </c>
      <c r="D516" s="80" t="s">
        <v>2647</v>
      </c>
      <c r="E516" s="80" t="s">
        <v>2643</v>
      </c>
      <c r="F516" s="80" t="s">
        <v>2372</v>
      </c>
      <c r="G516" s="80" t="s">
        <v>2690</v>
      </c>
      <c r="H516" s="79">
        <v>7</v>
      </c>
      <c r="I516" s="79">
        <v>1628.68</v>
      </c>
      <c r="J516" s="79">
        <v>11400.76</v>
      </c>
    </row>
    <row r="517" spans="1:10" ht="15" thickBot="1">
      <c r="A517" s="98" t="s">
        <v>2611</v>
      </c>
      <c r="B517" s="80" t="s">
        <v>2685</v>
      </c>
      <c r="C517" s="80" t="s">
        <v>2396</v>
      </c>
      <c r="D517" s="80" t="s">
        <v>2648</v>
      </c>
      <c r="E517" s="80" t="s">
        <v>2641</v>
      </c>
      <c r="F517" s="80" t="s">
        <v>2374</v>
      </c>
      <c r="G517" s="80" t="s">
        <v>2692</v>
      </c>
      <c r="H517" s="79">
        <v>10</v>
      </c>
      <c r="I517" s="79">
        <v>3400.28</v>
      </c>
      <c r="J517" s="79">
        <v>34002.800000000003</v>
      </c>
    </row>
    <row r="518" spans="1:10" ht="15" thickBot="1">
      <c r="A518" s="98">
        <v>45081</v>
      </c>
      <c r="B518" s="80" t="s">
        <v>2682</v>
      </c>
      <c r="C518" s="80" t="s">
        <v>2655</v>
      </c>
      <c r="D518" s="80" t="s">
        <v>2645</v>
      </c>
      <c r="E518" s="80" t="s">
        <v>2642</v>
      </c>
      <c r="F518" s="80" t="s">
        <v>2374</v>
      </c>
      <c r="G518" s="80" t="s">
        <v>2700</v>
      </c>
      <c r="H518" s="79">
        <v>18</v>
      </c>
      <c r="I518" s="79">
        <v>2722.99</v>
      </c>
      <c r="J518" s="79">
        <v>49013.82</v>
      </c>
    </row>
    <row r="519" spans="1:10" ht="15" thickBot="1">
      <c r="A519" s="98">
        <v>45082</v>
      </c>
      <c r="B519" s="80" t="s">
        <v>2680</v>
      </c>
      <c r="C519" s="80" t="s">
        <v>2658</v>
      </c>
      <c r="D519" s="80" t="s">
        <v>2645</v>
      </c>
      <c r="E519" s="80" t="s">
        <v>2642</v>
      </c>
      <c r="F519" s="80" t="s">
        <v>2661</v>
      </c>
      <c r="G519" s="80" t="s">
        <v>2696</v>
      </c>
      <c r="H519" s="79">
        <v>8</v>
      </c>
      <c r="I519" s="79">
        <v>4612.53</v>
      </c>
      <c r="J519" s="79">
        <v>36900.239999999998</v>
      </c>
    </row>
    <row r="520" spans="1:10" ht="15" thickBot="1">
      <c r="A520" s="98" t="s">
        <v>2440</v>
      </c>
      <c r="B520" s="80" t="s">
        <v>2682</v>
      </c>
      <c r="C520" s="80" t="s">
        <v>2653</v>
      </c>
      <c r="D520" s="80" t="s">
        <v>2644</v>
      </c>
      <c r="E520" s="80" t="s">
        <v>2641</v>
      </c>
      <c r="F520" s="80" t="s">
        <v>2661</v>
      </c>
      <c r="G520" s="80" t="s">
        <v>2691</v>
      </c>
      <c r="H520" s="79">
        <v>13</v>
      </c>
      <c r="I520" s="79">
        <v>2040.1</v>
      </c>
      <c r="J520" s="79">
        <v>26521.3</v>
      </c>
    </row>
    <row r="521" spans="1:10" ht="15" thickBot="1">
      <c r="A521" s="98" t="s">
        <v>2537</v>
      </c>
      <c r="B521" s="80" t="s">
        <v>2683</v>
      </c>
      <c r="C521" s="80" t="s">
        <v>2655</v>
      </c>
      <c r="D521" s="80" t="s">
        <v>2645</v>
      </c>
      <c r="E521" s="80" t="s">
        <v>2642</v>
      </c>
      <c r="F521" s="80" t="s">
        <v>2370</v>
      </c>
      <c r="G521" s="80" t="s">
        <v>2702</v>
      </c>
      <c r="H521" s="79">
        <v>17</v>
      </c>
      <c r="I521" s="79">
        <v>1122.98</v>
      </c>
      <c r="J521" s="79">
        <v>19090.66</v>
      </c>
    </row>
    <row r="522" spans="1:10" ht="15" thickBot="1">
      <c r="A522" s="98">
        <v>45027</v>
      </c>
      <c r="B522" s="80" t="s">
        <v>2681</v>
      </c>
      <c r="C522" s="80" t="s">
        <v>2653</v>
      </c>
      <c r="D522" s="80" t="s">
        <v>2644</v>
      </c>
      <c r="E522" s="80" t="s">
        <v>2641</v>
      </c>
      <c r="F522" s="80" t="s">
        <v>2661</v>
      </c>
      <c r="G522" s="80" t="s">
        <v>2691</v>
      </c>
      <c r="H522" s="79">
        <v>16</v>
      </c>
      <c r="I522" s="79">
        <v>2458.6</v>
      </c>
      <c r="J522" s="79">
        <v>39337.599999999999</v>
      </c>
    </row>
    <row r="523" spans="1:10" ht="15" thickBot="1">
      <c r="A523" s="98" t="s">
        <v>2636</v>
      </c>
      <c r="B523" s="80" t="s">
        <v>2687</v>
      </c>
      <c r="C523" s="80" t="s">
        <v>2653</v>
      </c>
      <c r="D523" s="80" t="s">
        <v>2644</v>
      </c>
      <c r="E523" s="80" t="s">
        <v>2641</v>
      </c>
      <c r="F523" s="80" t="s">
        <v>2373</v>
      </c>
      <c r="G523" s="80" t="s">
        <v>2697</v>
      </c>
      <c r="H523" s="79">
        <v>9</v>
      </c>
      <c r="I523" s="79">
        <v>3195.18</v>
      </c>
      <c r="J523" s="79">
        <v>28756.62</v>
      </c>
    </row>
    <row r="524" spans="1:10" ht="15" thickBot="1">
      <c r="A524" s="98">
        <v>45026</v>
      </c>
      <c r="B524" s="80" t="s">
        <v>2681</v>
      </c>
      <c r="C524" s="80" t="s">
        <v>2654</v>
      </c>
      <c r="D524" s="80" t="s">
        <v>2646</v>
      </c>
      <c r="E524" s="80" t="s">
        <v>2642</v>
      </c>
      <c r="F524" s="80" t="s">
        <v>2373</v>
      </c>
      <c r="G524" s="80" t="s">
        <v>2703</v>
      </c>
      <c r="H524" s="79">
        <v>3</v>
      </c>
      <c r="I524" s="79">
        <v>384.96</v>
      </c>
      <c r="J524" s="79">
        <v>1154.8800000000001</v>
      </c>
    </row>
    <row r="525" spans="1:10" ht="15" thickBot="1">
      <c r="A525" s="98" t="s">
        <v>2610</v>
      </c>
      <c r="B525" s="80" t="s">
        <v>2684</v>
      </c>
      <c r="C525" s="80" t="s">
        <v>2653</v>
      </c>
      <c r="D525" s="80" t="s">
        <v>2644</v>
      </c>
      <c r="E525" s="80" t="s">
        <v>2641</v>
      </c>
      <c r="F525" s="80" t="s">
        <v>2661</v>
      </c>
      <c r="G525" s="80" t="s">
        <v>2695</v>
      </c>
      <c r="H525" s="79">
        <v>4</v>
      </c>
      <c r="I525" s="79">
        <v>3714.59</v>
      </c>
      <c r="J525" s="79">
        <v>14858.36</v>
      </c>
    </row>
    <row r="526" spans="1:10" ht="15" thickBot="1">
      <c r="A526" s="98" t="s">
        <v>2502</v>
      </c>
      <c r="B526" s="80" t="s">
        <v>2687</v>
      </c>
      <c r="C526" s="80" t="s">
        <v>2658</v>
      </c>
      <c r="D526" s="80" t="s">
        <v>2645</v>
      </c>
      <c r="E526" s="80" t="s">
        <v>2642</v>
      </c>
      <c r="F526" s="80" t="s">
        <v>2661</v>
      </c>
      <c r="G526" s="80" t="s">
        <v>2698</v>
      </c>
      <c r="H526" s="79">
        <v>9</v>
      </c>
      <c r="I526" s="79">
        <v>1765.86</v>
      </c>
      <c r="J526" s="79">
        <v>15892.74</v>
      </c>
    </row>
    <row r="527" spans="1:10" ht="15" thickBot="1">
      <c r="A527" s="98">
        <v>45114</v>
      </c>
      <c r="B527" s="80" t="s">
        <v>2678</v>
      </c>
      <c r="C527" s="80" t="s">
        <v>2656</v>
      </c>
      <c r="D527" s="80" t="s">
        <v>2648</v>
      </c>
      <c r="E527" s="80" t="s">
        <v>2641</v>
      </c>
      <c r="F527" s="80" t="s">
        <v>2661</v>
      </c>
      <c r="G527" s="80" t="s">
        <v>2695</v>
      </c>
      <c r="H527" s="79">
        <v>8</v>
      </c>
      <c r="I527" s="79">
        <v>3069.86</v>
      </c>
      <c r="J527" s="79">
        <v>24558.880000000001</v>
      </c>
    </row>
    <row r="528" spans="1:10" ht="15" thickBot="1">
      <c r="A528" s="98" t="s">
        <v>2673</v>
      </c>
      <c r="B528" s="80" t="s">
        <v>2685</v>
      </c>
      <c r="C528" s="80" t="s">
        <v>2659</v>
      </c>
      <c r="D528" s="80" t="s">
        <v>2647</v>
      </c>
      <c r="E528" s="80" t="s">
        <v>2643</v>
      </c>
      <c r="F528" s="80" t="s">
        <v>2373</v>
      </c>
      <c r="G528" s="80" t="s">
        <v>2688</v>
      </c>
      <c r="H528" s="79">
        <v>9</v>
      </c>
      <c r="I528" s="79">
        <v>1720.47</v>
      </c>
      <c r="J528" s="79">
        <v>15484.23</v>
      </c>
    </row>
    <row r="529" spans="1:10" ht="15" thickBot="1">
      <c r="A529" s="98" t="s">
        <v>2447</v>
      </c>
      <c r="B529" s="80" t="s">
        <v>2682</v>
      </c>
      <c r="C529" s="80" t="s">
        <v>2649</v>
      </c>
      <c r="D529" s="80" t="s">
        <v>2645</v>
      </c>
      <c r="E529" s="80" t="s">
        <v>2642</v>
      </c>
      <c r="F529" s="80" t="s">
        <v>2372</v>
      </c>
      <c r="G529" s="80" t="s">
        <v>2693</v>
      </c>
      <c r="H529" s="79">
        <v>7</v>
      </c>
      <c r="I529" s="79">
        <v>3416.74</v>
      </c>
      <c r="J529" s="79">
        <v>23917.18</v>
      </c>
    </row>
    <row r="530" spans="1:10" ht="15" thickBot="1">
      <c r="A530" s="98" t="s">
        <v>2513</v>
      </c>
      <c r="B530" s="80" t="s">
        <v>2685</v>
      </c>
      <c r="C530" s="80" t="s">
        <v>2649</v>
      </c>
      <c r="D530" s="80" t="s">
        <v>2645</v>
      </c>
      <c r="E530" s="80" t="s">
        <v>2642</v>
      </c>
      <c r="F530" s="80" t="s">
        <v>2373</v>
      </c>
      <c r="G530" s="80" t="s">
        <v>2688</v>
      </c>
      <c r="H530" s="79">
        <v>7</v>
      </c>
      <c r="I530" s="79">
        <v>4741.12</v>
      </c>
      <c r="J530" s="79">
        <v>33187.839999999997</v>
      </c>
    </row>
    <row r="531" spans="1:10" ht="15" thickBot="1">
      <c r="A531" s="98">
        <v>45205</v>
      </c>
      <c r="B531" s="80" t="s">
        <v>2686</v>
      </c>
      <c r="C531" s="80" t="s">
        <v>2659</v>
      </c>
      <c r="D531" s="80" t="s">
        <v>2647</v>
      </c>
      <c r="E531" s="80" t="s">
        <v>2643</v>
      </c>
      <c r="F531" s="80" t="s">
        <v>2372</v>
      </c>
      <c r="G531" s="80" t="s">
        <v>2694</v>
      </c>
      <c r="H531" s="79">
        <v>20</v>
      </c>
      <c r="I531" s="79">
        <v>2721.24</v>
      </c>
      <c r="J531" s="79">
        <v>54424.800000000003</v>
      </c>
    </row>
    <row r="532" spans="1:10" ht="15" thickBot="1">
      <c r="A532" s="98" t="s">
        <v>2463</v>
      </c>
      <c r="B532" s="80" t="s">
        <v>2684</v>
      </c>
      <c r="C532" s="80" t="s">
        <v>2656</v>
      </c>
      <c r="D532" s="80" t="s">
        <v>2648</v>
      </c>
      <c r="E532" s="80" t="s">
        <v>2641</v>
      </c>
      <c r="F532" s="80" t="s">
        <v>2370</v>
      </c>
      <c r="G532" s="80" t="s">
        <v>1336</v>
      </c>
      <c r="H532" s="79">
        <v>4</v>
      </c>
      <c r="I532" s="79">
        <v>3751.49</v>
      </c>
      <c r="J532" s="79">
        <v>15005.96</v>
      </c>
    </row>
    <row r="533" spans="1:10" ht="15" thickBot="1">
      <c r="A533" s="98" t="s">
        <v>2537</v>
      </c>
      <c r="B533" s="80" t="s">
        <v>2687</v>
      </c>
      <c r="C533" s="80" t="s">
        <v>2655</v>
      </c>
      <c r="D533" s="80" t="s">
        <v>2645</v>
      </c>
      <c r="E533" s="80" t="s">
        <v>2642</v>
      </c>
      <c r="F533" s="80" t="s">
        <v>2372</v>
      </c>
      <c r="G533" s="80" t="s">
        <v>2699</v>
      </c>
      <c r="H533" s="79">
        <v>19</v>
      </c>
      <c r="I533" s="79">
        <v>4513.6000000000004</v>
      </c>
      <c r="J533" s="79">
        <v>85758.399999999994</v>
      </c>
    </row>
    <row r="534" spans="1:10" ht="15" thickBot="1">
      <c r="A534" s="98">
        <v>45231</v>
      </c>
      <c r="B534" s="80" t="s">
        <v>2686</v>
      </c>
      <c r="C534" s="80" t="s">
        <v>2654</v>
      </c>
      <c r="D534" s="80" t="s">
        <v>2646</v>
      </c>
      <c r="E534" s="80" t="s">
        <v>2642</v>
      </c>
      <c r="F534" s="80" t="s">
        <v>2373</v>
      </c>
      <c r="G534" s="80" t="s">
        <v>2705</v>
      </c>
      <c r="H534" s="79">
        <v>11</v>
      </c>
      <c r="I534" s="79">
        <v>3514.12</v>
      </c>
      <c r="J534" s="79">
        <v>38655.32</v>
      </c>
    </row>
    <row r="535" spans="1:10" ht="15" thickBot="1">
      <c r="A535" s="98" t="s">
        <v>2551</v>
      </c>
      <c r="B535" s="80" t="s">
        <v>2685</v>
      </c>
      <c r="C535" s="80" t="s">
        <v>2649</v>
      </c>
      <c r="D535" s="80" t="s">
        <v>2645</v>
      </c>
      <c r="E535" s="80" t="s">
        <v>2642</v>
      </c>
      <c r="F535" s="80" t="s">
        <v>2373</v>
      </c>
      <c r="G535" s="80" t="s">
        <v>2697</v>
      </c>
      <c r="H535" s="79">
        <v>13</v>
      </c>
      <c r="I535" s="79">
        <v>2109.15</v>
      </c>
      <c r="J535" s="79">
        <v>27418.95</v>
      </c>
    </row>
    <row r="536" spans="1:10" ht="15" thickBot="1">
      <c r="A536" s="98" t="s">
        <v>2535</v>
      </c>
      <c r="B536" s="80" t="s">
        <v>2679</v>
      </c>
      <c r="C536" s="80" t="s">
        <v>2654</v>
      </c>
      <c r="D536" s="80" t="s">
        <v>2646</v>
      </c>
      <c r="E536" s="80" t="s">
        <v>2642</v>
      </c>
      <c r="F536" s="80" t="s">
        <v>2372</v>
      </c>
      <c r="G536" s="80" t="s">
        <v>2693</v>
      </c>
      <c r="H536" s="79">
        <v>16</v>
      </c>
      <c r="I536" s="79">
        <v>4090.26</v>
      </c>
      <c r="J536" s="79">
        <v>65444.160000000003</v>
      </c>
    </row>
    <row r="537" spans="1:10" ht="15" thickBot="1">
      <c r="A537" s="98" t="s">
        <v>2454</v>
      </c>
      <c r="B537" s="80" t="s">
        <v>2680</v>
      </c>
      <c r="C537" s="80" t="s">
        <v>2657</v>
      </c>
      <c r="D537" s="80" t="s">
        <v>2648</v>
      </c>
      <c r="E537" s="80" t="s">
        <v>2641</v>
      </c>
      <c r="F537" s="80" t="s">
        <v>2372</v>
      </c>
      <c r="G537" s="80" t="s">
        <v>2694</v>
      </c>
      <c r="H537" s="79">
        <v>12</v>
      </c>
      <c r="I537" s="79">
        <v>219.32</v>
      </c>
      <c r="J537" s="79">
        <v>2631.84</v>
      </c>
    </row>
    <row r="538" spans="1:10" ht="15" thickBot="1">
      <c r="A538" s="98" t="s">
        <v>2666</v>
      </c>
      <c r="B538" s="80" t="s">
        <v>2678</v>
      </c>
      <c r="C538" s="80" t="s">
        <v>2659</v>
      </c>
      <c r="D538" s="80" t="s">
        <v>2647</v>
      </c>
      <c r="E538" s="80" t="s">
        <v>2643</v>
      </c>
      <c r="F538" s="80" t="s">
        <v>2374</v>
      </c>
      <c r="G538" s="80" t="s">
        <v>2700</v>
      </c>
      <c r="H538" s="79">
        <v>14</v>
      </c>
      <c r="I538" s="79">
        <v>264.77</v>
      </c>
      <c r="J538" s="79">
        <v>3706.78</v>
      </c>
    </row>
    <row r="539" spans="1:10" ht="15" thickBot="1">
      <c r="A539" s="98">
        <v>44931</v>
      </c>
      <c r="B539" s="80" t="s">
        <v>2686</v>
      </c>
      <c r="C539" s="80" t="s">
        <v>2651</v>
      </c>
      <c r="D539" s="80" t="s">
        <v>2646</v>
      </c>
      <c r="E539" s="80" t="s">
        <v>2642</v>
      </c>
      <c r="F539" s="80" t="s">
        <v>2372</v>
      </c>
      <c r="G539" s="80" t="s">
        <v>2694</v>
      </c>
      <c r="H539" s="79">
        <v>9</v>
      </c>
      <c r="I539" s="79">
        <v>2624.88</v>
      </c>
      <c r="J539" s="79">
        <v>23623.919999999998</v>
      </c>
    </row>
    <row r="540" spans="1:10" ht="15" thickBot="1">
      <c r="A540" s="98">
        <v>45022</v>
      </c>
      <c r="B540" s="80" t="s">
        <v>2683</v>
      </c>
      <c r="C540" s="80" t="s">
        <v>2396</v>
      </c>
      <c r="D540" s="80" t="s">
        <v>2648</v>
      </c>
      <c r="E540" s="80" t="s">
        <v>2641</v>
      </c>
      <c r="F540" s="80" t="s">
        <v>2373</v>
      </c>
      <c r="G540" s="80" t="s">
        <v>2703</v>
      </c>
      <c r="H540" s="79">
        <v>15</v>
      </c>
      <c r="I540" s="79">
        <v>1063.8800000000001</v>
      </c>
      <c r="J540" s="79">
        <v>15958.2</v>
      </c>
    </row>
    <row r="541" spans="1:10" ht="15" thickBot="1">
      <c r="A541" s="98" t="s">
        <v>2610</v>
      </c>
      <c r="B541" s="80" t="s">
        <v>2686</v>
      </c>
      <c r="C541" s="80" t="s">
        <v>2650</v>
      </c>
      <c r="D541" s="80" t="s">
        <v>2646</v>
      </c>
      <c r="E541" s="80" t="s">
        <v>2642</v>
      </c>
      <c r="F541" s="80" t="s">
        <v>2372</v>
      </c>
      <c r="G541" s="80" t="s">
        <v>2694</v>
      </c>
      <c r="H541" s="79">
        <v>2</v>
      </c>
      <c r="I541" s="79">
        <v>4277.8999999999996</v>
      </c>
      <c r="J541" s="79">
        <v>8555.7999999999993</v>
      </c>
    </row>
    <row r="542" spans="1:10" ht="15" thickBot="1">
      <c r="A542" s="98" t="s">
        <v>2466</v>
      </c>
      <c r="B542" s="80" t="s">
        <v>2678</v>
      </c>
      <c r="C542" s="80" t="s">
        <v>2656</v>
      </c>
      <c r="D542" s="80" t="s">
        <v>2648</v>
      </c>
      <c r="E542" s="80" t="s">
        <v>2641</v>
      </c>
      <c r="F542" s="80" t="s">
        <v>2372</v>
      </c>
      <c r="G542" s="80" t="s">
        <v>2699</v>
      </c>
      <c r="H542" s="79">
        <v>13</v>
      </c>
      <c r="I542" s="79">
        <v>1762.69</v>
      </c>
      <c r="J542" s="79">
        <v>22914.97</v>
      </c>
    </row>
    <row r="543" spans="1:10" ht="15" thickBot="1">
      <c r="A543" s="98" t="s">
        <v>2600</v>
      </c>
      <c r="B543" s="80" t="s">
        <v>2682</v>
      </c>
      <c r="C543" s="80" t="s">
        <v>2649</v>
      </c>
      <c r="D543" s="80" t="s">
        <v>2645</v>
      </c>
      <c r="E543" s="80" t="s">
        <v>2642</v>
      </c>
      <c r="F543" s="80" t="s">
        <v>2372</v>
      </c>
      <c r="G543" s="80" t="s">
        <v>2699</v>
      </c>
      <c r="H543" s="79">
        <v>6</v>
      </c>
      <c r="I543" s="79">
        <v>2069.96</v>
      </c>
      <c r="J543" s="79">
        <v>12419.76</v>
      </c>
    </row>
    <row r="544" spans="1:10" ht="15" thickBot="1">
      <c r="A544" s="98" t="s">
        <v>2677</v>
      </c>
      <c r="B544" s="80" t="s">
        <v>2679</v>
      </c>
      <c r="C544" s="80" t="s">
        <v>2652</v>
      </c>
      <c r="D544" s="80" t="s">
        <v>2647</v>
      </c>
      <c r="E544" s="80" t="s">
        <v>2643</v>
      </c>
      <c r="F544" s="80" t="s">
        <v>2372</v>
      </c>
      <c r="G544" s="80" t="s">
        <v>2694</v>
      </c>
      <c r="H544" s="79">
        <v>19</v>
      </c>
      <c r="I544" s="79">
        <v>3822.54</v>
      </c>
      <c r="J544" s="79">
        <v>72628.259999999995</v>
      </c>
    </row>
    <row r="545" spans="1:10" ht="15" thickBot="1">
      <c r="A545" s="98">
        <v>45087</v>
      </c>
      <c r="B545" s="80" t="s">
        <v>2679</v>
      </c>
      <c r="C545" s="80" t="s">
        <v>2652</v>
      </c>
      <c r="D545" s="80" t="s">
        <v>2647</v>
      </c>
      <c r="E545" s="80" t="s">
        <v>2643</v>
      </c>
      <c r="F545" s="80" t="s">
        <v>2661</v>
      </c>
      <c r="G545" s="80" t="s">
        <v>2696</v>
      </c>
      <c r="H545" s="79">
        <v>16</v>
      </c>
      <c r="I545" s="79">
        <v>242.23</v>
      </c>
      <c r="J545" s="79">
        <v>3875.68</v>
      </c>
    </row>
    <row r="546" spans="1:10" ht="15" thickBot="1">
      <c r="A546" s="98" t="s">
        <v>2577</v>
      </c>
      <c r="B546" s="80" t="s">
        <v>2683</v>
      </c>
      <c r="C546" s="80" t="s">
        <v>2396</v>
      </c>
      <c r="D546" s="80" t="s">
        <v>2648</v>
      </c>
      <c r="E546" s="80" t="s">
        <v>2641</v>
      </c>
      <c r="F546" s="80" t="s">
        <v>2374</v>
      </c>
      <c r="G546" s="80" t="s">
        <v>2692</v>
      </c>
      <c r="H546" s="79">
        <v>12</v>
      </c>
      <c r="I546" s="79">
        <v>2290.7600000000002</v>
      </c>
      <c r="J546" s="79">
        <v>27489.119999999999</v>
      </c>
    </row>
    <row r="547" spans="1:10" ht="15" thickBot="1">
      <c r="A547" s="98" t="s">
        <v>2486</v>
      </c>
      <c r="B547" s="80" t="s">
        <v>2687</v>
      </c>
      <c r="C547" s="80" t="s">
        <v>2392</v>
      </c>
      <c r="D547" s="80" t="s">
        <v>2644</v>
      </c>
      <c r="E547" s="80" t="s">
        <v>2641</v>
      </c>
      <c r="F547" s="80" t="s">
        <v>2372</v>
      </c>
      <c r="G547" s="80" t="s">
        <v>2694</v>
      </c>
      <c r="H547" s="79">
        <v>18</v>
      </c>
      <c r="I547" s="79">
        <v>1957.78</v>
      </c>
      <c r="J547" s="79">
        <v>35240.04</v>
      </c>
    </row>
    <row r="548" spans="1:10" ht="15" thickBot="1">
      <c r="A548" s="98">
        <v>45088</v>
      </c>
      <c r="B548" s="80" t="s">
        <v>2685</v>
      </c>
      <c r="C548" s="80" t="s">
        <v>2392</v>
      </c>
      <c r="D548" s="80" t="s">
        <v>2644</v>
      </c>
      <c r="E548" s="80" t="s">
        <v>2641</v>
      </c>
      <c r="F548" s="80" t="s">
        <v>2374</v>
      </c>
      <c r="G548" s="80" t="s">
        <v>2704</v>
      </c>
      <c r="H548" s="79">
        <v>1</v>
      </c>
      <c r="I548" s="79">
        <v>4370.57</v>
      </c>
      <c r="J548" s="79">
        <v>4370.57</v>
      </c>
    </row>
    <row r="549" spans="1:10" ht="15" thickBot="1">
      <c r="A549" s="98" t="s">
        <v>2440</v>
      </c>
      <c r="B549" s="80" t="s">
        <v>2682</v>
      </c>
      <c r="C549" s="80" t="s">
        <v>2652</v>
      </c>
      <c r="D549" s="80" t="s">
        <v>2647</v>
      </c>
      <c r="E549" s="80" t="s">
        <v>2643</v>
      </c>
      <c r="F549" s="80" t="s">
        <v>2661</v>
      </c>
      <c r="G549" s="80" t="s">
        <v>2695</v>
      </c>
      <c r="H549" s="79">
        <v>3</v>
      </c>
      <c r="I549" s="79">
        <v>1894.71</v>
      </c>
      <c r="J549" s="79">
        <v>5684.13</v>
      </c>
    </row>
    <row r="550" spans="1:10" ht="15" thickBot="1">
      <c r="A550" s="98">
        <v>45271</v>
      </c>
      <c r="B550" s="80" t="s">
        <v>2680</v>
      </c>
      <c r="C550" s="80" t="s">
        <v>2396</v>
      </c>
      <c r="D550" s="80" t="s">
        <v>2648</v>
      </c>
      <c r="E550" s="80" t="s">
        <v>2641</v>
      </c>
      <c r="F550" s="80" t="s">
        <v>2661</v>
      </c>
      <c r="G550" s="80" t="s">
        <v>2698</v>
      </c>
      <c r="H550" s="79">
        <v>14</v>
      </c>
      <c r="I550" s="79">
        <v>367.1</v>
      </c>
      <c r="J550" s="79">
        <v>5139.3999999999996</v>
      </c>
    </row>
    <row r="551" spans="1:10" ht="15" thickBot="1">
      <c r="A551" s="98" t="s">
        <v>2463</v>
      </c>
      <c r="B551" s="80" t="s">
        <v>2681</v>
      </c>
      <c r="C551" s="80" t="s">
        <v>2657</v>
      </c>
      <c r="D551" s="80" t="s">
        <v>2648</v>
      </c>
      <c r="E551" s="80" t="s">
        <v>2641</v>
      </c>
      <c r="F551" s="80" t="s">
        <v>2370</v>
      </c>
      <c r="G551" s="80" t="s">
        <v>1335</v>
      </c>
      <c r="H551" s="79">
        <v>10</v>
      </c>
      <c r="I551" s="79">
        <v>4678.49</v>
      </c>
      <c r="J551" s="79">
        <v>46784.9</v>
      </c>
    </row>
    <row r="552" spans="1:10" ht="15" thickBot="1">
      <c r="A552" s="98">
        <v>45201</v>
      </c>
      <c r="B552" s="80" t="s">
        <v>2679</v>
      </c>
      <c r="C552" s="80" t="s">
        <v>2659</v>
      </c>
      <c r="D552" s="80" t="s">
        <v>2647</v>
      </c>
      <c r="E552" s="80" t="s">
        <v>2643</v>
      </c>
      <c r="F552" s="80" t="s">
        <v>2661</v>
      </c>
      <c r="G552" s="80" t="s">
        <v>2696</v>
      </c>
      <c r="H552" s="79">
        <v>12</v>
      </c>
      <c r="I552" s="79">
        <v>1020.42</v>
      </c>
      <c r="J552" s="79">
        <v>12245.04</v>
      </c>
    </row>
    <row r="553" spans="1:10" ht="15" thickBot="1">
      <c r="A553" s="98" t="s">
        <v>2440</v>
      </c>
      <c r="B553" s="80" t="s">
        <v>2682</v>
      </c>
      <c r="C553" s="80" t="s">
        <v>2658</v>
      </c>
      <c r="D553" s="80" t="s">
        <v>2645</v>
      </c>
      <c r="E553" s="80" t="s">
        <v>2642</v>
      </c>
      <c r="F553" s="80" t="s">
        <v>2370</v>
      </c>
      <c r="G553" s="80" t="s">
        <v>1336</v>
      </c>
      <c r="H553" s="79">
        <v>15</v>
      </c>
      <c r="I553" s="79">
        <v>1669.04</v>
      </c>
      <c r="J553" s="79">
        <v>25035.599999999999</v>
      </c>
    </row>
    <row r="554" spans="1:10" ht="15" thickBot="1">
      <c r="A554" s="98" t="s">
        <v>2513</v>
      </c>
      <c r="B554" s="80" t="s">
        <v>2686</v>
      </c>
      <c r="C554" s="80" t="s">
        <v>2393</v>
      </c>
      <c r="D554" s="80" t="s">
        <v>2644</v>
      </c>
      <c r="E554" s="80" t="s">
        <v>2641</v>
      </c>
      <c r="F554" s="80" t="s">
        <v>2374</v>
      </c>
      <c r="G554" s="80" t="s">
        <v>2704</v>
      </c>
      <c r="H554" s="79">
        <v>18</v>
      </c>
      <c r="I554" s="79">
        <v>138.01</v>
      </c>
      <c r="J554" s="79">
        <v>2484.1799999999998</v>
      </c>
    </row>
    <row r="555" spans="1:10" ht="15" thickBot="1">
      <c r="A555" s="98" t="s">
        <v>2611</v>
      </c>
      <c r="B555" s="80" t="s">
        <v>2686</v>
      </c>
      <c r="C555" s="80" t="s">
        <v>2656</v>
      </c>
      <c r="D555" s="80" t="s">
        <v>2648</v>
      </c>
      <c r="E555" s="80" t="s">
        <v>2641</v>
      </c>
      <c r="F555" s="80" t="s">
        <v>2374</v>
      </c>
      <c r="G555" s="80" t="s">
        <v>2689</v>
      </c>
      <c r="H555" s="79">
        <v>6</v>
      </c>
      <c r="I555" s="79">
        <v>3847.76</v>
      </c>
      <c r="J555" s="79">
        <v>23086.560000000001</v>
      </c>
    </row>
    <row r="556" spans="1:10" ht="15" thickBot="1">
      <c r="A556" s="98">
        <v>45177</v>
      </c>
      <c r="B556" s="80" t="s">
        <v>2685</v>
      </c>
      <c r="C556" s="80" t="s">
        <v>2392</v>
      </c>
      <c r="D556" s="80" t="s">
        <v>2644</v>
      </c>
      <c r="E556" s="80" t="s">
        <v>2641</v>
      </c>
      <c r="F556" s="80" t="s">
        <v>2661</v>
      </c>
      <c r="G556" s="80" t="s">
        <v>2691</v>
      </c>
      <c r="H556" s="79">
        <v>4</v>
      </c>
      <c r="I556" s="79">
        <v>3246.52</v>
      </c>
      <c r="J556" s="79">
        <v>12986.08</v>
      </c>
    </row>
    <row r="557" spans="1:10" ht="15" thickBot="1">
      <c r="A557" s="98" t="s">
        <v>2584</v>
      </c>
      <c r="B557" s="80" t="s">
        <v>2687</v>
      </c>
      <c r="C557" s="80" t="s">
        <v>2652</v>
      </c>
      <c r="D557" s="80" t="s">
        <v>2647</v>
      </c>
      <c r="E557" s="80" t="s">
        <v>2643</v>
      </c>
      <c r="F557" s="80" t="s">
        <v>2374</v>
      </c>
      <c r="G557" s="80" t="s">
        <v>2700</v>
      </c>
      <c r="H557" s="79">
        <v>14</v>
      </c>
      <c r="I557" s="79">
        <v>569.91</v>
      </c>
      <c r="J557" s="79">
        <v>7978.74</v>
      </c>
    </row>
    <row r="558" spans="1:10" ht="15" thickBot="1">
      <c r="A558" s="98">
        <v>45261</v>
      </c>
      <c r="B558" s="80" t="s">
        <v>2684</v>
      </c>
      <c r="C558" s="80" t="s">
        <v>2650</v>
      </c>
      <c r="D558" s="80" t="s">
        <v>2646</v>
      </c>
      <c r="E558" s="80" t="s">
        <v>2642</v>
      </c>
      <c r="F558" s="80" t="s">
        <v>2370</v>
      </c>
      <c r="G558" s="80" t="s">
        <v>1336</v>
      </c>
      <c r="H558" s="79">
        <v>15</v>
      </c>
      <c r="I558" s="79">
        <v>4316.17</v>
      </c>
      <c r="J558" s="79">
        <v>64742.55</v>
      </c>
    </row>
    <row r="559" spans="1:10" ht="15" thickBot="1">
      <c r="A559" s="98" t="s">
        <v>2453</v>
      </c>
      <c r="B559" s="80" t="s">
        <v>2679</v>
      </c>
      <c r="C559" s="80" t="s">
        <v>2650</v>
      </c>
      <c r="D559" s="80" t="s">
        <v>2646</v>
      </c>
      <c r="E559" s="80" t="s">
        <v>2642</v>
      </c>
      <c r="F559" s="80" t="s">
        <v>2372</v>
      </c>
      <c r="G559" s="80" t="s">
        <v>2690</v>
      </c>
      <c r="H559" s="79">
        <v>17</v>
      </c>
      <c r="I559" s="79">
        <v>2209.62</v>
      </c>
      <c r="J559" s="79">
        <v>37563.54</v>
      </c>
    </row>
    <row r="560" spans="1:10" ht="15" thickBot="1">
      <c r="A560" s="98">
        <v>45117</v>
      </c>
      <c r="B560" s="80" t="s">
        <v>2684</v>
      </c>
      <c r="C560" s="80" t="s">
        <v>2660</v>
      </c>
      <c r="D560" s="80" t="s">
        <v>2647</v>
      </c>
      <c r="E560" s="80" t="s">
        <v>2643</v>
      </c>
      <c r="F560" s="80" t="s">
        <v>2373</v>
      </c>
      <c r="G560" s="80" t="s">
        <v>2703</v>
      </c>
      <c r="H560" s="79">
        <v>16</v>
      </c>
      <c r="I560" s="79">
        <v>3296.61</v>
      </c>
      <c r="J560" s="79">
        <v>52745.760000000002</v>
      </c>
    </row>
    <row r="561" spans="1:10" ht="15" thickBot="1">
      <c r="A561" s="98">
        <v>44932</v>
      </c>
      <c r="B561" s="80" t="s">
        <v>2678</v>
      </c>
      <c r="C561" s="80" t="s">
        <v>2652</v>
      </c>
      <c r="D561" s="80" t="s">
        <v>2647</v>
      </c>
      <c r="E561" s="80" t="s">
        <v>2643</v>
      </c>
      <c r="F561" s="80" t="s">
        <v>2373</v>
      </c>
      <c r="G561" s="80" t="s">
        <v>2688</v>
      </c>
      <c r="H561" s="79">
        <v>13</v>
      </c>
      <c r="I561" s="79">
        <v>523.83000000000004</v>
      </c>
      <c r="J561" s="79">
        <v>6809.79</v>
      </c>
    </row>
    <row r="562" spans="1:10" ht="15" thickBot="1">
      <c r="A562" s="98" t="s">
        <v>2613</v>
      </c>
      <c r="B562" s="80" t="s">
        <v>2682</v>
      </c>
      <c r="C562" s="80" t="s">
        <v>2658</v>
      </c>
      <c r="D562" s="80" t="s">
        <v>2645</v>
      </c>
      <c r="E562" s="80" t="s">
        <v>2642</v>
      </c>
      <c r="F562" s="80" t="s">
        <v>2370</v>
      </c>
      <c r="G562" s="80" t="s">
        <v>1336</v>
      </c>
      <c r="H562" s="79">
        <v>3</v>
      </c>
      <c r="I562" s="79">
        <v>916.53</v>
      </c>
      <c r="J562" s="79">
        <v>2749.59</v>
      </c>
    </row>
    <row r="563" spans="1:10" ht="15" thickBot="1">
      <c r="A563" s="98">
        <v>45266</v>
      </c>
      <c r="B563" s="80" t="s">
        <v>2678</v>
      </c>
      <c r="C563" s="80" t="s">
        <v>2393</v>
      </c>
      <c r="D563" s="80" t="s">
        <v>2644</v>
      </c>
      <c r="E563" s="80" t="s">
        <v>2641</v>
      </c>
      <c r="F563" s="80" t="s">
        <v>2372</v>
      </c>
      <c r="G563" s="80" t="s">
        <v>2694</v>
      </c>
      <c r="H563" s="79">
        <v>13</v>
      </c>
      <c r="I563" s="79">
        <v>1836.55</v>
      </c>
      <c r="J563" s="79">
        <v>23875.15</v>
      </c>
    </row>
    <row r="564" spans="1:10" ht="15" thickBot="1">
      <c r="A564" s="98" t="s">
        <v>2505</v>
      </c>
      <c r="B564" s="80" t="s">
        <v>2681</v>
      </c>
      <c r="C564" s="80" t="s">
        <v>2659</v>
      </c>
      <c r="D564" s="80" t="s">
        <v>2647</v>
      </c>
      <c r="E564" s="80" t="s">
        <v>2643</v>
      </c>
      <c r="F564" s="80" t="s">
        <v>2372</v>
      </c>
      <c r="G564" s="80" t="s">
        <v>2690</v>
      </c>
      <c r="H564" s="79">
        <v>19</v>
      </c>
      <c r="I564" s="79">
        <v>2253.92</v>
      </c>
      <c r="J564" s="79">
        <v>42824.480000000003</v>
      </c>
    </row>
    <row r="565" spans="1:10" ht="15" thickBot="1">
      <c r="A565" s="98" t="s">
        <v>2622</v>
      </c>
      <c r="B565" s="80" t="s">
        <v>2681</v>
      </c>
      <c r="C565" s="80" t="s">
        <v>2393</v>
      </c>
      <c r="D565" s="80" t="s">
        <v>2644</v>
      </c>
      <c r="E565" s="80" t="s">
        <v>2641</v>
      </c>
      <c r="F565" s="80" t="s">
        <v>2373</v>
      </c>
      <c r="G565" s="80" t="s">
        <v>2688</v>
      </c>
      <c r="H565" s="79">
        <v>13</v>
      </c>
      <c r="I565" s="79">
        <v>3617.07</v>
      </c>
      <c r="J565" s="79">
        <v>47021.91</v>
      </c>
    </row>
    <row r="566" spans="1:10" ht="15" thickBot="1">
      <c r="A566" s="98" t="s">
        <v>2616</v>
      </c>
      <c r="B566" s="80" t="s">
        <v>2685</v>
      </c>
      <c r="C566" s="80" t="s">
        <v>2649</v>
      </c>
      <c r="D566" s="80" t="s">
        <v>2645</v>
      </c>
      <c r="E566" s="80" t="s">
        <v>2642</v>
      </c>
      <c r="F566" s="80" t="s">
        <v>2661</v>
      </c>
      <c r="G566" s="80" t="s">
        <v>2698</v>
      </c>
      <c r="H566" s="79">
        <v>5</v>
      </c>
      <c r="I566" s="79">
        <v>417.76</v>
      </c>
      <c r="J566" s="79">
        <v>2088.8000000000002</v>
      </c>
    </row>
    <row r="567" spans="1:10" ht="15" thickBot="1">
      <c r="A567" s="98">
        <v>45144</v>
      </c>
      <c r="B567" s="80" t="s">
        <v>2679</v>
      </c>
      <c r="C567" s="80" t="s">
        <v>2653</v>
      </c>
      <c r="D567" s="80" t="s">
        <v>2644</v>
      </c>
      <c r="E567" s="80" t="s">
        <v>2641</v>
      </c>
      <c r="F567" s="80" t="s">
        <v>2370</v>
      </c>
      <c r="G567" s="80" t="s">
        <v>1335</v>
      </c>
      <c r="H567" s="79">
        <v>11</v>
      </c>
      <c r="I567" s="79">
        <v>864.29</v>
      </c>
      <c r="J567" s="79">
        <v>9507.19</v>
      </c>
    </row>
    <row r="568" spans="1:10" ht="15" thickBot="1">
      <c r="A568" s="98" t="s">
        <v>2511</v>
      </c>
      <c r="B568" s="80" t="s">
        <v>2682</v>
      </c>
      <c r="C568" s="80" t="s">
        <v>2660</v>
      </c>
      <c r="D568" s="80" t="s">
        <v>2647</v>
      </c>
      <c r="E568" s="80" t="s">
        <v>2643</v>
      </c>
      <c r="F568" s="80" t="s">
        <v>2370</v>
      </c>
      <c r="G568" s="80" t="s">
        <v>1335</v>
      </c>
      <c r="H568" s="79">
        <v>19</v>
      </c>
      <c r="I568" s="79">
        <v>2006.79</v>
      </c>
      <c r="J568" s="79">
        <v>38129.01</v>
      </c>
    </row>
    <row r="569" spans="1:10" ht="15" thickBot="1">
      <c r="A569" s="98" t="s">
        <v>2574</v>
      </c>
      <c r="B569" s="80" t="s">
        <v>2679</v>
      </c>
      <c r="C569" s="80" t="s">
        <v>2656</v>
      </c>
      <c r="D569" s="80" t="s">
        <v>2648</v>
      </c>
      <c r="E569" s="80" t="s">
        <v>2641</v>
      </c>
      <c r="F569" s="80" t="s">
        <v>2661</v>
      </c>
      <c r="G569" s="80" t="s">
        <v>2696</v>
      </c>
      <c r="H569" s="79">
        <v>1</v>
      </c>
      <c r="I569" s="79">
        <v>403.2</v>
      </c>
      <c r="J569" s="79">
        <v>403.2</v>
      </c>
    </row>
    <row r="570" spans="1:10" ht="15" thickBot="1">
      <c r="A570" s="98" t="s">
        <v>2468</v>
      </c>
      <c r="B570" s="80" t="s">
        <v>2686</v>
      </c>
      <c r="C570" s="80" t="s">
        <v>2393</v>
      </c>
      <c r="D570" s="80" t="s">
        <v>2644</v>
      </c>
      <c r="E570" s="80" t="s">
        <v>2641</v>
      </c>
      <c r="F570" s="80" t="s">
        <v>2373</v>
      </c>
      <c r="G570" s="80" t="s">
        <v>2705</v>
      </c>
      <c r="H570" s="79">
        <v>7</v>
      </c>
      <c r="I570" s="79">
        <v>2846.83</v>
      </c>
      <c r="J570" s="79">
        <v>19927.810000000001</v>
      </c>
    </row>
    <row r="571" spans="1:10" ht="15" thickBot="1">
      <c r="A571" s="98" t="s">
        <v>2549</v>
      </c>
      <c r="B571" s="80" t="s">
        <v>2678</v>
      </c>
      <c r="C571" s="80" t="s">
        <v>2650</v>
      </c>
      <c r="D571" s="80" t="s">
        <v>2646</v>
      </c>
      <c r="E571" s="80" t="s">
        <v>2642</v>
      </c>
      <c r="F571" s="80" t="s">
        <v>2372</v>
      </c>
      <c r="G571" s="80" t="s">
        <v>2690</v>
      </c>
      <c r="H571" s="79">
        <v>5</v>
      </c>
      <c r="I571" s="79">
        <v>850.9</v>
      </c>
      <c r="J571" s="79">
        <v>4254.5</v>
      </c>
    </row>
    <row r="572" spans="1:10" ht="15" thickBot="1">
      <c r="A572" s="98" t="s">
        <v>2517</v>
      </c>
      <c r="B572" s="80" t="s">
        <v>2683</v>
      </c>
      <c r="C572" s="80" t="s">
        <v>2660</v>
      </c>
      <c r="D572" s="80" t="s">
        <v>2647</v>
      </c>
      <c r="E572" s="80" t="s">
        <v>2643</v>
      </c>
      <c r="F572" s="80" t="s">
        <v>2370</v>
      </c>
      <c r="G572" s="80" t="s">
        <v>2701</v>
      </c>
      <c r="H572" s="79">
        <v>16</v>
      </c>
      <c r="I572" s="79">
        <v>3337.15</v>
      </c>
      <c r="J572" s="79">
        <v>53394.400000000001</v>
      </c>
    </row>
    <row r="573" spans="1:10" ht="15" thickBot="1">
      <c r="A573" s="98" t="s">
        <v>2496</v>
      </c>
      <c r="B573" s="80" t="s">
        <v>2683</v>
      </c>
      <c r="C573" s="80" t="s">
        <v>2658</v>
      </c>
      <c r="D573" s="80" t="s">
        <v>2645</v>
      </c>
      <c r="E573" s="80" t="s">
        <v>2642</v>
      </c>
      <c r="F573" s="80" t="s">
        <v>2372</v>
      </c>
      <c r="G573" s="80" t="s">
        <v>2693</v>
      </c>
      <c r="H573" s="79">
        <v>15</v>
      </c>
      <c r="I573" s="79">
        <v>1299.55</v>
      </c>
      <c r="J573" s="79">
        <v>19493.25</v>
      </c>
    </row>
    <row r="574" spans="1:10" ht="15" thickBot="1">
      <c r="A574" s="98" t="s">
        <v>2600</v>
      </c>
      <c r="B574" s="80" t="s">
        <v>2683</v>
      </c>
      <c r="C574" s="80" t="s">
        <v>2658</v>
      </c>
      <c r="D574" s="80" t="s">
        <v>2645</v>
      </c>
      <c r="E574" s="80" t="s">
        <v>2642</v>
      </c>
      <c r="F574" s="80" t="s">
        <v>2661</v>
      </c>
      <c r="G574" s="80" t="s">
        <v>2696</v>
      </c>
      <c r="H574" s="79">
        <v>7</v>
      </c>
      <c r="I574" s="79">
        <v>4898.57</v>
      </c>
      <c r="J574" s="79">
        <v>34289.99</v>
      </c>
    </row>
    <row r="575" spans="1:10" ht="15" thickBot="1">
      <c r="A575" s="98">
        <v>45109</v>
      </c>
      <c r="B575" s="80" t="s">
        <v>2678</v>
      </c>
      <c r="C575" s="80" t="s">
        <v>2654</v>
      </c>
      <c r="D575" s="80" t="s">
        <v>2646</v>
      </c>
      <c r="E575" s="80" t="s">
        <v>2642</v>
      </c>
      <c r="F575" s="80" t="s">
        <v>2372</v>
      </c>
      <c r="G575" s="80" t="s">
        <v>2699</v>
      </c>
      <c r="H575" s="79">
        <v>11</v>
      </c>
      <c r="I575" s="79">
        <v>2471.65</v>
      </c>
      <c r="J575" s="79">
        <v>27188.15</v>
      </c>
    </row>
    <row r="576" spans="1:10" ht="15" thickBot="1">
      <c r="A576" s="98" t="s">
        <v>2530</v>
      </c>
      <c r="B576" s="80" t="s">
        <v>2683</v>
      </c>
      <c r="C576" s="80" t="s">
        <v>2651</v>
      </c>
      <c r="D576" s="80" t="s">
        <v>2646</v>
      </c>
      <c r="E576" s="80" t="s">
        <v>2642</v>
      </c>
      <c r="F576" s="80" t="s">
        <v>2374</v>
      </c>
      <c r="G576" s="80" t="s">
        <v>2692</v>
      </c>
      <c r="H576" s="79">
        <v>2</v>
      </c>
      <c r="I576" s="79">
        <v>1125.53</v>
      </c>
      <c r="J576" s="79">
        <v>2251.06</v>
      </c>
    </row>
    <row r="577" spans="1:10" ht="15" thickBot="1">
      <c r="A577" s="98">
        <v>44966</v>
      </c>
      <c r="B577" s="80" t="s">
        <v>2680</v>
      </c>
      <c r="C577" s="80" t="s">
        <v>2656</v>
      </c>
      <c r="D577" s="80" t="s">
        <v>2648</v>
      </c>
      <c r="E577" s="80" t="s">
        <v>2641</v>
      </c>
      <c r="F577" s="80" t="s">
        <v>2373</v>
      </c>
      <c r="G577" s="80" t="s">
        <v>2688</v>
      </c>
      <c r="H577" s="79">
        <v>13</v>
      </c>
      <c r="I577" s="79">
        <v>2835.8</v>
      </c>
      <c r="J577" s="79">
        <v>36865.4</v>
      </c>
    </row>
    <row r="578" spans="1:10" ht="15" thickBot="1">
      <c r="A578" s="98">
        <v>45234</v>
      </c>
      <c r="B578" s="80" t="s">
        <v>2684</v>
      </c>
      <c r="C578" s="80" t="s">
        <v>2658</v>
      </c>
      <c r="D578" s="80" t="s">
        <v>2645</v>
      </c>
      <c r="E578" s="80" t="s">
        <v>2642</v>
      </c>
      <c r="F578" s="80" t="s">
        <v>2661</v>
      </c>
      <c r="G578" s="80" t="s">
        <v>2696</v>
      </c>
      <c r="H578" s="79">
        <v>17</v>
      </c>
      <c r="I578" s="79">
        <v>3973.87</v>
      </c>
      <c r="J578" s="79">
        <v>67555.789999999994</v>
      </c>
    </row>
    <row r="579" spans="1:10" ht="15" thickBot="1">
      <c r="A579" s="98">
        <v>45261</v>
      </c>
      <c r="B579" s="80" t="s">
        <v>2680</v>
      </c>
      <c r="C579" s="80" t="s">
        <v>2393</v>
      </c>
      <c r="D579" s="80" t="s">
        <v>2644</v>
      </c>
      <c r="E579" s="80" t="s">
        <v>2641</v>
      </c>
      <c r="F579" s="80" t="s">
        <v>2370</v>
      </c>
      <c r="G579" s="80" t="s">
        <v>2702</v>
      </c>
      <c r="H579" s="79">
        <v>4</v>
      </c>
      <c r="I579" s="79">
        <v>1998.26</v>
      </c>
      <c r="J579" s="79">
        <v>7993.04</v>
      </c>
    </row>
    <row r="580" spans="1:10" ht="15" thickBot="1">
      <c r="A580" s="98">
        <v>45148</v>
      </c>
      <c r="B580" s="80" t="s">
        <v>2682</v>
      </c>
      <c r="C580" s="80" t="s">
        <v>2649</v>
      </c>
      <c r="D580" s="80" t="s">
        <v>2645</v>
      </c>
      <c r="E580" s="80" t="s">
        <v>2642</v>
      </c>
      <c r="F580" s="80" t="s">
        <v>2374</v>
      </c>
      <c r="G580" s="80" t="s">
        <v>2692</v>
      </c>
      <c r="H580" s="79">
        <v>7</v>
      </c>
      <c r="I580" s="79">
        <v>3820.3</v>
      </c>
      <c r="J580" s="79">
        <v>26742.1</v>
      </c>
    </row>
    <row r="581" spans="1:10" ht="15" thickBot="1">
      <c r="A581" s="98" t="s">
        <v>2510</v>
      </c>
      <c r="B581" s="80" t="s">
        <v>2678</v>
      </c>
      <c r="C581" s="80" t="s">
        <v>2396</v>
      </c>
      <c r="D581" s="80" t="s">
        <v>2648</v>
      </c>
      <c r="E581" s="80" t="s">
        <v>2641</v>
      </c>
      <c r="F581" s="80" t="s">
        <v>2374</v>
      </c>
      <c r="G581" s="80" t="s">
        <v>2704</v>
      </c>
      <c r="H581" s="79">
        <v>19</v>
      </c>
      <c r="I581" s="79">
        <v>2199.3200000000002</v>
      </c>
      <c r="J581" s="79">
        <v>41787.08</v>
      </c>
    </row>
    <row r="582" spans="1:10" ht="15" thickBot="1">
      <c r="A582" s="98" t="s">
        <v>2627</v>
      </c>
      <c r="B582" s="80" t="s">
        <v>2681</v>
      </c>
      <c r="C582" s="80" t="s">
        <v>2654</v>
      </c>
      <c r="D582" s="80" t="s">
        <v>2646</v>
      </c>
      <c r="E582" s="80" t="s">
        <v>2642</v>
      </c>
      <c r="F582" s="80" t="s">
        <v>2661</v>
      </c>
      <c r="G582" s="80" t="s">
        <v>2691</v>
      </c>
      <c r="H582" s="79">
        <v>6</v>
      </c>
      <c r="I582" s="79">
        <v>578.64</v>
      </c>
      <c r="J582" s="79">
        <v>3471.84</v>
      </c>
    </row>
    <row r="583" spans="1:10" ht="15" thickBot="1">
      <c r="A583" s="98">
        <v>45118</v>
      </c>
      <c r="B583" s="80" t="s">
        <v>2682</v>
      </c>
      <c r="C583" s="80" t="s">
        <v>2650</v>
      </c>
      <c r="D583" s="80" t="s">
        <v>2646</v>
      </c>
      <c r="E583" s="80" t="s">
        <v>2642</v>
      </c>
      <c r="F583" s="80" t="s">
        <v>2370</v>
      </c>
      <c r="G583" s="80" t="s">
        <v>1336</v>
      </c>
      <c r="H583" s="79">
        <v>5</v>
      </c>
      <c r="I583" s="79">
        <v>1488.21</v>
      </c>
      <c r="J583" s="79">
        <v>7441.05</v>
      </c>
    </row>
    <row r="584" spans="1:10" ht="15" thickBot="1">
      <c r="A584" s="98" t="s">
        <v>2602</v>
      </c>
      <c r="B584" s="80" t="s">
        <v>2685</v>
      </c>
      <c r="C584" s="80" t="s">
        <v>2654</v>
      </c>
      <c r="D584" s="80" t="s">
        <v>2646</v>
      </c>
      <c r="E584" s="80" t="s">
        <v>2642</v>
      </c>
      <c r="F584" s="80" t="s">
        <v>2373</v>
      </c>
      <c r="G584" s="80" t="s">
        <v>2705</v>
      </c>
      <c r="H584" s="79">
        <v>19</v>
      </c>
      <c r="I584" s="79">
        <v>3196.27</v>
      </c>
      <c r="J584" s="79">
        <v>60729.13</v>
      </c>
    </row>
    <row r="585" spans="1:10" ht="15" thickBot="1">
      <c r="A585" s="98">
        <v>45205</v>
      </c>
      <c r="B585" s="80" t="s">
        <v>2680</v>
      </c>
      <c r="C585" s="80" t="s">
        <v>2657</v>
      </c>
      <c r="D585" s="80" t="s">
        <v>2648</v>
      </c>
      <c r="E585" s="80" t="s">
        <v>2641</v>
      </c>
      <c r="F585" s="80" t="s">
        <v>2661</v>
      </c>
      <c r="G585" s="80" t="s">
        <v>2691</v>
      </c>
      <c r="H585" s="79">
        <v>5</v>
      </c>
      <c r="I585" s="79">
        <v>1018.53</v>
      </c>
      <c r="J585" s="79">
        <v>5092.6499999999996</v>
      </c>
    </row>
    <row r="586" spans="1:10" ht="15" thickBot="1">
      <c r="A586" s="98" t="s">
        <v>2566</v>
      </c>
      <c r="B586" s="80" t="s">
        <v>2684</v>
      </c>
      <c r="C586" s="80" t="s">
        <v>2660</v>
      </c>
      <c r="D586" s="80" t="s">
        <v>2647</v>
      </c>
      <c r="E586" s="80" t="s">
        <v>2643</v>
      </c>
      <c r="F586" s="80" t="s">
        <v>2374</v>
      </c>
      <c r="G586" s="80" t="s">
        <v>2700</v>
      </c>
      <c r="H586" s="79">
        <v>13</v>
      </c>
      <c r="I586" s="79">
        <v>1367.15</v>
      </c>
      <c r="J586" s="79">
        <v>17772.95</v>
      </c>
    </row>
    <row r="587" spans="1:10" ht="15" thickBot="1">
      <c r="A587" s="98">
        <v>45117</v>
      </c>
      <c r="B587" s="80" t="s">
        <v>2680</v>
      </c>
      <c r="C587" s="80" t="s">
        <v>2650</v>
      </c>
      <c r="D587" s="80" t="s">
        <v>2646</v>
      </c>
      <c r="E587" s="80" t="s">
        <v>2642</v>
      </c>
      <c r="F587" s="80" t="s">
        <v>2370</v>
      </c>
      <c r="G587" s="80" t="s">
        <v>2702</v>
      </c>
      <c r="H587" s="79">
        <v>19</v>
      </c>
      <c r="I587" s="79">
        <v>4996.28</v>
      </c>
      <c r="J587" s="79">
        <v>94929.32</v>
      </c>
    </row>
    <row r="588" spans="1:10" ht="15" thickBot="1">
      <c r="A588" s="98" t="s">
        <v>2456</v>
      </c>
      <c r="B588" s="80" t="s">
        <v>2687</v>
      </c>
      <c r="C588" s="80" t="s">
        <v>2392</v>
      </c>
      <c r="D588" s="80" t="s">
        <v>2644</v>
      </c>
      <c r="E588" s="80" t="s">
        <v>2641</v>
      </c>
      <c r="F588" s="80" t="s">
        <v>2372</v>
      </c>
      <c r="G588" s="80" t="s">
        <v>2694</v>
      </c>
      <c r="H588" s="79">
        <v>3</v>
      </c>
      <c r="I588" s="79">
        <v>4447.8999999999996</v>
      </c>
      <c r="J588" s="79">
        <v>13343.7</v>
      </c>
    </row>
    <row r="589" spans="1:10" ht="15" thickBot="1">
      <c r="A589" s="98" t="s">
        <v>2629</v>
      </c>
      <c r="B589" s="80" t="s">
        <v>2684</v>
      </c>
      <c r="C589" s="80" t="s">
        <v>2393</v>
      </c>
      <c r="D589" s="80" t="s">
        <v>2644</v>
      </c>
      <c r="E589" s="80" t="s">
        <v>2641</v>
      </c>
      <c r="F589" s="80" t="s">
        <v>2374</v>
      </c>
      <c r="G589" s="80" t="s">
        <v>2689</v>
      </c>
      <c r="H589" s="79">
        <v>10</v>
      </c>
      <c r="I589" s="79">
        <v>1318.51</v>
      </c>
      <c r="J589" s="79">
        <v>13185.1</v>
      </c>
    </row>
    <row r="590" spans="1:10" ht="15" thickBot="1">
      <c r="A590" s="98" t="s">
        <v>2526</v>
      </c>
      <c r="B590" s="80" t="s">
        <v>2678</v>
      </c>
      <c r="C590" s="80" t="s">
        <v>2654</v>
      </c>
      <c r="D590" s="80" t="s">
        <v>2646</v>
      </c>
      <c r="E590" s="80" t="s">
        <v>2642</v>
      </c>
      <c r="F590" s="80" t="s">
        <v>2661</v>
      </c>
      <c r="G590" s="80" t="s">
        <v>2698</v>
      </c>
      <c r="H590" s="79">
        <v>20</v>
      </c>
      <c r="I590" s="79">
        <v>1731.99</v>
      </c>
      <c r="J590" s="79">
        <v>34639.800000000003</v>
      </c>
    </row>
    <row r="591" spans="1:10" ht="15" thickBot="1">
      <c r="A591" s="98">
        <v>44938</v>
      </c>
      <c r="B591" s="80" t="s">
        <v>2684</v>
      </c>
      <c r="C591" s="80" t="s">
        <v>2653</v>
      </c>
      <c r="D591" s="80" t="s">
        <v>2644</v>
      </c>
      <c r="E591" s="80" t="s">
        <v>2641</v>
      </c>
      <c r="F591" s="80" t="s">
        <v>2372</v>
      </c>
      <c r="G591" s="80" t="s">
        <v>2690</v>
      </c>
      <c r="H591" s="79">
        <v>12</v>
      </c>
      <c r="I591" s="79">
        <v>4514.3900000000003</v>
      </c>
      <c r="J591" s="79">
        <v>54172.68</v>
      </c>
    </row>
    <row r="592" spans="1:10" ht="15" thickBot="1">
      <c r="A592" s="98">
        <v>45087</v>
      </c>
      <c r="B592" s="80" t="s">
        <v>2687</v>
      </c>
      <c r="C592" s="80" t="s">
        <v>2658</v>
      </c>
      <c r="D592" s="80" t="s">
        <v>2645</v>
      </c>
      <c r="E592" s="80" t="s">
        <v>2642</v>
      </c>
      <c r="F592" s="80" t="s">
        <v>2373</v>
      </c>
      <c r="G592" s="80" t="s">
        <v>2703</v>
      </c>
      <c r="H592" s="79">
        <v>20</v>
      </c>
      <c r="I592" s="79">
        <v>1710.93</v>
      </c>
      <c r="J592" s="79">
        <v>34218.6</v>
      </c>
    </row>
    <row r="593" spans="1:10" ht="15" thickBot="1">
      <c r="A593" s="98">
        <v>45204</v>
      </c>
      <c r="B593" s="80" t="s">
        <v>2679</v>
      </c>
      <c r="C593" s="80" t="s">
        <v>2655</v>
      </c>
      <c r="D593" s="80" t="s">
        <v>2645</v>
      </c>
      <c r="E593" s="80" t="s">
        <v>2642</v>
      </c>
      <c r="F593" s="80" t="s">
        <v>2374</v>
      </c>
      <c r="G593" s="80" t="s">
        <v>2692</v>
      </c>
      <c r="H593" s="79">
        <v>19</v>
      </c>
      <c r="I593" s="79">
        <v>491.53</v>
      </c>
      <c r="J593" s="79">
        <v>9339.07</v>
      </c>
    </row>
    <row r="594" spans="1:10" ht="15" thickBot="1">
      <c r="A594" s="98">
        <v>45268</v>
      </c>
      <c r="B594" s="80" t="s">
        <v>2687</v>
      </c>
      <c r="C594" s="80" t="s">
        <v>2658</v>
      </c>
      <c r="D594" s="80" t="s">
        <v>2645</v>
      </c>
      <c r="E594" s="80" t="s">
        <v>2642</v>
      </c>
      <c r="F594" s="80" t="s">
        <v>2661</v>
      </c>
      <c r="G594" s="80" t="s">
        <v>2691</v>
      </c>
      <c r="H594" s="79">
        <v>6</v>
      </c>
      <c r="I594" s="79">
        <v>203.88</v>
      </c>
      <c r="J594" s="79">
        <v>1223.28</v>
      </c>
    </row>
    <row r="595" spans="1:10" ht="15" thickBot="1">
      <c r="A595" s="98" t="s">
        <v>2472</v>
      </c>
      <c r="B595" s="80" t="s">
        <v>2679</v>
      </c>
      <c r="C595" s="80" t="s">
        <v>2392</v>
      </c>
      <c r="D595" s="80" t="s">
        <v>2644</v>
      </c>
      <c r="E595" s="80" t="s">
        <v>2641</v>
      </c>
      <c r="F595" s="80" t="s">
        <v>2374</v>
      </c>
      <c r="G595" s="80" t="s">
        <v>2689</v>
      </c>
      <c r="H595" s="79">
        <v>19</v>
      </c>
      <c r="I595" s="79">
        <v>4786.8900000000003</v>
      </c>
      <c r="J595" s="79">
        <v>90950.91</v>
      </c>
    </row>
    <row r="596" spans="1:10" ht="15" thickBot="1">
      <c r="A596" s="98">
        <v>45210</v>
      </c>
      <c r="B596" s="80" t="s">
        <v>2687</v>
      </c>
      <c r="C596" s="80" t="s">
        <v>2649</v>
      </c>
      <c r="D596" s="80" t="s">
        <v>2645</v>
      </c>
      <c r="E596" s="80" t="s">
        <v>2642</v>
      </c>
      <c r="F596" s="80" t="s">
        <v>2372</v>
      </c>
      <c r="G596" s="80" t="s">
        <v>2694</v>
      </c>
      <c r="H596" s="79">
        <v>11</v>
      </c>
      <c r="I596" s="79">
        <v>2666.77</v>
      </c>
      <c r="J596" s="79">
        <v>29334.47</v>
      </c>
    </row>
    <row r="597" spans="1:10" ht="15" thickBot="1">
      <c r="A597" s="98">
        <v>45201</v>
      </c>
      <c r="B597" s="80" t="s">
        <v>2681</v>
      </c>
      <c r="C597" s="80" t="s">
        <v>2653</v>
      </c>
      <c r="D597" s="80" t="s">
        <v>2644</v>
      </c>
      <c r="E597" s="80" t="s">
        <v>2641</v>
      </c>
      <c r="F597" s="80" t="s">
        <v>2370</v>
      </c>
      <c r="G597" s="80" t="s">
        <v>1335</v>
      </c>
      <c r="H597" s="79">
        <v>19</v>
      </c>
      <c r="I597" s="79">
        <v>2174.7600000000002</v>
      </c>
      <c r="J597" s="79">
        <v>41320.44</v>
      </c>
    </row>
    <row r="598" spans="1:10" ht="15" thickBot="1">
      <c r="A598" s="98" t="s">
        <v>2606</v>
      </c>
      <c r="B598" s="80" t="s">
        <v>2681</v>
      </c>
      <c r="C598" s="80" t="s">
        <v>2657</v>
      </c>
      <c r="D598" s="80" t="s">
        <v>2648</v>
      </c>
      <c r="E598" s="80" t="s">
        <v>2641</v>
      </c>
      <c r="F598" s="80" t="s">
        <v>2374</v>
      </c>
      <c r="G598" s="80" t="s">
        <v>2704</v>
      </c>
      <c r="H598" s="79">
        <v>1</v>
      </c>
      <c r="I598" s="79">
        <v>1678.18</v>
      </c>
      <c r="J598" s="79">
        <v>1678.18</v>
      </c>
    </row>
    <row r="599" spans="1:10" ht="15" thickBot="1">
      <c r="A599" s="98" t="s">
        <v>2478</v>
      </c>
      <c r="B599" s="80" t="s">
        <v>2683</v>
      </c>
      <c r="C599" s="80" t="s">
        <v>2653</v>
      </c>
      <c r="D599" s="80" t="s">
        <v>2644</v>
      </c>
      <c r="E599" s="80" t="s">
        <v>2641</v>
      </c>
      <c r="F599" s="80" t="s">
        <v>2370</v>
      </c>
      <c r="G599" s="80" t="s">
        <v>2701</v>
      </c>
      <c r="H599" s="79">
        <v>20</v>
      </c>
      <c r="I599" s="79">
        <v>2163.9499999999998</v>
      </c>
      <c r="J599" s="79">
        <v>43279</v>
      </c>
    </row>
    <row r="600" spans="1:10" ht="15" thickBot="1">
      <c r="A600" s="98">
        <v>45058</v>
      </c>
      <c r="B600" s="80" t="s">
        <v>2681</v>
      </c>
      <c r="C600" s="80" t="s">
        <v>2653</v>
      </c>
      <c r="D600" s="80" t="s">
        <v>2644</v>
      </c>
      <c r="E600" s="80" t="s">
        <v>2641</v>
      </c>
      <c r="F600" s="80" t="s">
        <v>2373</v>
      </c>
      <c r="G600" s="80" t="s">
        <v>2688</v>
      </c>
      <c r="H600" s="79">
        <v>18</v>
      </c>
      <c r="I600" s="79">
        <v>3511.28</v>
      </c>
      <c r="J600" s="79">
        <v>63203.040000000001</v>
      </c>
    </row>
    <row r="601" spans="1:10" ht="15" thickBot="1">
      <c r="A601" s="98">
        <v>45047</v>
      </c>
      <c r="B601" s="80" t="s">
        <v>2679</v>
      </c>
      <c r="C601" s="80" t="s">
        <v>2649</v>
      </c>
      <c r="D601" s="80" t="s">
        <v>2645</v>
      </c>
      <c r="E601" s="80" t="s">
        <v>2642</v>
      </c>
      <c r="F601" s="80" t="s">
        <v>2374</v>
      </c>
      <c r="G601" s="80" t="s">
        <v>2700</v>
      </c>
      <c r="H601" s="79">
        <v>13</v>
      </c>
      <c r="I601" s="79">
        <v>2979.65</v>
      </c>
      <c r="J601" s="79">
        <v>38735.449999999997</v>
      </c>
    </row>
    <row r="602" spans="1:10" ht="15" thickBot="1">
      <c r="A602" s="98" t="s">
        <v>2568</v>
      </c>
      <c r="B602" s="80" t="s">
        <v>2686</v>
      </c>
      <c r="C602" s="80" t="s">
        <v>2653</v>
      </c>
      <c r="D602" s="80" t="s">
        <v>2644</v>
      </c>
      <c r="E602" s="80" t="s">
        <v>2641</v>
      </c>
      <c r="F602" s="80" t="s">
        <v>2372</v>
      </c>
      <c r="G602" s="80" t="s">
        <v>2693</v>
      </c>
      <c r="H602" s="79">
        <v>4</v>
      </c>
      <c r="I602" s="79">
        <v>2985.48</v>
      </c>
      <c r="J602" s="79">
        <v>11941.92</v>
      </c>
    </row>
    <row r="603" spans="1:10" ht="15" thickBot="1">
      <c r="A603" s="98" t="s">
        <v>2552</v>
      </c>
      <c r="B603" s="80" t="s">
        <v>2682</v>
      </c>
      <c r="C603" s="80" t="s">
        <v>2649</v>
      </c>
      <c r="D603" s="80" t="s">
        <v>2645</v>
      </c>
      <c r="E603" s="80" t="s">
        <v>2642</v>
      </c>
      <c r="F603" s="80" t="s">
        <v>2374</v>
      </c>
      <c r="G603" s="80" t="s">
        <v>2692</v>
      </c>
      <c r="H603" s="79">
        <v>18</v>
      </c>
      <c r="I603" s="79">
        <v>3989.44</v>
      </c>
      <c r="J603" s="79">
        <v>71809.919999999998</v>
      </c>
    </row>
    <row r="604" spans="1:10" ht="15" thickBot="1">
      <c r="A604" s="98" t="s">
        <v>2486</v>
      </c>
      <c r="B604" s="80" t="s">
        <v>2682</v>
      </c>
      <c r="C604" s="80" t="s">
        <v>2656</v>
      </c>
      <c r="D604" s="80" t="s">
        <v>2648</v>
      </c>
      <c r="E604" s="80" t="s">
        <v>2641</v>
      </c>
      <c r="F604" s="80" t="s">
        <v>2370</v>
      </c>
      <c r="G604" s="80" t="s">
        <v>2702</v>
      </c>
      <c r="H604" s="79">
        <v>14</v>
      </c>
      <c r="I604" s="79">
        <v>2251.87</v>
      </c>
      <c r="J604" s="79">
        <v>31526.18</v>
      </c>
    </row>
    <row r="605" spans="1:10" ht="15" thickBot="1">
      <c r="A605" s="98">
        <v>45173</v>
      </c>
      <c r="B605" s="80" t="s">
        <v>2687</v>
      </c>
      <c r="C605" s="80" t="s">
        <v>2396</v>
      </c>
      <c r="D605" s="80" t="s">
        <v>2648</v>
      </c>
      <c r="E605" s="80" t="s">
        <v>2641</v>
      </c>
      <c r="F605" s="80" t="s">
        <v>2661</v>
      </c>
      <c r="G605" s="80" t="s">
        <v>2698</v>
      </c>
      <c r="H605" s="79">
        <v>8</v>
      </c>
      <c r="I605" s="79">
        <v>2519.3000000000002</v>
      </c>
      <c r="J605" s="79">
        <v>20154.400000000001</v>
      </c>
    </row>
    <row r="606" spans="1:10" ht="15" thickBot="1">
      <c r="A606" s="98" t="s">
        <v>2634</v>
      </c>
      <c r="B606" s="80" t="s">
        <v>2680</v>
      </c>
      <c r="C606" s="80" t="s">
        <v>2649</v>
      </c>
      <c r="D606" s="80" t="s">
        <v>2645</v>
      </c>
      <c r="E606" s="80" t="s">
        <v>2642</v>
      </c>
      <c r="F606" s="80" t="s">
        <v>2372</v>
      </c>
      <c r="G606" s="80" t="s">
        <v>2690</v>
      </c>
      <c r="H606" s="79">
        <v>3</v>
      </c>
      <c r="I606" s="79">
        <v>1129.8800000000001</v>
      </c>
      <c r="J606" s="79">
        <v>3389.64</v>
      </c>
    </row>
    <row r="607" spans="1:10" ht="15" thickBot="1">
      <c r="A607" s="98">
        <v>45087</v>
      </c>
      <c r="B607" s="80" t="s">
        <v>2678</v>
      </c>
      <c r="C607" s="80" t="s">
        <v>2656</v>
      </c>
      <c r="D607" s="80" t="s">
        <v>2648</v>
      </c>
      <c r="E607" s="80" t="s">
        <v>2641</v>
      </c>
      <c r="F607" s="80" t="s">
        <v>2373</v>
      </c>
      <c r="G607" s="80" t="s">
        <v>2703</v>
      </c>
      <c r="H607" s="79">
        <v>15</v>
      </c>
      <c r="I607" s="79">
        <v>4146.03</v>
      </c>
      <c r="J607" s="79">
        <v>62190.45</v>
      </c>
    </row>
    <row r="608" spans="1:10" ht="15" thickBot="1">
      <c r="A608" s="98">
        <v>45113</v>
      </c>
      <c r="B608" s="80" t="s">
        <v>2686</v>
      </c>
      <c r="C608" s="80" t="s">
        <v>2653</v>
      </c>
      <c r="D608" s="80" t="s">
        <v>2644</v>
      </c>
      <c r="E608" s="80" t="s">
        <v>2641</v>
      </c>
      <c r="F608" s="80" t="s">
        <v>2373</v>
      </c>
      <c r="G608" s="80" t="s">
        <v>2697</v>
      </c>
      <c r="H608" s="79">
        <v>4</v>
      </c>
      <c r="I608" s="79">
        <v>3564.22</v>
      </c>
      <c r="J608" s="79">
        <v>14256.88</v>
      </c>
    </row>
    <row r="609" spans="1:10" ht="15" thickBot="1">
      <c r="A609" s="98" t="s">
        <v>2508</v>
      </c>
      <c r="B609" s="80" t="s">
        <v>2686</v>
      </c>
      <c r="C609" s="80" t="s">
        <v>2654</v>
      </c>
      <c r="D609" s="80" t="s">
        <v>2646</v>
      </c>
      <c r="E609" s="80" t="s">
        <v>2642</v>
      </c>
      <c r="F609" s="80" t="s">
        <v>2373</v>
      </c>
      <c r="G609" s="80" t="s">
        <v>2703</v>
      </c>
      <c r="H609" s="79">
        <v>14</v>
      </c>
      <c r="I609" s="79">
        <v>414.51</v>
      </c>
      <c r="J609" s="79">
        <v>5803.14</v>
      </c>
    </row>
    <row r="610" spans="1:10" ht="15" thickBot="1">
      <c r="A610" s="98" t="s">
        <v>2612</v>
      </c>
      <c r="B610" s="80" t="s">
        <v>2687</v>
      </c>
      <c r="C610" s="80" t="s">
        <v>2656</v>
      </c>
      <c r="D610" s="80" t="s">
        <v>2648</v>
      </c>
      <c r="E610" s="80" t="s">
        <v>2641</v>
      </c>
      <c r="F610" s="80" t="s">
        <v>2373</v>
      </c>
      <c r="G610" s="80" t="s">
        <v>2697</v>
      </c>
      <c r="H610" s="79">
        <v>11</v>
      </c>
      <c r="I610" s="79">
        <v>1788.39</v>
      </c>
      <c r="J610" s="79">
        <v>19672.29</v>
      </c>
    </row>
    <row r="611" spans="1:10" ht="15" thickBot="1">
      <c r="A611" s="98" t="s">
        <v>2506</v>
      </c>
      <c r="B611" s="80" t="s">
        <v>2683</v>
      </c>
      <c r="C611" s="80" t="s">
        <v>2655</v>
      </c>
      <c r="D611" s="80" t="s">
        <v>2645</v>
      </c>
      <c r="E611" s="80" t="s">
        <v>2642</v>
      </c>
      <c r="F611" s="80" t="s">
        <v>2372</v>
      </c>
      <c r="G611" s="80" t="s">
        <v>2699</v>
      </c>
      <c r="H611" s="79">
        <v>6</v>
      </c>
      <c r="I611" s="79">
        <v>2867.98</v>
      </c>
      <c r="J611" s="79">
        <v>17207.88</v>
      </c>
    </row>
    <row r="612" spans="1:10" ht="15" thickBot="1">
      <c r="A612" s="98" t="s">
        <v>2634</v>
      </c>
      <c r="B612" s="80" t="s">
        <v>2681</v>
      </c>
      <c r="C612" s="80" t="s">
        <v>2653</v>
      </c>
      <c r="D612" s="80" t="s">
        <v>2644</v>
      </c>
      <c r="E612" s="80" t="s">
        <v>2641</v>
      </c>
      <c r="F612" s="80" t="s">
        <v>2372</v>
      </c>
      <c r="G612" s="80" t="s">
        <v>2690</v>
      </c>
      <c r="H612" s="79">
        <v>6</v>
      </c>
      <c r="I612" s="79">
        <v>3566.53</v>
      </c>
      <c r="J612" s="79">
        <v>21399.18</v>
      </c>
    </row>
    <row r="613" spans="1:10" ht="15" thickBot="1">
      <c r="A613" s="98">
        <v>45025</v>
      </c>
      <c r="B613" s="80" t="s">
        <v>2685</v>
      </c>
      <c r="C613" s="80" t="s">
        <v>2396</v>
      </c>
      <c r="D613" s="80" t="s">
        <v>2648</v>
      </c>
      <c r="E613" s="80" t="s">
        <v>2641</v>
      </c>
      <c r="F613" s="80" t="s">
        <v>2374</v>
      </c>
      <c r="G613" s="80" t="s">
        <v>2692</v>
      </c>
      <c r="H613" s="79">
        <v>13</v>
      </c>
      <c r="I613" s="79">
        <v>2669.5</v>
      </c>
      <c r="J613" s="79">
        <v>34703.5</v>
      </c>
    </row>
    <row r="614" spans="1:10" ht="15" thickBot="1">
      <c r="A614" s="98">
        <v>45085</v>
      </c>
      <c r="B614" s="80" t="s">
        <v>2684</v>
      </c>
      <c r="C614" s="80" t="s">
        <v>2650</v>
      </c>
      <c r="D614" s="80" t="s">
        <v>2646</v>
      </c>
      <c r="E614" s="80" t="s">
        <v>2642</v>
      </c>
      <c r="F614" s="80" t="s">
        <v>2661</v>
      </c>
      <c r="G614" s="80" t="s">
        <v>2698</v>
      </c>
      <c r="H614" s="79">
        <v>6</v>
      </c>
      <c r="I614" s="79">
        <v>3842.46</v>
      </c>
      <c r="J614" s="79">
        <v>23054.76</v>
      </c>
    </row>
    <row r="615" spans="1:10" ht="15" thickBot="1">
      <c r="A615" s="98" t="s">
        <v>2632</v>
      </c>
      <c r="B615" s="80" t="s">
        <v>2682</v>
      </c>
      <c r="C615" s="80" t="s">
        <v>2393</v>
      </c>
      <c r="D615" s="80" t="s">
        <v>2644</v>
      </c>
      <c r="E615" s="80" t="s">
        <v>2641</v>
      </c>
      <c r="F615" s="80" t="s">
        <v>2373</v>
      </c>
      <c r="G615" s="80" t="s">
        <v>2688</v>
      </c>
      <c r="H615" s="79">
        <v>13</v>
      </c>
      <c r="I615" s="79">
        <v>1419.3</v>
      </c>
      <c r="J615" s="79">
        <v>18450.900000000001</v>
      </c>
    </row>
    <row r="616" spans="1:10" ht="15" thickBot="1">
      <c r="A616" s="98">
        <v>44961</v>
      </c>
      <c r="B616" s="80" t="s">
        <v>2681</v>
      </c>
      <c r="C616" s="80" t="s">
        <v>2660</v>
      </c>
      <c r="D616" s="80" t="s">
        <v>2647</v>
      </c>
      <c r="E616" s="80" t="s">
        <v>2643</v>
      </c>
      <c r="F616" s="80" t="s">
        <v>2370</v>
      </c>
      <c r="G616" s="80" t="s">
        <v>1335</v>
      </c>
      <c r="H616" s="79">
        <v>1</v>
      </c>
      <c r="I616" s="79">
        <v>3187.31</v>
      </c>
      <c r="J616" s="79">
        <v>3187.31</v>
      </c>
    </row>
    <row r="617" spans="1:10" ht="15" thickBot="1">
      <c r="A617" s="98">
        <v>44968</v>
      </c>
      <c r="B617" s="80" t="s">
        <v>2678</v>
      </c>
      <c r="C617" s="80" t="s">
        <v>2658</v>
      </c>
      <c r="D617" s="80" t="s">
        <v>2645</v>
      </c>
      <c r="E617" s="80" t="s">
        <v>2642</v>
      </c>
      <c r="F617" s="80" t="s">
        <v>2661</v>
      </c>
      <c r="G617" s="80" t="s">
        <v>2698</v>
      </c>
      <c r="H617" s="79">
        <v>12</v>
      </c>
      <c r="I617" s="79">
        <v>1837.2</v>
      </c>
      <c r="J617" s="79">
        <v>22046.400000000001</v>
      </c>
    </row>
    <row r="618" spans="1:10" ht="15" thickBot="1">
      <c r="A618" s="98" t="s">
        <v>2520</v>
      </c>
      <c r="B618" s="80" t="s">
        <v>2681</v>
      </c>
      <c r="C618" s="80" t="s">
        <v>2656</v>
      </c>
      <c r="D618" s="80" t="s">
        <v>2648</v>
      </c>
      <c r="E618" s="80" t="s">
        <v>2641</v>
      </c>
      <c r="F618" s="80" t="s">
        <v>2370</v>
      </c>
      <c r="G618" s="80" t="s">
        <v>2702</v>
      </c>
      <c r="H618" s="79">
        <v>2</v>
      </c>
      <c r="I618" s="79">
        <v>4081.92</v>
      </c>
      <c r="J618" s="79">
        <v>8163.84</v>
      </c>
    </row>
    <row r="619" spans="1:10" ht="15" thickBot="1">
      <c r="A619" s="98" t="s">
        <v>2462</v>
      </c>
      <c r="B619" s="80" t="s">
        <v>2679</v>
      </c>
      <c r="C619" s="80" t="s">
        <v>2656</v>
      </c>
      <c r="D619" s="80" t="s">
        <v>2648</v>
      </c>
      <c r="E619" s="80" t="s">
        <v>2641</v>
      </c>
      <c r="F619" s="80" t="s">
        <v>2661</v>
      </c>
      <c r="G619" s="80" t="s">
        <v>2691</v>
      </c>
      <c r="H619" s="79">
        <v>20</v>
      </c>
      <c r="I619" s="79">
        <v>3184.86</v>
      </c>
      <c r="J619" s="79">
        <v>63697.2</v>
      </c>
    </row>
    <row r="620" spans="1:10" ht="15" thickBot="1">
      <c r="A620" s="98" t="s">
        <v>2616</v>
      </c>
      <c r="B620" s="80" t="s">
        <v>2682</v>
      </c>
      <c r="C620" s="80" t="s">
        <v>2654</v>
      </c>
      <c r="D620" s="80" t="s">
        <v>2646</v>
      </c>
      <c r="E620" s="80" t="s">
        <v>2642</v>
      </c>
      <c r="F620" s="80" t="s">
        <v>2373</v>
      </c>
      <c r="G620" s="80" t="s">
        <v>2703</v>
      </c>
      <c r="H620" s="79">
        <v>8</v>
      </c>
      <c r="I620" s="79">
        <v>3402.24</v>
      </c>
      <c r="J620" s="79">
        <v>27217.919999999998</v>
      </c>
    </row>
    <row r="621" spans="1:10" ht="15" thickBot="1">
      <c r="A621" s="98">
        <v>44966</v>
      </c>
      <c r="B621" s="80" t="s">
        <v>2682</v>
      </c>
      <c r="C621" s="80" t="s">
        <v>2392</v>
      </c>
      <c r="D621" s="80" t="s">
        <v>2644</v>
      </c>
      <c r="E621" s="80" t="s">
        <v>2641</v>
      </c>
      <c r="F621" s="80" t="s">
        <v>2373</v>
      </c>
      <c r="G621" s="80" t="s">
        <v>2703</v>
      </c>
      <c r="H621" s="79">
        <v>10</v>
      </c>
      <c r="I621" s="79">
        <v>2750.69</v>
      </c>
      <c r="J621" s="79">
        <v>27506.9</v>
      </c>
    </row>
    <row r="622" spans="1:10" ht="15" thickBot="1">
      <c r="A622" s="98">
        <v>45233</v>
      </c>
      <c r="B622" s="80" t="s">
        <v>2687</v>
      </c>
      <c r="C622" s="80" t="s">
        <v>2393</v>
      </c>
      <c r="D622" s="80" t="s">
        <v>2644</v>
      </c>
      <c r="E622" s="80" t="s">
        <v>2641</v>
      </c>
      <c r="F622" s="80" t="s">
        <v>2370</v>
      </c>
      <c r="G622" s="80" t="s">
        <v>1335</v>
      </c>
      <c r="H622" s="79">
        <v>13</v>
      </c>
      <c r="I622" s="79">
        <v>4090.9</v>
      </c>
      <c r="J622" s="79">
        <v>53181.7</v>
      </c>
    </row>
    <row r="623" spans="1:10" ht="15" thickBot="1">
      <c r="A623" s="98">
        <v>45237</v>
      </c>
      <c r="B623" s="80" t="s">
        <v>2686</v>
      </c>
      <c r="C623" s="80" t="s">
        <v>2658</v>
      </c>
      <c r="D623" s="80" t="s">
        <v>2645</v>
      </c>
      <c r="E623" s="80" t="s">
        <v>2642</v>
      </c>
      <c r="F623" s="80" t="s">
        <v>2661</v>
      </c>
      <c r="G623" s="80" t="s">
        <v>2696</v>
      </c>
      <c r="H623" s="79">
        <v>3</v>
      </c>
      <c r="I623" s="79">
        <v>4234</v>
      </c>
      <c r="J623" s="79">
        <v>12702</v>
      </c>
    </row>
    <row r="624" spans="1:10" ht="15" thickBot="1">
      <c r="A624" s="98">
        <v>45083</v>
      </c>
      <c r="B624" s="80" t="s">
        <v>2687</v>
      </c>
      <c r="C624" s="80" t="s">
        <v>2651</v>
      </c>
      <c r="D624" s="80" t="s">
        <v>2646</v>
      </c>
      <c r="E624" s="80" t="s">
        <v>2642</v>
      </c>
      <c r="F624" s="80" t="s">
        <v>2370</v>
      </c>
      <c r="G624" s="80" t="s">
        <v>2701</v>
      </c>
      <c r="H624" s="79">
        <v>12</v>
      </c>
      <c r="I624" s="79">
        <v>1701.3</v>
      </c>
      <c r="J624" s="79">
        <v>20415.599999999999</v>
      </c>
    </row>
    <row r="625" spans="1:10" ht="15" thickBot="1">
      <c r="A625" s="98">
        <v>45053</v>
      </c>
      <c r="B625" s="80" t="s">
        <v>2685</v>
      </c>
      <c r="C625" s="80" t="s">
        <v>2650</v>
      </c>
      <c r="D625" s="80" t="s">
        <v>2646</v>
      </c>
      <c r="E625" s="80" t="s">
        <v>2642</v>
      </c>
      <c r="F625" s="80" t="s">
        <v>2370</v>
      </c>
      <c r="G625" s="80" t="s">
        <v>2702</v>
      </c>
      <c r="H625" s="79">
        <v>18</v>
      </c>
      <c r="I625" s="79">
        <v>1599.01</v>
      </c>
      <c r="J625" s="79">
        <v>28782.18</v>
      </c>
    </row>
    <row r="626" spans="1:10" ht="15" thickBot="1">
      <c r="A626" s="98" t="s">
        <v>2575</v>
      </c>
      <c r="B626" s="80" t="s">
        <v>2685</v>
      </c>
      <c r="C626" s="80" t="s">
        <v>2655</v>
      </c>
      <c r="D626" s="80" t="s">
        <v>2645</v>
      </c>
      <c r="E626" s="80" t="s">
        <v>2642</v>
      </c>
      <c r="F626" s="80" t="s">
        <v>2370</v>
      </c>
      <c r="G626" s="80" t="s">
        <v>1335</v>
      </c>
      <c r="H626" s="79">
        <v>11</v>
      </c>
      <c r="I626" s="79">
        <v>4564.7299999999996</v>
      </c>
      <c r="J626" s="79">
        <v>50212.03</v>
      </c>
    </row>
    <row r="627" spans="1:10" ht="15" thickBot="1">
      <c r="A627" s="98">
        <v>44992</v>
      </c>
      <c r="B627" s="80" t="s">
        <v>2678</v>
      </c>
      <c r="C627" s="80" t="s">
        <v>2656</v>
      </c>
      <c r="D627" s="80" t="s">
        <v>2648</v>
      </c>
      <c r="E627" s="80" t="s">
        <v>2641</v>
      </c>
      <c r="F627" s="80" t="s">
        <v>2373</v>
      </c>
      <c r="G627" s="80" t="s">
        <v>2697</v>
      </c>
      <c r="H627" s="79">
        <v>14</v>
      </c>
      <c r="I627" s="79">
        <v>3507.75</v>
      </c>
      <c r="J627" s="79">
        <v>49108.5</v>
      </c>
    </row>
    <row r="628" spans="1:10" ht="15" thickBot="1">
      <c r="A628" s="98" t="s">
        <v>2472</v>
      </c>
      <c r="B628" s="80" t="s">
        <v>2684</v>
      </c>
      <c r="C628" s="80" t="s">
        <v>2652</v>
      </c>
      <c r="D628" s="80" t="s">
        <v>2647</v>
      </c>
      <c r="E628" s="80" t="s">
        <v>2643</v>
      </c>
      <c r="F628" s="80" t="s">
        <v>2374</v>
      </c>
      <c r="G628" s="80" t="s">
        <v>2692</v>
      </c>
      <c r="H628" s="79">
        <v>4</v>
      </c>
      <c r="I628" s="79">
        <v>810.38</v>
      </c>
      <c r="J628" s="79">
        <v>3241.52</v>
      </c>
    </row>
    <row r="629" spans="1:10" ht="15" thickBot="1">
      <c r="A629" s="98" t="s">
        <v>2565</v>
      </c>
      <c r="B629" s="80" t="s">
        <v>2678</v>
      </c>
      <c r="C629" s="80" t="s">
        <v>2393</v>
      </c>
      <c r="D629" s="80" t="s">
        <v>2644</v>
      </c>
      <c r="E629" s="80" t="s">
        <v>2641</v>
      </c>
      <c r="F629" s="80" t="s">
        <v>2370</v>
      </c>
      <c r="G629" s="80" t="s">
        <v>2701</v>
      </c>
      <c r="H629" s="79">
        <v>7</v>
      </c>
      <c r="I629" s="79">
        <v>698.8</v>
      </c>
      <c r="J629" s="79">
        <v>4891.6000000000004</v>
      </c>
    </row>
    <row r="630" spans="1:10" ht="15" thickBot="1">
      <c r="A630" s="98">
        <v>45208</v>
      </c>
      <c r="B630" s="80" t="s">
        <v>2686</v>
      </c>
      <c r="C630" s="80" t="s">
        <v>2654</v>
      </c>
      <c r="D630" s="80" t="s">
        <v>2646</v>
      </c>
      <c r="E630" s="80" t="s">
        <v>2642</v>
      </c>
      <c r="F630" s="80" t="s">
        <v>2370</v>
      </c>
      <c r="G630" s="80" t="s">
        <v>2702</v>
      </c>
      <c r="H630" s="79">
        <v>14</v>
      </c>
      <c r="I630" s="79">
        <v>2833.44</v>
      </c>
      <c r="J630" s="79">
        <v>39668.160000000003</v>
      </c>
    </row>
    <row r="631" spans="1:10" ht="15" thickBot="1">
      <c r="A631" s="98" t="s">
        <v>2548</v>
      </c>
      <c r="B631" s="80" t="s">
        <v>2681</v>
      </c>
      <c r="C631" s="80" t="s">
        <v>2658</v>
      </c>
      <c r="D631" s="80" t="s">
        <v>2645</v>
      </c>
      <c r="E631" s="80" t="s">
        <v>2642</v>
      </c>
      <c r="F631" s="80" t="s">
        <v>2661</v>
      </c>
      <c r="G631" s="80" t="s">
        <v>2696</v>
      </c>
      <c r="H631" s="79">
        <v>20</v>
      </c>
      <c r="I631" s="79">
        <v>2409.6799999999998</v>
      </c>
      <c r="J631" s="79">
        <v>48193.599999999999</v>
      </c>
    </row>
    <row r="632" spans="1:10" ht="15" thickBot="1">
      <c r="A632" s="98">
        <v>45086</v>
      </c>
      <c r="B632" s="80" t="s">
        <v>2686</v>
      </c>
      <c r="C632" s="80" t="s">
        <v>2650</v>
      </c>
      <c r="D632" s="80" t="s">
        <v>2646</v>
      </c>
      <c r="E632" s="80" t="s">
        <v>2642</v>
      </c>
      <c r="F632" s="80" t="s">
        <v>2661</v>
      </c>
      <c r="G632" s="80" t="s">
        <v>2698</v>
      </c>
      <c r="H632" s="79">
        <v>17</v>
      </c>
      <c r="I632" s="79">
        <v>2448.5100000000002</v>
      </c>
      <c r="J632" s="79">
        <v>41624.67</v>
      </c>
    </row>
    <row r="633" spans="1:10" ht="15" thickBot="1">
      <c r="A633" s="98">
        <v>45207</v>
      </c>
      <c r="B633" s="80" t="s">
        <v>2687</v>
      </c>
      <c r="C633" s="80" t="s">
        <v>2650</v>
      </c>
      <c r="D633" s="80" t="s">
        <v>2646</v>
      </c>
      <c r="E633" s="80" t="s">
        <v>2642</v>
      </c>
      <c r="F633" s="80" t="s">
        <v>2372</v>
      </c>
      <c r="G633" s="80" t="s">
        <v>2693</v>
      </c>
      <c r="H633" s="79">
        <v>7</v>
      </c>
      <c r="I633" s="79">
        <v>4029.58</v>
      </c>
      <c r="J633" s="79">
        <v>28207.06</v>
      </c>
    </row>
    <row r="634" spans="1:10" ht="15" thickBot="1">
      <c r="A634" s="98" t="s">
        <v>2451</v>
      </c>
      <c r="B634" s="80" t="s">
        <v>2681</v>
      </c>
      <c r="C634" s="80" t="s">
        <v>2651</v>
      </c>
      <c r="D634" s="80" t="s">
        <v>2646</v>
      </c>
      <c r="E634" s="80" t="s">
        <v>2642</v>
      </c>
      <c r="F634" s="80" t="s">
        <v>2661</v>
      </c>
      <c r="G634" s="80" t="s">
        <v>2695</v>
      </c>
      <c r="H634" s="79">
        <v>15</v>
      </c>
      <c r="I634" s="79">
        <v>3999.29</v>
      </c>
      <c r="J634" s="79">
        <v>59989.35</v>
      </c>
    </row>
    <row r="635" spans="1:10" ht="15" thickBot="1">
      <c r="A635" s="98" t="s">
        <v>2596</v>
      </c>
      <c r="B635" s="80" t="s">
        <v>2683</v>
      </c>
      <c r="C635" s="80" t="s">
        <v>2649</v>
      </c>
      <c r="D635" s="80" t="s">
        <v>2645</v>
      </c>
      <c r="E635" s="80" t="s">
        <v>2642</v>
      </c>
      <c r="F635" s="80" t="s">
        <v>2374</v>
      </c>
      <c r="G635" s="80" t="s">
        <v>2700</v>
      </c>
      <c r="H635" s="79">
        <v>17</v>
      </c>
      <c r="I635" s="79">
        <v>583.88</v>
      </c>
      <c r="J635" s="79">
        <v>9925.9599999999991</v>
      </c>
    </row>
    <row r="636" spans="1:10" ht="15" thickBot="1">
      <c r="A636" s="98">
        <v>44965</v>
      </c>
      <c r="B636" s="80" t="s">
        <v>2687</v>
      </c>
      <c r="C636" s="80" t="s">
        <v>2396</v>
      </c>
      <c r="D636" s="80" t="s">
        <v>2648</v>
      </c>
      <c r="E636" s="80" t="s">
        <v>2641</v>
      </c>
      <c r="F636" s="80" t="s">
        <v>2372</v>
      </c>
      <c r="G636" s="80" t="s">
        <v>2694</v>
      </c>
      <c r="H636" s="79">
        <v>7</v>
      </c>
      <c r="I636" s="79">
        <v>1319.32</v>
      </c>
      <c r="J636" s="79">
        <v>9235.24</v>
      </c>
    </row>
    <row r="637" spans="1:10" ht="15" thickBot="1">
      <c r="A637" s="98" t="s">
        <v>2492</v>
      </c>
      <c r="B637" s="80" t="s">
        <v>2682</v>
      </c>
      <c r="C637" s="80" t="s">
        <v>2653</v>
      </c>
      <c r="D637" s="80" t="s">
        <v>2644</v>
      </c>
      <c r="E637" s="80" t="s">
        <v>2641</v>
      </c>
      <c r="F637" s="80" t="s">
        <v>2373</v>
      </c>
      <c r="G637" s="80" t="s">
        <v>2705</v>
      </c>
      <c r="H637" s="79">
        <v>15</v>
      </c>
      <c r="I637" s="79">
        <v>2698.6</v>
      </c>
      <c r="J637" s="79">
        <v>40479</v>
      </c>
    </row>
    <row r="638" spans="1:10" ht="15" thickBot="1">
      <c r="A638" s="98" t="s">
        <v>2471</v>
      </c>
      <c r="B638" s="80" t="s">
        <v>2680</v>
      </c>
      <c r="C638" s="80" t="s">
        <v>2658</v>
      </c>
      <c r="D638" s="80" t="s">
        <v>2645</v>
      </c>
      <c r="E638" s="80" t="s">
        <v>2642</v>
      </c>
      <c r="F638" s="80" t="s">
        <v>2374</v>
      </c>
      <c r="G638" s="80" t="s">
        <v>2700</v>
      </c>
      <c r="H638" s="79">
        <v>19</v>
      </c>
      <c r="I638" s="79">
        <v>4364.6400000000003</v>
      </c>
      <c r="J638" s="79">
        <v>82928.160000000003</v>
      </c>
    </row>
    <row r="639" spans="1:10" ht="15" thickBot="1">
      <c r="A639" s="98" t="s">
        <v>2505</v>
      </c>
      <c r="B639" s="80" t="s">
        <v>2685</v>
      </c>
      <c r="C639" s="80" t="s">
        <v>2651</v>
      </c>
      <c r="D639" s="80" t="s">
        <v>2646</v>
      </c>
      <c r="E639" s="80" t="s">
        <v>2642</v>
      </c>
      <c r="F639" s="80" t="s">
        <v>2373</v>
      </c>
      <c r="G639" s="80" t="s">
        <v>2697</v>
      </c>
      <c r="H639" s="79">
        <v>8</v>
      </c>
      <c r="I639" s="79">
        <v>4740.97</v>
      </c>
      <c r="J639" s="79">
        <v>37927.760000000002</v>
      </c>
    </row>
    <row r="640" spans="1:10" ht="15" thickBot="1">
      <c r="A640" s="98" t="s">
        <v>2574</v>
      </c>
      <c r="B640" s="80" t="s">
        <v>2682</v>
      </c>
      <c r="C640" s="80" t="s">
        <v>2649</v>
      </c>
      <c r="D640" s="80" t="s">
        <v>2645</v>
      </c>
      <c r="E640" s="80" t="s">
        <v>2642</v>
      </c>
      <c r="F640" s="80" t="s">
        <v>2374</v>
      </c>
      <c r="G640" s="80" t="s">
        <v>2700</v>
      </c>
      <c r="H640" s="79">
        <v>4</v>
      </c>
      <c r="I640" s="79">
        <v>917.97</v>
      </c>
      <c r="J640" s="79">
        <v>3671.88</v>
      </c>
    </row>
    <row r="641" spans="1:10" ht="15" thickBot="1">
      <c r="A641" s="98">
        <v>45174</v>
      </c>
      <c r="B641" s="80" t="s">
        <v>2682</v>
      </c>
      <c r="C641" s="80" t="s">
        <v>2396</v>
      </c>
      <c r="D641" s="80" t="s">
        <v>2648</v>
      </c>
      <c r="E641" s="80" t="s">
        <v>2641</v>
      </c>
      <c r="F641" s="80" t="s">
        <v>2372</v>
      </c>
      <c r="G641" s="80" t="s">
        <v>2693</v>
      </c>
      <c r="H641" s="79">
        <v>10</v>
      </c>
      <c r="I641" s="79">
        <v>224.53</v>
      </c>
      <c r="J641" s="79">
        <v>2245.3000000000002</v>
      </c>
    </row>
    <row r="642" spans="1:10" ht="15" thickBot="1">
      <c r="A642" s="98" t="s">
        <v>2439</v>
      </c>
      <c r="B642" s="80" t="s">
        <v>2679</v>
      </c>
      <c r="C642" s="80" t="s">
        <v>2652</v>
      </c>
      <c r="D642" s="80" t="s">
        <v>2647</v>
      </c>
      <c r="E642" s="80" t="s">
        <v>2643</v>
      </c>
      <c r="F642" s="80" t="s">
        <v>2374</v>
      </c>
      <c r="G642" s="80" t="s">
        <v>2700</v>
      </c>
      <c r="H642" s="79">
        <v>1</v>
      </c>
      <c r="I642" s="79">
        <v>3246.08</v>
      </c>
      <c r="J642" s="79">
        <v>3246.08</v>
      </c>
    </row>
    <row r="643" spans="1:10" ht="15" thickBot="1">
      <c r="A643" s="98" t="s">
        <v>2586</v>
      </c>
      <c r="B643" s="80" t="s">
        <v>2680</v>
      </c>
      <c r="C643" s="80" t="s">
        <v>2653</v>
      </c>
      <c r="D643" s="80" t="s">
        <v>2644</v>
      </c>
      <c r="E643" s="80" t="s">
        <v>2641</v>
      </c>
      <c r="F643" s="80" t="s">
        <v>2373</v>
      </c>
      <c r="G643" s="80" t="s">
        <v>2705</v>
      </c>
      <c r="H643" s="79">
        <v>16</v>
      </c>
      <c r="I643" s="79">
        <v>1411.33</v>
      </c>
      <c r="J643" s="79">
        <v>22581.279999999999</v>
      </c>
    </row>
    <row r="644" spans="1:10" ht="15" thickBot="1">
      <c r="A644" s="98">
        <v>45051</v>
      </c>
      <c r="B644" s="80" t="s">
        <v>2678</v>
      </c>
      <c r="C644" s="80" t="s">
        <v>2650</v>
      </c>
      <c r="D644" s="80" t="s">
        <v>2646</v>
      </c>
      <c r="E644" s="80" t="s">
        <v>2642</v>
      </c>
      <c r="F644" s="80" t="s">
        <v>2372</v>
      </c>
      <c r="G644" s="80" t="s">
        <v>2699</v>
      </c>
      <c r="H644" s="79">
        <v>19</v>
      </c>
      <c r="I644" s="79">
        <v>2174.06</v>
      </c>
      <c r="J644" s="79">
        <v>41307.14</v>
      </c>
    </row>
    <row r="645" spans="1:10" ht="15" thickBot="1">
      <c r="A645" s="98">
        <v>45203</v>
      </c>
      <c r="B645" s="80" t="s">
        <v>2678</v>
      </c>
      <c r="C645" s="80" t="s">
        <v>2651</v>
      </c>
      <c r="D645" s="80" t="s">
        <v>2646</v>
      </c>
      <c r="E645" s="80" t="s">
        <v>2642</v>
      </c>
      <c r="F645" s="80" t="s">
        <v>2661</v>
      </c>
      <c r="G645" s="80" t="s">
        <v>2695</v>
      </c>
      <c r="H645" s="79">
        <v>2</v>
      </c>
      <c r="I645" s="79">
        <v>1194.4000000000001</v>
      </c>
      <c r="J645" s="79">
        <v>2388.8000000000002</v>
      </c>
    </row>
    <row r="646" spans="1:10" ht="15" thickBot="1">
      <c r="A646" s="98" t="s">
        <v>2496</v>
      </c>
      <c r="B646" s="80" t="s">
        <v>2686</v>
      </c>
      <c r="C646" s="80" t="s">
        <v>2396</v>
      </c>
      <c r="D646" s="80" t="s">
        <v>2648</v>
      </c>
      <c r="E646" s="80" t="s">
        <v>2641</v>
      </c>
      <c r="F646" s="80" t="s">
        <v>2372</v>
      </c>
      <c r="G646" s="80" t="s">
        <v>2693</v>
      </c>
      <c r="H646" s="79">
        <v>2</v>
      </c>
      <c r="I646" s="79">
        <v>3726.58</v>
      </c>
      <c r="J646" s="79">
        <v>7453.16</v>
      </c>
    </row>
    <row r="647" spans="1:10" ht="15" thickBot="1">
      <c r="A647" s="98">
        <v>45144</v>
      </c>
      <c r="B647" s="80" t="s">
        <v>2683</v>
      </c>
      <c r="C647" s="80" t="s">
        <v>2650</v>
      </c>
      <c r="D647" s="80" t="s">
        <v>2646</v>
      </c>
      <c r="E647" s="80" t="s">
        <v>2642</v>
      </c>
      <c r="F647" s="80" t="s">
        <v>2373</v>
      </c>
      <c r="G647" s="80" t="s">
        <v>2703</v>
      </c>
      <c r="H647" s="79">
        <v>5</v>
      </c>
      <c r="I647" s="79">
        <v>1599.65</v>
      </c>
      <c r="J647" s="79">
        <v>7998.25</v>
      </c>
    </row>
    <row r="648" spans="1:10" ht="15" thickBot="1">
      <c r="A648" s="98" t="s">
        <v>2506</v>
      </c>
      <c r="B648" s="80" t="s">
        <v>2685</v>
      </c>
      <c r="C648" s="80" t="s">
        <v>2659</v>
      </c>
      <c r="D648" s="80" t="s">
        <v>2647</v>
      </c>
      <c r="E648" s="80" t="s">
        <v>2643</v>
      </c>
      <c r="F648" s="80" t="s">
        <v>2373</v>
      </c>
      <c r="G648" s="80" t="s">
        <v>2688</v>
      </c>
      <c r="H648" s="79">
        <v>16</v>
      </c>
      <c r="I648" s="79">
        <v>1628.19</v>
      </c>
      <c r="J648" s="79">
        <v>26051.040000000001</v>
      </c>
    </row>
    <row r="649" spans="1:10" ht="15" thickBot="1">
      <c r="A649" s="98" t="s">
        <v>2441</v>
      </c>
      <c r="B649" s="80" t="s">
        <v>2685</v>
      </c>
      <c r="C649" s="80" t="s">
        <v>2658</v>
      </c>
      <c r="D649" s="80" t="s">
        <v>2645</v>
      </c>
      <c r="E649" s="80" t="s">
        <v>2642</v>
      </c>
      <c r="F649" s="80" t="s">
        <v>2372</v>
      </c>
      <c r="G649" s="80" t="s">
        <v>2694</v>
      </c>
      <c r="H649" s="79">
        <v>17</v>
      </c>
      <c r="I649" s="79">
        <v>3381.75</v>
      </c>
      <c r="J649" s="79">
        <v>57489.75</v>
      </c>
    </row>
    <row r="650" spans="1:10" ht="15" thickBot="1">
      <c r="A650" s="98" t="s">
        <v>2461</v>
      </c>
      <c r="B650" s="80" t="s">
        <v>2679</v>
      </c>
      <c r="C650" s="80" t="s">
        <v>2649</v>
      </c>
      <c r="D650" s="80" t="s">
        <v>2645</v>
      </c>
      <c r="E650" s="80" t="s">
        <v>2642</v>
      </c>
      <c r="F650" s="80" t="s">
        <v>2374</v>
      </c>
      <c r="G650" s="80" t="s">
        <v>2689</v>
      </c>
      <c r="H650" s="79">
        <v>18</v>
      </c>
      <c r="I650" s="79">
        <v>3627.09</v>
      </c>
      <c r="J650" s="79">
        <v>65287.62</v>
      </c>
    </row>
    <row r="651" spans="1:10" ht="15" thickBot="1">
      <c r="A651" s="98" t="s">
        <v>2518</v>
      </c>
      <c r="B651" s="80" t="s">
        <v>2678</v>
      </c>
      <c r="C651" s="80" t="s">
        <v>2396</v>
      </c>
      <c r="D651" s="80" t="s">
        <v>2648</v>
      </c>
      <c r="E651" s="80" t="s">
        <v>2641</v>
      </c>
      <c r="F651" s="80" t="s">
        <v>2661</v>
      </c>
      <c r="G651" s="80" t="s">
        <v>2691</v>
      </c>
      <c r="H651" s="79">
        <v>2</v>
      </c>
      <c r="I651" s="79">
        <v>3106.64</v>
      </c>
      <c r="J651" s="79">
        <v>6213.28</v>
      </c>
    </row>
    <row r="652" spans="1:10" ht="15" thickBot="1">
      <c r="A652" s="98">
        <v>45202</v>
      </c>
      <c r="B652" s="80" t="s">
        <v>2678</v>
      </c>
      <c r="C652" s="80" t="s">
        <v>2393</v>
      </c>
      <c r="D652" s="80" t="s">
        <v>2644</v>
      </c>
      <c r="E652" s="80" t="s">
        <v>2641</v>
      </c>
      <c r="F652" s="80" t="s">
        <v>2370</v>
      </c>
      <c r="G652" s="80" t="s">
        <v>1336</v>
      </c>
      <c r="H652" s="79">
        <v>15</v>
      </c>
      <c r="I652" s="79">
        <v>4310.01</v>
      </c>
      <c r="J652" s="79">
        <v>64650.15</v>
      </c>
    </row>
    <row r="653" spans="1:10" ht="15" thickBot="1">
      <c r="A653" s="98">
        <v>44988</v>
      </c>
      <c r="B653" s="80" t="s">
        <v>2684</v>
      </c>
      <c r="C653" s="80" t="s">
        <v>2657</v>
      </c>
      <c r="D653" s="80" t="s">
        <v>2648</v>
      </c>
      <c r="E653" s="80" t="s">
        <v>2641</v>
      </c>
      <c r="F653" s="80" t="s">
        <v>2373</v>
      </c>
      <c r="G653" s="80" t="s">
        <v>2688</v>
      </c>
      <c r="H653" s="79">
        <v>14</v>
      </c>
      <c r="I653" s="79">
        <v>3352.19</v>
      </c>
      <c r="J653" s="79">
        <v>46930.66</v>
      </c>
    </row>
    <row r="654" spans="1:10" ht="15" thickBot="1">
      <c r="A654" s="98" t="s">
        <v>2542</v>
      </c>
      <c r="B654" s="80" t="s">
        <v>2681</v>
      </c>
      <c r="C654" s="80" t="s">
        <v>2659</v>
      </c>
      <c r="D654" s="80" t="s">
        <v>2647</v>
      </c>
      <c r="E654" s="80" t="s">
        <v>2643</v>
      </c>
      <c r="F654" s="80" t="s">
        <v>2370</v>
      </c>
      <c r="G654" s="80" t="s">
        <v>2701</v>
      </c>
      <c r="H654" s="79">
        <v>18</v>
      </c>
      <c r="I654" s="79">
        <v>214.47</v>
      </c>
      <c r="J654" s="79">
        <v>3860.46</v>
      </c>
    </row>
    <row r="655" spans="1:10" ht="15" thickBot="1">
      <c r="A655" s="98" t="s">
        <v>2548</v>
      </c>
      <c r="B655" s="80" t="s">
        <v>2678</v>
      </c>
      <c r="C655" s="80" t="s">
        <v>2655</v>
      </c>
      <c r="D655" s="80" t="s">
        <v>2645</v>
      </c>
      <c r="E655" s="80" t="s">
        <v>2642</v>
      </c>
      <c r="F655" s="80" t="s">
        <v>2661</v>
      </c>
      <c r="G655" s="80" t="s">
        <v>2691</v>
      </c>
      <c r="H655" s="79">
        <v>3</v>
      </c>
      <c r="I655" s="79">
        <v>1810.87</v>
      </c>
      <c r="J655" s="79">
        <v>5432.61</v>
      </c>
    </row>
    <row r="656" spans="1:10" ht="15" thickBot="1">
      <c r="A656" s="98" t="s">
        <v>2584</v>
      </c>
      <c r="B656" s="80" t="s">
        <v>2686</v>
      </c>
      <c r="C656" s="80" t="s">
        <v>2660</v>
      </c>
      <c r="D656" s="80" t="s">
        <v>2647</v>
      </c>
      <c r="E656" s="80" t="s">
        <v>2643</v>
      </c>
      <c r="F656" s="80" t="s">
        <v>2373</v>
      </c>
      <c r="G656" s="80" t="s">
        <v>2703</v>
      </c>
      <c r="H656" s="79">
        <v>3</v>
      </c>
      <c r="I656" s="79">
        <v>1105.46</v>
      </c>
      <c r="J656" s="79">
        <v>3316.38</v>
      </c>
    </row>
    <row r="657" spans="1:10" ht="15" thickBot="1">
      <c r="A657" s="98" t="s">
        <v>2462</v>
      </c>
      <c r="B657" s="80" t="s">
        <v>2687</v>
      </c>
      <c r="C657" s="80" t="s">
        <v>2392</v>
      </c>
      <c r="D657" s="80" t="s">
        <v>2644</v>
      </c>
      <c r="E657" s="80" t="s">
        <v>2641</v>
      </c>
      <c r="F657" s="80" t="s">
        <v>2661</v>
      </c>
      <c r="G657" s="80" t="s">
        <v>2695</v>
      </c>
      <c r="H657" s="79">
        <v>10</v>
      </c>
      <c r="I657" s="79">
        <v>3707.43</v>
      </c>
      <c r="J657" s="79">
        <v>37074.300000000003</v>
      </c>
    </row>
    <row r="658" spans="1:10" ht="15" thickBot="1">
      <c r="A658" s="98">
        <v>45209</v>
      </c>
      <c r="B658" s="80" t="s">
        <v>2685</v>
      </c>
      <c r="C658" s="80" t="s">
        <v>2651</v>
      </c>
      <c r="D658" s="80" t="s">
        <v>2646</v>
      </c>
      <c r="E658" s="80" t="s">
        <v>2642</v>
      </c>
      <c r="F658" s="80" t="s">
        <v>2370</v>
      </c>
      <c r="G658" s="80" t="s">
        <v>2701</v>
      </c>
      <c r="H658" s="79">
        <v>18</v>
      </c>
      <c r="I658" s="79">
        <v>584.4</v>
      </c>
      <c r="J658" s="79">
        <v>10519.2</v>
      </c>
    </row>
    <row r="659" spans="1:10" ht="15" thickBot="1">
      <c r="A659" s="98" t="s">
        <v>2535</v>
      </c>
      <c r="B659" s="80" t="s">
        <v>2679</v>
      </c>
      <c r="C659" s="80" t="s">
        <v>2655</v>
      </c>
      <c r="D659" s="80" t="s">
        <v>2645</v>
      </c>
      <c r="E659" s="80" t="s">
        <v>2642</v>
      </c>
      <c r="F659" s="80" t="s">
        <v>2373</v>
      </c>
      <c r="G659" s="80" t="s">
        <v>2703</v>
      </c>
      <c r="H659" s="79">
        <v>1</v>
      </c>
      <c r="I659" s="79">
        <v>2498.7399999999998</v>
      </c>
      <c r="J659" s="79">
        <v>2498.7399999999998</v>
      </c>
    </row>
    <row r="660" spans="1:10" ht="15" thickBot="1">
      <c r="A660" s="98">
        <v>45110</v>
      </c>
      <c r="B660" s="80" t="s">
        <v>2682</v>
      </c>
      <c r="C660" s="80" t="s">
        <v>2658</v>
      </c>
      <c r="D660" s="80" t="s">
        <v>2645</v>
      </c>
      <c r="E660" s="80" t="s">
        <v>2642</v>
      </c>
      <c r="F660" s="80" t="s">
        <v>2370</v>
      </c>
      <c r="G660" s="80" t="s">
        <v>2701</v>
      </c>
      <c r="H660" s="79">
        <v>17</v>
      </c>
      <c r="I660" s="79">
        <v>2460.73</v>
      </c>
      <c r="J660" s="79">
        <v>41832.410000000003</v>
      </c>
    </row>
    <row r="661" spans="1:10" ht="15" thickBot="1">
      <c r="A661" s="98">
        <v>45261</v>
      </c>
      <c r="B661" s="80" t="s">
        <v>2686</v>
      </c>
      <c r="C661" s="80" t="s">
        <v>2653</v>
      </c>
      <c r="D661" s="80" t="s">
        <v>2644</v>
      </c>
      <c r="E661" s="80" t="s">
        <v>2641</v>
      </c>
      <c r="F661" s="80" t="s">
        <v>2373</v>
      </c>
      <c r="G661" s="80" t="s">
        <v>2688</v>
      </c>
      <c r="H661" s="79">
        <v>13</v>
      </c>
      <c r="I661" s="79">
        <v>4630.9799999999996</v>
      </c>
      <c r="J661" s="79">
        <v>60202.74</v>
      </c>
    </row>
    <row r="662" spans="1:10" ht="15" thickBot="1">
      <c r="A662" s="98">
        <v>45241</v>
      </c>
      <c r="B662" s="80" t="s">
        <v>2681</v>
      </c>
      <c r="C662" s="80" t="s">
        <v>2658</v>
      </c>
      <c r="D662" s="80" t="s">
        <v>2645</v>
      </c>
      <c r="E662" s="80" t="s">
        <v>2642</v>
      </c>
      <c r="F662" s="80" t="s">
        <v>2370</v>
      </c>
      <c r="G662" s="80" t="s">
        <v>2702</v>
      </c>
      <c r="H662" s="79">
        <v>3</v>
      </c>
      <c r="I662" s="79">
        <v>4324.88</v>
      </c>
      <c r="J662" s="79">
        <v>12974.64</v>
      </c>
    </row>
    <row r="663" spans="1:10" ht="15" thickBot="1">
      <c r="A663" s="98">
        <v>45270</v>
      </c>
      <c r="B663" s="80" t="s">
        <v>2678</v>
      </c>
      <c r="C663" s="80" t="s">
        <v>2660</v>
      </c>
      <c r="D663" s="80" t="s">
        <v>2647</v>
      </c>
      <c r="E663" s="80" t="s">
        <v>2643</v>
      </c>
      <c r="F663" s="80" t="s">
        <v>2370</v>
      </c>
      <c r="G663" s="80" t="s">
        <v>2702</v>
      </c>
      <c r="H663" s="79">
        <v>20</v>
      </c>
      <c r="I663" s="79">
        <v>4049.4</v>
      </c>
      <c r="J663" s="79">
        <v>80988</v>
      </c>
    </row>
    <row r="664" spans="1:10" ht="15" thickBot="1">
      <c r="A664" s="98">
        <v>45148</v>
      </c>
      <c r="B664" s="80" t="s">
        <v>2679</v>
      </c>
      <c r="C664" s="80" t="s">
        <v>2657</v>
      </c>
      <c r="D664" s="80" t="s">
        <v>2648</v>
      </c>
      <c r="E664" s="80" t="s">
        <v>2641</v>
      </c>
      <c r="F664" s="80" t="s">
        <v>2661</v>
      </c>
      <c r="G664" s="80" t="s">
        <v>2698</v>
      </c>
      <c r="H664" s="79">
        <v>16</v>
      </c>
      <c r="I664" s="79">
        <v>2347.21</v>
      </c>
      <c r="J664" s="79">
        <v>37555.360000000001</v>
      </c>
    </row>
    <row r="665" spans="1:10" ht="15" thickBot="1">
      <c r="A665" s="98" t="s">
        <v>2547</v>
      </c>
      <c r="B665" s="80" t="s">
        <v>2679</v>
      </c>
      <c r="C665" s="80" t="s">
        <v>2393</v>
      </c>
      <c r="D665" s="80" t="s">
        <v>2644</v>
      </c>
      <c r="E665" s="80" t="s">
        <v>2641</v>
      </c>
      <c r="F665" s="80" t="s">
        <v>2372</v>
      </c>
      <c r="G665" s="80" t="s">
        <v>2699</v>
      </c>
      <c r="H665" s="79">
        <v>2</v>
      </c>
      <c r="I665" s="79">
        <v>3743.52</v>
      </c>
      <c r="J665" s="79">
        <v>7487.04</v>
      </c>
    </row>
    <row r="666" spans="1:10" ht="15" thickBot="1">
      <c r="A666" s="98" t="s">
        <v>2670</v>
      </c>
      <c r="B666" s="80" t="s">
        <v>2680</v>
      </c>
      <c r="C666" s="80" t="s">
        <v>2649</v>
      </c>
      <c r="D666" s="80" t="s">
        <v>2645</v>
      </c>
      <c r="E666" s="80" t="s">
        <v>2642</v>
      </c>
      <c r="F666" s="80" t="s">
        <v>2661</v>
      </c>
      <c r="G666" s="80" t="s">
        <v>2696</v>
      </c>
      <c r="H666" s="79">
        <v>8</v>
      </c>
      <c r="I666" s="79">
        <v>303.48</v>
      </c>
      <c r="J666" s="79">
        <v>2427.84</v>
      </c>
    </row>
    <row r="667" spans="1:10" ht="15" thickBot="1">
      <c r="A667" s="98" t="s">
        <v>2451</v>
      </c>
      <c r="B667" s="80" t="s">
        <v>2685</v>
      </c>
      <c r="C667" s="80" t="s">
        <v>2654</v>
      </c>
      <c r="D667" s="80" t="s">
        <v>2646</v>
      </c>
      <c r="E667" s="80" t="s">
        <v>2642</v>
      </c>
      <c r="F667" s="80" t="s">
        <v>2373</v>
      </c>
      <c r="G667" s="80" t="s">
        <v>2697</v>
      </c>
      <c r="H667" s="79">
        <v>7</v>
      </c>
      <c r="I667" s="79">
        <v>1373.41</v>
      </c>
      <c r="J667" s="79">
        <v>9613.8700000000008</v>
      </c>
    </row>
    <row r="668" spans="1:10" ht="15" thickBot="1">
      <c r="A668" s="98" t="s">
        <v>2605</v>
      </c>
      <c r="B668" s="80" t="s">
        <v>2685</v>
      </c>
      <c r="C668" s="80" t="s">
        <v>2659</v>
      </c>
      <c r="D668" s="80" t="s">
        <v>2647</v>
      </c>
      <c r="E668" s="80" t="s">
        <v>2643</v>
      </c>
      <c r="F668" s="80" t="s">
        <v>2370</v>
      </c>
      <c r="G668" s="80" t="s">
        <v>2701</v>
      </c>
      <c r="H668" s="79">
        <v>10</v>
      </c>
      <c r="I668" s="79">
        <v>3048.2</v>
      </c>
      <c r="J668" s="79">
        <v>30482</v>
      </c>
    </row>
    <row r="669" spans="1:10" ht="15" thickBot="1">
      <c r="A669" s="98" t="s">
        <v>2448</v>
      </c>
      <c r="B669" s="80" t="s">
        <v>2686</v>
      </c>
      <c r="C669" s="80" t="s">
        <v>2656</v>
      </c>
      <c r="D669" s="80" t="s">
        <v>2648</v>
      </c>
      <c r="E669" s="80" t="s">
        <v>2641</v>
      </c>
      <c r="F669" s="80" t="s">
        <v>2373</v>
      </c>
      <c r="G669" s="80" t="s">
        <v>2697</v>
      </c>
      <c r="H669" s="79">
        <v>20</v>
      </c>
      <c r="I669" s="79">
        <v>2818.78</v>
      </c>
      <c r="J669" s="79">
        <v>56375.6</v>
      </c>
    </row>
    <row r="670" spans="1:10" ht="15" thickBot="1">
      <c r="A670" s="98">
        <v>45027</v>
      </c>
      <c r="B670" s="80" t="s">
        <v>2679</v>
      </c>
      <c r="C670" s="80" t="s">
        <v>2393</v>
      </c>
      <c r="D670" s="80" t="s">
        <v>2644</v>
      </c>
      <c r="E670" s="80" t="s">
        <v>2641</v>
      </c>
      <c r="F670" s="80" t="s">
        <v>2372</v>
      </c>
      <c r="G670" s="80" t="s">
        <v>2699</v>
      </c>
      <c r="H670" s="79">
        <v>1</v>
      </c>
      <c r="I670" s="79">
        <v>4647.3</v>
      </c>
      <c r="J670" s="79">
        <v>4647.3</v>
      </c>
    </row>
    <row r="671" spans="1:10" ht="15" thickBot="1">
      <c r="A671" s="98">
        <v>45109</v>
      </c>
      <c r="B671" s="80" t="s">
        <v>2680</v>
      </c>
      <c r="C671" s="80" t="s">
        <v>2396</v>
      </c>
      <c r="D671" s="80" t="s">
        <v>2648</v>
      </c>
      <c r="E671" s="80" t="s">
        <v>2641</v>
      </c>
      <c r="F671" s="80" t="s">
        <v>2372</v>
      </c>
      <c r="G671" s="80" t="s">
        <v>2690</v>
      </c>
      <c r="H671" s="79">
        <v>20</v>
      </c>
      <c r="I671" s="79">
        <v>2302.4699999999998</v>
      </c>
      <c r="J671" s="79">
        <v>46049.4</v>
      </c>
    </row>
    <row r="672" spans="1:10" ht="15" thickBot="1">
      <c r="A672" s="98" t="s">
        <v>2472</v>
      </c>
      <c r="B672" s="80" t="s">
        <v>2687</v>
      </c>
      <c r="C672" s="80" t="s">
        <v>2659</v>
      </c>
      <c r="D672" s="80" t="s">
        <v>2647</v>
      </c>
      <c r="E672" s="80" t="s">
        <v>2643</v>
      </c>
      <c r="F672" s="80" t="s">
        <v>2373</v>
      </c>
      <c r="G672" s="80" t="s">
        <v>2697</v>
      </c>
      <c r="H672" s="79">
        <v>17</v>
      </c>
      <c r="I672" s="79">
        <v>2805.45</v>
      </c>
      <c r="J672" s="79">
        <v>47692.65</v>
      </c>
    </row>
    <row r="673" spans="1:10" ht="15" thickBot="1">
      <c r="A673" s="98" t="s">
        <v>2620</v>
      </c>
      <c r="B673" s="80" t="s">
        <v>2687</v>
      </c>
      <c r="C673" s="80" t="s">
        <v>2654</v>
      </c>
      <c r="D673" s="80" t="s">
        <v>2646</v>
      </c>
      <c r="E673" s="80" t="s">
        <v>2642</v>
      </c>
      <c r="F673" s="80" t="s">
        <v>2370</v>
      </c>
      <c r="G673" s="80" t="s">
        <v>1336</v>
      </c>
      <c r="H673" s="79">
        <v>3</v>
      </c>
      <c r="I673" s="79">
        <v>413.26</v>
      </c>
      <c r="J673" s="79">
        <v>1239.78</v>
      </c>
    </row>
    <row r="674" spans="1:10" ht="15" thickBot="1">
      <c r="A674" s="98" t="s">
        <v>2511</v>
      </c>
      <c r="B674" s="80" t="s">
        <v>2682</v>
      </c>
      <c r="C674" s="80" t="s">
        <v>2396</v>
      </c>
      <c r="D674" s="80" t="s">
        <v>2648</v>
      </c>
      <c r="E674" s="80" t="s">
        <v>2641</v>
      </c>
      <c r="F674" s="80" t="s">
        <v>2372</v>
      </c>
      <c r="G674" s="80" t="s">
        <v>2693</v>
      </c>
      <c r="H674" s="79">
        <v>17</v>
      </c>
      <c r="I674" s="79">
        <v>3203.04</v>
      </c>
      <c r="J674" s="79">
        <v>54451.68</v>
      </c>
    </row>
    <row r="675" spans="1:10" ht="15" thickBot="1">
      <c r="A675" s="98" t="s">
        <v>2620</v>
      </c>
      <c r="B675" s="80" t="s">
        <v>2683</v>
      </c>
      <c r="C675" s="80" t="s">
        <v>2656</v>
      </c>
      <c r="D675" s="80" t="s">
        <v>2648</v>
      </c>
      <c r="E675" s="80" t="s">
        <v>2641</v>
      </c>
      <c r="F675" s="80" t="s">
        <v>2372</v>
      </c>
      <c r="G675" s="80" t="s">
        <v>2690</v>
      </c>
      <c r="H675" s="79">
        <v>4</v>
      </c>
      <c r="I675" s="79">
        <v>1906.89</v>
      </c>
      <c r="J675" s="79">
        <v>7627.56</v>
      </c>
    </row>
    <row r="676" spans="1:10" ht="15" thickBot="1">
      <c r="A676" s="98" t="s">
        <v>2668</v>
      </c>
      <c r="B676" s="80" t="s">
        <v>2686</v>
      </c>
      <c r="C676" s="80" t="s">
        <v>2660</v>
      </c>
      <c r="D676" s="80" t="s">
        <v>2647</v>
      </c>
      <c r="E676" s="80" t="s">
        <v>2643</v>
      </c>
      <c r="F676" s="80" t="s">
        <v>2661</v>
      </c>
      <c r="G676" s="80" t="s">
        <v>2698</v>
      </c>
      <c r="H676" s="79">
        <v>14</v>
      </c>
      <c r="I676" s="79">
        <v>3829.68</v>
      </c>
      <c r="J676" s="79">
        <v>53615.519999999997</v>
      </c>
    </row>
    <row r="677" spans="1:10" ht="15" thickBot="1">
      <c r="A677" s="98" t="s">
        <v>2573</v>
      </c>
      <c r="B677" s="80" t="s">
        <v>2679</v>
      </c>
      <c r="C677" s="80" t="s">
        <v>2650</v>
      </c>
      <c r="D677" s="80" t="s">
        <v>2646</v>
      </c>
      <c r="E677" s="80" t="s">
        <v>2642</v>
      </c>
      <c r="F677" s="80" t="s">
        <v>2374</v>
      </c>
      <c r="G677" s="80" t="s">
        <v>2689</v>
      </c>
      <c r="H677" s="79">
        <v>19</v>
      </c>
      <c r="I677" s="79">
        <v>2636.08</v>
      </c>
      <c r="J677" s="79">
        <v>50085.52</v>
      </c>
    </row>
    <row r="678" spans="1:10" ht="15" thickBot="1">
      <c r="A678" s="98">
        <v>45238</v>
      </c>
      <c r="B678" s="80" t="s">
        <v>2678</v>
      </c>
      <c r="C678" s="80" t="s">
        <v>2654</v>
      </c>
      <c r="D678" s="80" t="s">
        <v>2646</v>
      </c>
      <c r="E678" s="80" t="s">
        <v>2642</v>
      </c>
      <c r="F678" s="80" t="s">
        <v>2370</v>
      </c>
      <c r="G678" s="80" t="s">
        <v>1335</v>
      </c>
      <c r="H678" s="79">
        <v>13</v>
      </c>
      <c r="I678" s="79">
        <v>3994.86</v>
      </c>
      <c r="J678" s="79">
        <v>51933.18</v>
      </c>
    </row>
    <row r="679" spans="1:10" ht="15" thickBot="1">
      <c r="A679" s="98" t="s">
        <v>2665</v>
      </c>
      <c r="B679" s="80" t="s">
        <v>2682</v>
      </c>
      <c r="C679" s="80" t="s">
        <v>2656</v>
      </c>
      <c r="D679" s="80" t="s">
        <v>2648</v>
      </c>
      <c r="E679" s="80" t="s">
        <v>2641</v>
      </c>
      <c r="F679" s="80" t="s">
        <v>2374</v>
      </c>
      <c r="G679" s="80" t="s">
        <v>2692</v>
      </c>
      <c r="H679" s="79">
        <v>12</v>
      </c>
      <c r="I679" s="79">
        <v>1554.75</v>
      </c>
      <c r="J679" s="79">
        <v>18657</v>
      </c>
    </row>
    <row r="680" spans="1:10" ht="15" thickBot="1">
      <c r="A680" s="98">
        <v>45108</v>
      </c>
      <c r="B680" s="80" t="s">
        <v>2683</v>
      </c>
      <c r="C680" s="80" t="s">
        <v>2649</v>
      </c>
      <c r="D680" s="80" t="s">
        <v>2645</v>
      </c>
      <c r="E680" s="80" t="s">
        <v>2642</v>
      </c>
      <c r="F680" s="80" t="s">
        <v>2374</v>
      </c>
      <c r="G680" s="80" t="s">
        <v>2704</v>
      </c>
      <c r="H680" s="79">
        <v>9</v>
      </c>
      <c r="I680" s="79">
        <v>4674.04</v>
      </c>
      <c r="J680" s="79">
        <v>42066.36</v>
      </c>
    </row>
    <row r="681" spans="1:10" ht="15" thickBot="1">
      <c r="A681" s="98">
        <v>45018</v>
      </c>
      <c r="B681" s="80" t="s">
        <v>2683</v>
      </c>
      <c r="C681" s="80" t="s">
        <v>2657</v>
      </c>
      <c r="D681" s="80" t="s">
        <v>2648</v>
      </c>
      <c r="E681" s="80" t="s">
        <v>2641</v>
      </c>
      <c r="F681" s="80" t="s">
        <v>2373</v>
      </c>
      <c r="G681" s="80" t="s">
        <v>2688</v>
      </c>
      <c r="H681" s="79">
        <v>2</v>
      </c>
      <c r="I681" s="79">
        <v>1252.3</v>
      </c>
      <c r="J681" s="79">
        <v>2504.6</v>
      </c>
    </row>
    <row r="682" spans="1:10" ht="15" thickBot="1">
      <c r="A682" s="98" t="s">
        <v>2474</v>
      </c>
      <c r="B682" s="80" t="s">
        <v>2681</v>
      </c>
      <c r="C682" s="80" t="s">
        <v>2655</v>
      </c>
      <c r="D682" s="80" t="s">
        <v>2645</v>
      </c>
      <c r="E682" s="80" t="s">
        <v>2642</v>
      </c>
      <c r="F682" s="80" t="s">
        <v>2374</v>
      </c>
      <c r="G682" s="80" t="s">
        <v>2692</v>
      </c>
      <c r="H682" s="79">
        <v>15</v>
      </c>
      <c r="I682" s="79">
        <v>1738.86</v>
      </c>
      <c r="J682" s="79">
        <v>26082.9</v>
      </c>
    </row>
    <row r="683" spans="1:10" ht="15" thickBot="1">
      <c r="A683" s="98" t="s">
        <v>2461</v>
      </c>
      <c r="B683" s="80" t="s">
        <v>2679</v>
      </c>
      <c r="C683" s="80" t="s">
        <v>2396</v>
      </c>
      <c r="D683" s="80" t="s">
        <v>2648</v>
      </c>
      <c r="E683" s="80" t="s">
        <v>2641</v>
      </c>
      <c r="F683" s="80" t="s">
        <v>2372</v>
      </c>
      <c r="G683" s="80" t="s">
        <v>2693</v>
      </c>
      <c r="H683" s="79">
        <v>4</v>
      </c>
      <c r="I683" s="79">
        <v>2527.15</v>
      </c>
      <c r="J683" s="79">
        <v>10108.6</v>
      </c>
    </row>
    <row r="684" spans="1:10" ht="15" thickBot="1">
      <c r="A684" s="98">
        <v>44928</v>
      </c>
      <c r="B684" s="80" t="s">
        <v>2681</v>
      </c>
      <c r="C684" s="80" t="s">
        <v>2656</v>
      </c>
      <c r="D684" s="80" t="s">
        <v>2648</v>
      </c>
      <c r="E684" s="80" t="s">
        <v>2641</v>
      </c>
      <c r="F684" s="80" t="s">
        <v>2372</v>
      </c>
      <c r="G684" s="80" t="s">
        <v>2690</v>
      </c>
      <c r="H684" s="79">
        <v>17</v>
      </c>
      <c r="I684" s="79">
        <v>4247.5600000000004</v>
      </c>
      <c r="J684" s="79">
        <v>72208.52</v>
      </c>
    </row>
    <row r="685" spans="1:10" ht="15" thickBot="1">
      <c r="A685" s="98" t="s">
        <v>2533</v>
      </c>
      <c r="B685" s="80" t="s">
        <v>2686</v>
      </c>
      <c r="C685" s="80" t="s">
        <v>2650</v>
      </c>
      <c r="D685" s="80" t="s">
        <v>2646</v>
      </c>
      <c r="E685" s="80" t="s">
        <v>2642</v>
      </c>
      <c r="F685" s="80" t="s">
        <v>2661</v>
      </c>
      <c r="G685" s="80" t="s">
        <v>2691</v>
      </c>
      <c r="H685" s="79">
        <v>8</v>
      </c>
      <c r="I685" s="79">
        <v>978.4</v>
      </c>
      <c r="J685" s="79">
        <v>7827.2</v>
      </c>
    </row>
    <row r="686" spans="1:10" ht="15" thickBot="1">
      <c r="A686" s="98">
        <v>44993</v>
      </c>
      <c r="B686" s="80" t="s">
        <v>2686</v>
      </c>
      <c r="C686" s="80" t="s">
        <v>2657</v>
      </c>
      <c r="D686" s="80" t="s">
        <v>2648</v>
      </c>
      <c r="E686" s="80" t="s">
        <v>2641</v>
      </c>
      <c r="F686" s="80" t="s">
        <v>2373</v>
      </c>
      <c r="G686" s="80" t="s">
        <v>2703</v>
      </c>
      <c r="H686" s="79">
        <v>5</v>
      </c>
      <c r="I686" s="79">
        <v>1530.16</v>
      </c>
      <c r="J686" s="79">
        <v>7650.8</v>
      </c>
    </row>
    <row r="687" spans="1:10" ht="15" thickBot="1">
      <c r="A687" s="98">
        <v>45048</v>
      </c>
      <c r="B687" s="80" t="s">
        <v>2687</v>
      </c>
      <c r="C687" s="80" t="s">
        <v>2654</v>
      </c>
      <c r="D687" s="80" t="s">
        <v>2646</v>
      </c>
      <c r="E687" s="80" t="s">
        <v>2642</v>
      </c>
      <c r="F687" s="80" t="s">
        <v>2373</v>
      </c>
      <c r="G687" s="80" t="s">
        <v>2703</v>
      </c>
      <c r="H687" s="79">
        <v>15</v>
      </c>
      <c r="I687" s="79">
        <v>4748.62</v>
      </c>
      <c r="J687" s="79">
        <v>71229.3</v>
      </c>
    </row>
    <row r="688" spans="1:10" ht="15" thickBot="1">
      <c r="A688" s="98" t="s">
        <v>2466</v>
      </c>
      <c r="B688" s="80" t="s">
        <v>2686</v>
      </c>
      <c r="C688" s="80" t="s">
        <v>2658</v>
      </c>
      <c r="D688" s="80" t="s">
        <v>2645</v>
      </c>
      <c r="E688" s="80" t="s">
        <v>2642</v>
      </c>
      <c r="F688" s="80" t="s">
        <v>2373</v>
      </c>
      <c r="G688" s="80" t="s">
        <v>2688</v>
      </c>
      <c r="H688" s="79">
        <v>5</v>
      </c>
      <c r="I688" s="79">
        <v>4402.72</v>
      </c>
      <c r="J688" s="79">
        <v>22013.599999999999</v>
      </c>
    </row>
    <row r="689" spans="1:10" ht="15" thickBot="1">
      <c r="A689" s="98">
        <v>45206</v>
      </c>
      <c r="B689" s="80" t="s">
        <v>2678</v>
      </c>
      <c r="C689" s="80" t="s">
        <v>2392</v>
      </c>
      <c r="D689" s="80" t="s">
        <v>2644</v>
      </c>
      <c r="E689" s="80" t="s">
        <v>2641</v>
      </c>
      <c r="F689" s="80" t="s">
        <v>2372</v>
      </c>
      <c r="G689" s="80" t="s">
        <v>2690</v>
      </c>
      <c r="H689" s="79">
        <v>16</v>
      </c>
      <c r="I689" s="79">
        <v>3858.12</v>
      </c>
      <c r="J689" s="79">
        <v>61729.919999999998</v>
      </c>
    </row>
    <row r="690" spans="1:10" ht="15" thickBot="1">
      <c r="A690" s="98" t="s">
        <v>2584</v>
      </c>
      <c r="B690" s="80" t="s">
        <v>2680</v>
      </c>
      <c r="C690" s="80" t="s">
        <v>2657</v>
      </c>
      <c r="D690" s="80" t="s">
        <v>2648</v>
      </c>
      <c r="E690" s="80" t="s">
        <v>2641</v>
      </c>
      <c r="F690" s="80" t="s">
        <v>2661</v>
      </c>
      <c r="G690" s="80" t="s">
        <v>2695</v>
      </c>
      <c r="H690" s="79">
        <v>10</v>
      </c>
      <c r="I690" s="79">
        <v>4939.99</v>
      </c>
      <c r="J690" s="79">
        <v>49399.9</v>
      </c>
    </row>
    <row r="691" spans="1:10" ht="15" thickBot="1">
      <c r="A691" s="98" t="s">
        <v>2532</v>
      </c>
      <c r="B691" s="80" t="s">
        <v>2678</v>
      </c>
      <c r="C691" s="80" t="s">
        <v>2654</v>
      </c>
      <c r="D691" s="80" t="s">
        <v>2646</v>
      </c>
      <c r="E691" s="80" t="s">
        <v>2642</v>
      </c>
      <c r="F691" s="80" t="s">
        <v>2373</v>
      </c>
      <c r="G691" s="80" t="s">
        <v>2705</v>
      </c>
      <c r="H691" s="79">
        <v>8</v>
      </c>
      <c r="I691" s="79">
        <v>2394.87</v>
      </c>
      <c r="J691" s="79">
        <v>19158.96</v>
      </c>
    </row>
    <row r="692" spans="1:10" ht="15" thickBot="1">
      <c r="A692" s="98" t="s">
        <v>2455</v>
      </c>
      <c r="B692" s="80" t="s">
        <v>2679</v>
      </c>
      <c r="C692" s="80" t="s">
        <v>2657</v>
      </c>
      <c r="D692" s="80" t="s">
        <v>2648</v>
      </c>
      <c r="E692" s="80" t="s">
        <v>2641</v>
      </c>
      <c r="F692" s="80" t="s">
        <v>2372</v>
      </c>
      <c r="G692" s="80" t="s">
        <v>2699</v>
      </c>
      <c r="H692" s="79">
        <v>11</v>
      </c>
      <c r="I692" s="79">
        <v>3277.74</v>
      </c>
      <c r="J692" s="79">
        <v>36055.14</v>
      </c>
    </row>
    <row r="693" spans="1:10" ht="15" thickBot="1">
      <c r="A693" s="98" t="s">
        <v>2490</v>
      </c>
      <c r="B693" s="80" t="s">
        <v>2682</v>
      </c>
      <c r="C693" s="80" t="s">
        <v>2658</v>
      </c>
      <c r="D693" s="80" t="s">
        <v>2645</v>
      </c>
      <c r="E693" s="80" t="s">
        <v>2642</v>
      </c>
      <c r="F693" s="80" t="s">
        <v>2373</v>
      </c>
      <c r="G693" s="80" t="s">
        <v>2705</v>
      </c>
      <c r="H693" s="79">
        <v>5</v>
      </c>
      <c r="I693" s="79">
        <v>2411.33</v>
      </c>
      <c r="J693" s="79">
        <v>12056.65</v>
      </c>
    </row>
    <row r="694" spans="1:10" ht="15" thickBot="1">
      <c r="A694" s="98" t="s">
        <v>2561</v>
      </c>
      <c r="B694" s="80" t="s">
        <v>2680</v>
      </c>
      <c r="C694" s="80" t="s">
        <v>2656</v>
      </c>
      <c r="D694" s="80" t="s">
        <v>2648</v>
      </c>
      <c r="E694" s="80" t="s">
        <v>2641</v>
      </c>
      <c r="F694" s="80" t="s">
        <v>2374</v>
      </c>
      <c r="G694" s="80" t="s">
        <v>2700</v>
      </c>
      <c r="H694" s="79">
        <v>17</v>
      </c>
      <c r="I694" s="79">
        <v>3844.7</v>
      </c>
      <c r="J694" s="79">
        <v>65359.9</v>
      </c>
    </row>
    <row r="695" spans="1:10" ht="15" thickBot="1">
      <c r="A695" s="98" t="s">
        <v>2637</v>
      </c>
      <c r="B695" s="80" t="s">
        <v>2686</v>
      </c>
      <c r="C695" s="80" t="s">
        <v>2654</v>
      </c>
      <c r="D695" s="80" t="s">
        <v>2646</v>
      </c>
      <c r="E695" s="80" t="s">
        <v>2642</v>
      </c>
      <c r="F695" s="80" t="s">
        <v>2372</v>
      </c>
      <c r="G695" s="80" t="s">
        <v>2694</v>
      </c>
      <c r="H695" s="79">
        <v>14</v>
      </c>
      <c r="I695" s="79">
        <v>816.99</v>
      </c>
      <c r="J695" s="79">
        <v>11437.86</v>
      </c>
    </row>
    <row r="696" spans="1:10" ht="15" thickBot="1">
      <c r="A696" s="98" t="s">
        <v>2551</v>
      </c>
      <c r="B696" s="80" t="s">
        <v>2684</v>
      </c>
      <c r="C696" s="80" t="s">
        <v>2650</v>
      </c>
      <c r="D696" s="80" t="s">
        <v>2646</v>
      </c>
      <c r="E696" s="80" t="s">
        <v>2642</v>
      </c>
      <c r="F696" s="80" t="s">
        <v>2370</v>
      </c>
      <c r="G696" s="80" t="s">
        <v>2702</v>
      </c>
      <c r="H696" s="79">
        <v>3</v>
      </c>
      <c r="I696" s="79">
        <v>3102.92</v>
      </c>
      <c r="J696" s="79">
        <v>9308.76</v>
      </c>
    </row>
    <row r="697" spans="1:10" ht="15" thickBot="1">
      <c r="A697" s="98" t="s">
        <v>2459</v>
      </c>
      <c r="B697" s="80" t="s">
        <v>2681</v>
      </c>
      <c r="C697" s="80" t="s">
        <v>2656</v>
      </c>
      <c r="D697" s="80" t="s">
        <v>2648</v>
      </c>
      <c r="E697" s="80" t="s">
        <v>2641</v>
      </c>
      <c r="F697" s="80" t="s">
        <v>2370</v>
      </c>
      <c r="G697" s="80" t="s">
        <v>1336</v>
      </c>
      <c r="H697" s="79">
        <v>11</v>
      </c>
      <c r="I697" s="79">
        <v>490.34</v>
      </c>
      <c r="J697" s="79">
        <v>5393.74</v>
      </c>
    </row>
    <row r="698" spans="1:10" ht="15" thickBot="1">
      <c r="A698" s="98" t="s">
        <v>2513</v>
      </c>
      <c r="B698" s="80" t="s">
        <v>2683</v>
      </c>
      <c r="C698" s="80" t="s">
        <v>2393</v>
      </c>
      <c r="D698" s="80" t="s">
        <v>2644</v>
      </c>
      <c r="E698" s="80" t="s">
        <v>2641</v>
      </c>
      <c r="F698" s="80" t="s">
        <v>2372</v>
      </c>
      <c r="G698" s="80" t="s">
        <v>2694</v>
      </c>
      <c r="H698" s="79">
        <v>6</v>
      </c>
      <c r="I698" s="79">
        <v>4079.26</v>
      </c>
      <c r="J698" s="79">
        <v>24475.56</v>
      </c>
    </row>
    <row r="699" spans="1:10" ht="15" thickBot="1">
      <c r="A699" s="98">
        <v>44988</v>
      </c>
      <c r="B699" s="80" t="s">
        <v>2678</v>
      </c>
      <c r="C699" s="80" t="s">
        <v>2652</v>
      </c>
      <c r="D699" s="80" t="s">
        <v>2647</v>
      </c>
      <c r="E699" s="80" t="s">
        <v>2643</v>
      </c>
      <c r="F699" s="80" t="s">
        <v>2373</v>
      </c>
      <c r="G699" s="80" t="s">
        <v>2705</v>
      </c>
      <c r="H699" s="79">
        <v>12</v>
      </c>
      <c r="I699" s="79">
        <v>3229.61</v>
      </c>
      <c r="J699" s="79">
        <v>38755.32</v>
      </c>
    </row>
    <row r="700" spans="1:10" ht="15" thickBot="1">
      <c r="A700" s="98">
        <v>45179</v>
      </c>
      <c r="B700" s="80" t="s">
        <v>2682</v>
      </c>
      <c r="C700" s="80" t="s">
        <v>2651</v>
      </c>
      <c r="D700" s="80" t="s">
        <v>2646</v>
      </c>
      <c r="E700" s="80" t="s">
        <v>2642</v>
      </c>
      <c r="F700" s="80" t="s">
        <v>2374</v>
      </c>
      <c r="G700" s="80" t="s">
        <v>2700</v>
      </c>
      <c r="H700" s="79">
        <v>16</v>
      </c>
      <c r="I700" s="79">
        <v>1873.12</v>
      </c>
      <c r="J700" s="79">
        <v>29969.919999999998</v>
      </c>
    </row>
    <row r="701" spans="1:10" ht="15" thickBot="1">
      <c r="A701" s="98">
        <v>45233</v>
      </c>
      <c r="B701" s="80" t="s">
        <v>2681</v>
      </c>
      <c r="C701" s="80" t="s">
        <v>2392</v>
      </c>
      <c r="D701" s="80" t="s">
        <v>2644</v>
      </c>
      <c r="E701" s="80" t="s">
        <v>2641</v>
      </c>
      <c r="F701" s="80" t="s">
        <v>2661</v>
      </c>
      <c r="G701" s="80" t="s">
        <v>2696</v>
      </c>
      <c r="H701" s="79">
        <v>7</v>
      </c>
      <c r="I701" s="79">
        <v>1640.58</v>
      </c>
      <c r="J701" s="79">
        <v>11484.06</v>
      </c>
    </row>
    <row r="702" spans="1:10" ht="15" thickBot="1">
      <c r="A702" s="98" t="s">
        <v>2543</v>
      </c>
      <c r="B702" s="80" t="s">
        <v>2678</v>
      </c>
      <c r="C702" s="80" t="s">
        <v>2653</v>
      </c>
      <c r="D702" s="80" t="s">
        <v>2644</v>
      </c>
      <c r="E702" s="80" t="s">
        <v>2641</v>
      </c>
      <c r="F702" s="80" t="s">
        <v>2370</v>
      </c>
      <c r="G702" s="80" t="s">
        <v>1336</v>
      </c>
      <c r="H702" s="79">
        <v>13</v>
      </c>
      <c r="I702" s="79">
        <v>4843.21</v>
      </c>
      <c r="J702" s="79">
        <v>62961.73</v>
      </c>
    </row>
    <row r="703" spans="1:10" ht="15" thickBot="1">
      <c r="A703" s="98" t="s">
        <v>2461</v>
      </c>
      <c r="B703" s="80" t="s">
        <v>2687</v>
      </c>
      <c r="C703" s="80" t="s">
        <v>2660</v>
      </c>
      <c r="D703" s="80" t="s">
        <v>2647</v>
      </c>
      <c r="E703" s="80" t="s">
        <v>2643</v>
      </c>
      <c r="F703" s="80" t="s">
        <v>2374</v>
      </c>
      <c r="G703" s="80" t="s">
        <v>2689</v>
      </c>
      <c r="H703" s="79">
        <v>13</v>
      </c>
      <c r="I703" s="79">
        <v>1782.01</v>
      </c>
      <c r="J703" s="79">
        <v>23166.13</v>
      </c>
    </row>
    <row r="704" spans="1:10" ht="15" thickBot="1">
      <c r="A704" s="98" t="s">
        <v>2637</v>
      </c>
      <c r="B704" s="80" t="s">
        <v>2687</v>
      </c>
      <c r="C704" s="80" t="s">
        <v>2649</v>
      </c>
      <c r="D704" s="80" t="s">
        <v>2645</v>
      </c>
      <c r="E704" s="80" t="s">
        <v>2642</v>
      </c>
      <c r="F704" s="80" t="s">
        <v>2661</v>
      </c>
      <c r="G704" s="80" t="s">
        <v>2696</v>
      </c>
      <c r="H704" s="79">
        <v>19</v>
      </c>
      <c r="I704" s="79">
        <v>1120.5999999999999</v>
      </c>
      <c r="J704" s="79">
        <v>21291.4</v>
      </c>
    </row>
    <row r="705" spans="1:10" ht="15" thickBot="1">
      <c r="A705" s="98" t="s">
        <v>2514</v>
      </c>
      <c r="B705" s="80" t="s">
        <v>2684</v>
      </c>
      <c r="C705" s="80" t="s">
        <v>2658</v>
      </c>
      <c r="D705" s="80" t="s">
        <v>2645</v>
      </c>
      <c r="E705" s="80" t="s">
        <v>2642</v>
      </c>
      <c r="F705" s="80" t="s">
        <v>2373</v>
      </c>
      <c r="G705" s="80" t="s">
        <v>2697</v>
      </c>
      <c r="H705" s="79">
        <v>2</v>
      </c>
      <c r="I705" s="79">
        <v>1927.02</v>
      </c>
      <c r="J705" s="79">
        <v>3854.04</v>
      </c>
    </row>
    <row r="706" spans="1:10" ht="15" thickBot="1">
      <c r="A706" s="98" t="s">
        <v>2449</v>
      </c>
      <c r="B706" s="80" t="s">
        <v>2681</v>
      </c>
      <c r="C706" s="80" t="s">
        <v>2392</v>
      </c>
      <c r="D706" s="80" t="s">
        <v>2644</v>
      </c>
      <c r="E706" s="80" t="s">
        <v>2641</v>
      </c>
      <c r="F706" s="80" t="s">
        <v>2373</v>
      </c>
      <c r="G706" s="80" t="s">
        <v>2703</v>
      </c>
      <c r="H706" s="79">
        <v>15</v>
      </c>
      <c r="I706" s="79">
        <v>4642.6899999999996</v>
      </c>
      <c r="J706" s="79">
        <v>69640.350000000006</v>
      </c>
    </row>
    <row r="707" spans="1:10" ht="15" thickBot="1">
      <c r="A707" s="98" t="s">
        <v>2452</v>
      </c>
      <c r="B707" s="80" t="s">
        <v>2681</v>
      </c>
      <c r="C707" s="80" t="s">
        <v>2392</v>
      </c>
      <c r="D707" s="80" t="s">
        <v>2644</v>
      </c>
      <c r="E707" s="80" t="s">
        <v>2641</v>
      </c>
      <c r="F707" s="80" t="s">
        <v>2374</v>
      </c>
      <c r="G707" s="80" t="s">
        <v>2689</v>
      </c>
      <c r="H707" s="79">
        <v>19</v>
      </c>
      <c r="I707" s="79">
        <v>3316.87</v>
      </c>
      <c r="J707" s="79">
        <v>63020.53</v>
      </c>
    </row>
    <row r="708" spans="1:10" ht="15" thickBot="1">
      <c r="A708" s="98">
        <v>45024</v>
      </c>
      <c r="B708" s="80" t="s">
        <v>2679</v>
      </c>
      <c r="C708" s="80" t="s">
        <v>2396</v>
      </c>
      <c r="D708" s="80" t="s">
        <v>2648</v>
      </c>
      <c r="E708" s="80" t="s">
        <v>2641</v>
      </c>
      <c r="F708" s="80" t="s">
        <v>2374</v>
      </c>
      <c r="G708" s="80" t="s">
        <v>2704</v>
      </c>
      <c r="H708" s="79">
        <v>19</v>
      </c>
      <c r="I708" s="79">
        <v>1372.28</v>
      </c>
      <c r="J708" s="79">
        <v>26073.32</v>
      </c>
    </row>
    <row r="709" spans="1:10" ht="15" thickBot="1">
      <c r="A709" s="98">
        <v>45078</v>
      </c>
      <c r="B709" s="80" t="s">
        <v>2681</v>
      </c>
      <c r="C709" s="80" t="s">
        <v>2658</v>
      </c>
      <c r="D709" s="80" t="s">
        <v>2645</v>
      </c>
      <c r="E709" s="80" t="s">
        <v>2642</v>
      </c>
      <c r="F709" s="80" t="s">
        <v>2374</v>
      </c>
      <c r="G709" s="80" t="s">
        <v>2704</v>
      </c>
      <c r="H709" s="79">
        <v>8</v>
      </c>
      <c r="I709" s="79">
        <v>4786.4799999999996</v>
      </c>
      <c r="J709" s="79">
        <v>38291.839999999997</v>
      </c>
    </row>
    <row r="710" spans="1:10" ht="15" thickBot="1">
      <c r="A710" s="98" t="s">
        <v>2584</v>
      </c>
      <c r="B710" s="80" t="s">
        <v>2680</v>
      </c>
      <c r="C710" s="80" t="s">
        <v>2650</v>
      </c>
      <c r="D710" s="80" t="s">
        <v>2646</v>
      </c>
      <c r="E710" s="80" t="s">
        <v>2642</v>
      </c>
      <c r="F710" s="80" t="s">
        <v>2373</v>
      </c>
      <c r="G710" s="80" t="s">
        <v>2703</v>
      </c>
      <c r="H710" s="79">
        <v>18</v>
      </c>
      <c r="I710" s="79">
        <v>620.92999999999995</v>
      </c>
      <c r="J710" s="79">
        <v>11176.74</v>
      </c>
    </row>
    <row r="711" spans="1:10" ht="15" thickBot="1">
      <c r="A711" s="98" t="s">
        <v>2499</v>
      </c>
      <c r="B711" s="80" t="s">
        <v>2687</v>
      </c>
      <c r="C711" s="80" t="s">
        <v>2650</v>
      </c>
      <c r="D711" s="80" t="s">
        <v>2646</v>
      </c>
      <c r="E711" s="80" t="s">
        <v>2642</v>
      </c>
      <c r="F711" s="80" t="s">
        <v>2370</v>
      </c>
      <c r="G711" s="80" t="s">
        <v>2702</v>
      </c>
      <c r="H711" s="79">
        <v>4</v>
      </c>
      <c r="I711" s="79">
        <v>1241.21</v>
      </c>
      <c r="J711" s="79">
        <v>4964.84</v>
      </c>
    </row>
    <row r="712" spans="1:10" ht="15" thickBot="1">
      <c r="A712" s="98" t="s">
        <v>2592</v>
      </c>
      <c r="B712" s="80" t="s">
        <v>2678</v>
      </c>
      <c r="C712" s="80" t="s">
        <v>2393</v>
      </c>
      <c r="D712" s="80" t="s">
        <v>2644</v>
      </c>
      <c r="E712" s="80" t="s">
        <v>2641</v>
      </c>
      <c r="F712" s="80" t="s">
        <v>2370</v>
      </c>
      <c r="G712" s="80" t="s">
        <v>2702</v>
      </c>
      <c r="H712" s="79">
        <v>10</v>
      </c>
      <c r="I712" s="79">
        <v>1823.34</v>
      </c>
      <c r="J712" s="79">
        <v>18233.400000000001</v>
      </c>
    </row>
    <row r="713" spans="1:10" ht="15" thickBot="1">
      <c r="A713" s="98">
        <v>45146</v>
      </c>
      <c r="B713" s="80" t="s">
        <v>2686</v>
      </c>
      <c r="C713" s="80" t="s">
        <v>2393</v>
      </c>
      <c r="D713" s="80" t="s">
        <v>2644</v>
      </c>
      <c r="E713" s="80" t="s">
        <v>2641</v>
      </c>
      <c r="F713" s="80" t="s">
        <v>2372</v>
      </c>
      <c r="G713" s="80" t="s">
        <v>2693</v>
      </c>
      <c r="H713" s="79">
        <v>10</v>
      </c>
      <c r="I713" s="79">
        <v>4304.71</v>
      </c>
      <c r="J713" s="79">
        <v>43047.1</v>
      </c>
    </row>
    <row r="714" spans="1:10" ht="15" thickBot="1">
      <c r="A714" s="98" t="s">
        <v>2523</v>
      </c>
      <c r="B714" s="80" t="s">
        <v>2687</v>
      </c>
      <c r="C714" s="80" t="s">
        <v>2654</v>
      </c>
      <c r="D714" s="80" t="s">
        <v>2646</v>
      </c>
      <c r="E714" s="80" t="s">
        <v>2642</v>
      </c>
      <c r="F714" s="80" t="s">
        <v>2661</v>
      </c>
      <c r="G714" s="80" t="s">
        <v>2696</v>
      </c>
      <c r="H714" s="79">
        <v>11</v>
      </c>
      <c r="I714" s="79">
        <v>4446.37</v>
      </c>
      <c r="J714" s="79">
        <v>48910.07</v>
      </c>
    </row>
    <row r="715" spans="1:10" ht="15" thickBot="1">
      <c r="A715" s="98" t="s">
        <v>2595</v>
      </c>
      <c r="B715" s="80" t="s">
        <v>2680</v>
      </c>
      <c r="C715" s="80" t="s">
        <v>2392</v>
      </c>
      <c r="D715" s="80" t="s">
        <v>2644</v>
      </c>
      <c r="E715" s="80" t="s">
        <v>2641</v>
      </c>
      <c r="F715" s="80" t="s">
        <v>2661</v>
      </c>
      <c r="G715" s="80" t="s">
        <v>2691</v>
      </c>
      <c r="H715" s="79">
        <v>8</v>
      </c>
      <c r="I715" s="79">
        <v>465.32</v>
      </c>
      <c r="J715" s="79">
        <v>3722.56</v>
      </c>
    </row>
    <row r="716" spans="1:10" ht="15" thickBot="1">
      <c r="A716" s="98" t="s">
        <v>2670</v>
      </c>
      <c r="B716" s="80" t="s">
        <v>2683</v>
      </c>
      <c r="C716" s="80" t="s">
        <v>2651</v>
      </c>
      <c r="D716" s="80" t="s">
        <v>2646</v>
      </c>
      <c r="E716" s="80" t="s">
        <v>2642</v>
      </c>
      <c r="F716" s="80" t="s">
        <v>2374</v>
      </c>
      <c r="G716" s="80" t="s">
        <v>2700</v>
      </c>
      <c r="H716" s="79">
        <v>1</v>
      </c>
      <c r="I716" s="79">
        <v>3431.7</v>
      </c>
      <c r="J716" s="79">
        <v>3431.7</v>
      </c>
    </row>
    <row r="717" spans="1:10" ht="15" thickBot="1">
      <c r="A717" s="98" t="s">
        <v>2585</v>
      </c>
      <c r="B717" s="80" t="s">
        <v>2681</v>
      </c>
      <c r="C717" s="80" t="s">
        <v>2392</v>
      </c>
      <c r="D717" s="80" t="s">
        <v>2644</v>
      </c>
      <c r="E717" s="80" t="s">
        <v>2641</v>
      </c>
      <c r="F717" s="80" t="s">
        <v>2373</v>
      </c>
      <c r="G717" s="80" t="s">
        <v>2703</v>
      </c>
      <c r="H717" s="79">
        <v>20</v>
      </c>
      <c r="I717" s="79">
        <v>1365.33</v>
      </c>
      <c r="J717" s="79">
        <v>27306.6</v>
      </c>
    </row>
    <row r="718" spans="1:10" ht="15" thickBot="1">
      <c r="A718" s="98" t="s">
        <v>2579</v>
      </c>
      <c r="B718" s="80" t="s">
        <v>2680</v>
      </c>
      <c r="C718" s="80" t="s">
        <v>2654</v>
      </c>
      <c r="D718" s="80" t="s">
        <v>2646</v>
      </c>
      <c r="E718" s="80" t="s">
        <v>2642</v>
      </c>
      <c r="F718" s="80" t="s">
        <v>2370</v>
      </c>
      <c r="G718" s="80" t="s">
        <v>1335</v>
      </c>
      <c r="H718" s="79">
        <v>14</v>
      </c>
      <c r="I718" s="79">
        <v>2343.4</v>
      </c>
      <c r="J718" s="79">
        <v>32807.599999999999</v>
      </c>
    </row>
    <row r="719" spans="1:10" ht="15" thickBot="1">
      <c r="A719" s="98">
        <v>45078</v>
      </c>
      <c r="B719" s="80" t="s">
        <v>2685</v>
      </c>
      <c r="C719" s="80" t="s">
        <v>2656</v>
      </c>
      <c r="D719" s="80" t="s">
        <v>2648</v>
      </c>
      <c r="E719" s="80" t="s">
        <v>2641</v>
      </c>
      <c r="F719" s="80" t="s">
        <v>2370</v>
      </c>
      <c r="G719" s="80" t="s">
        <v>1336</v>
      </c>
      <c r="H719" s="79">
        <v>15</v>
      </c>
      <c r="I719" s="79">
        <v>447.71</v>
      </c>
      <c r="J719" s="79">
        <v>6715.65</v>
      </c>
    </row>
    <row r="720" spans="1:10" ht="15" thickBot="1">
      <c r="A720" s="98">
        <v>45047</v>
      </c>
      <c r="B720" s="80" t="s">
        <v>2685</v>
      </c>
      <c r="C720" s="80" t="s">
        <v>2657</v>
      </c>
      <c r="D720" s="80" t="s">
        <v>2648</v>
      </c>
      <c r="E720" s="80" t="s">
        <v>2641</v>
      </c>
      <c r="F720" s="80" t="s">
        <v>2661</v>
      </c>
      <c r="G720" s="80" t="s">
        <v>2698</v>
      </c>
      <c r="H720" s="79">
        <v>3</v>
      </c>
      <c r="I720" s="79">
        <v>2393.7199999999998</v>
      </c>
      <c r="J720" s="79">
        <v>7181.16</v>
      </c>
    </row>
    <row r="721" spans="1:10" ht="15" thickBot="1">
      <c r="A721" s="98" t="s">
        <v>2455</v>
      </c>
      <c r="B721" s="80" t="s">
        <v>2687</v>
      </c>
      <c r="C721" s="80" t="s">
        <v>2660</v>
      </c>
      <c r="D721" s="80" t="s">
        <v>2647</v>
      </c>
      <c r="E721" s="80" t="s">
        <v>2643</v>
      </c>
      <c r="F721" s="80" t="s">
        <v>2372</v>
      </c>
      <c r="G721" s="80" t="s">
        <v>2693</v>
      </c>
      <c r="H721" s="79">
        <v>20</v>
      </c>
      <c r="I721" s="79">
        <v>138.6</v>
      </c>
      <c r="J721" s="79">
        <v>2772</v>
      </c>
    </row>
    <row r="722" spans="1:10" ht="15" thickBot="1">
      <c r="A722" s="98" t="s">
        <v>2581</v>
      </c>
      <c r="B722" s="80" t="s">
        <v>2684</v>
      </c>
      <c r="C722" s="80" t="s">
        <v>2392</v>
      </c>
      <c r="D722" s="80" t="s">
        <v>2644</v>
      </c>
      <c r="E722" s="80" t="s">
        <v>2641</v>
      </c>
      <c r="F722" s="80" t="s">
        <v>2661</v>
      </c>
      <c r="G722" s="80" t="s">
        <v>2691</v>
      </c>
      <c r="H722" s="79">
        <v>6</v>
      </c>
      <c r="I722" s="79">
        <v>3119.62</v>
      </c>
      <c r="J722" s="79">
        <v>18717.72</v>
      </c>
    </row>
    <row r="723" spans="1:10" ht="15" thickBot="1">
      <c r="A723" s="98" t="s">
        <v>2458</v>
      </c>
      <c r="B723" s="80" t="s">
        <v>2682</v>
      </c>
      <c r="C723" s="80" t="s">
        <v>2650</v>
      </c>
      <c r="D723" s="80" t="s">
        <v>2646</v>
      </c>
      <c r="E723" s="80" t="s">
        <v>2642</v>
      </c>
      <c r="F723" s="80" t="s">
        <v>2370</v>
      </c>
      <c r="G723" s="80" t="s">
        <v>2702</v>
      </c>
      <c r="H723" s="79">
        <v>1</v>
      </c>
      <c r="I723" s="79">
        <v>4175.7</v>
      </c>
      <c r="J723" s="79">
        <v>4175.7</v>
      </c>
    </row>
    <row r="724" spans="1:10" ht="15" thickBot="1">
      <c r="A724" s="98" t="s">
        <v>2519</v>
      </c>
      <c r="B724" s="80" t="s">
        <v>2686</v>
      </c>
      <c r="C724" s="80" t="s">
        <v>2659</v>
      </c>
      <c r="D724" s="80" t="s">
        <v>2647</v>
      </c>
      <c r="E724" s="80" t="s">
        <v>2643</v>
      </c>
      <c r="F724" s="80" t="s">
        <v>2374</v>
      </c>
      <c r="G724" s="80" t="s">
        <v>2700</v>
      </c>
      <c r="H724" s="79">
        <v>17</v>
      </c>
      <c r="I724" s="79">
        <v>2655.23</v>
      </c>
      <c r="J724" s="79">
        <v>45138.91</v>
      </c>
    </row>
    <row r="725" spans="1:10" ht="15" thickBot="1">
      <c r="A725" s="98">
        <v>44967</v>
      </c>
      <c r="B725" s="80" t="s">
        <v>2685</v>
      </c>
      <c r="C725" s="80" t="s">
        <v>2652</v>
      </c>
      <c r="D725" s="80" t="s">
        <v>2647</v>
      </c>
      <c r="E725" s="80" t="s">
        <v>2643</v>
      </c>
      <c r="F725" s="80" t="s">
        <v>2661</v>
      </c>
      <c r="G725" s="80" t="s">
        <v>2698</v>
      </c>
      <c r="H725" s="79">
        <v>14</v>
      </c>
      <c r="I725" s="79">
        <v>4235.22</v>
      </c>
      <c r="J725" s="79">
        <v>59293.08</v>
      </c>
    </row>
    <row r="726" spans="1:10" ht="15" thickBot="1">
      <c r="A726" s="98" t="s">
        <v>2564</v>
      </c>
      <c r="B726" s="80" t="s">
        <v>2678</v>
      </c>
      <c r="C726" s="80" t="s">
        <v>2660</v>
      </c>
      <c r="D726" s="80" t="s">
        <v>2647</v>
      </c>
      <c r="E726" s="80" t="s">
        <v>2643</v>
      </c>
      <c r="F726" s="80" t="s">
        <v>2374</v>
      </c>
      <c r="G726" s="80" t="s">
        <v>2700</v>
      </c>
      <c r="H726" s="79">
        <v>20</v>
      </c>
      <c r="I726" s="79">
        <v>3393.01</v>
      </c>
      <c r="J726" s="79">
        <v>67860.2</v>
      </c>
    </row>
    <row r="727" spans="1:10" ht="15" thickBot="1">
      <c r="A727" s="98">
        <v>44961</v>
      </c>
      <c r="B727" s="80" t="s">
        <v>2685</v>
      </c>
      <c r="C727" s="80" t="s">
        <v>2649</v>
      </c>
      <c r="D727" s="80" t="s">
        <v>2645</v>
      </c>
      <c r="E727" s="80" t="s">
        <v>2642</v>
      </c>
      <c r="F727" s="80" t="s">
        <v>2370</v>
      </c>
      <c r="G727" s="80" t="s">
        <v>1335</v>
      </c>
      <c r="H727" s="79">
        <v>14</v>
      </c>
      <c r="I727" s="79">
        <v>1247.48</v>
      </c>
      <c r="J727" s="79">
        <v>17464.72</v>
      </c>
    </row>
    <row r="728" spans="1:10" ht="15" thickBot="1">
      <c r="A728" s="98">
        <v>45054</v>
      </c>
      <c r="B728" s="80" t="s">
        <v>2686</v>
      </c>
      <c r="C728" s="80" t="s">
        <v>2656</v>
      </c>
      <c r="D728" s="80" t="s">
        <v>2648</v>
      </c>
      <c r="E728" s="80" t="s">
        <v>2641</v>
      </c>
      <c r="F728" s="80" t="s">
        <v>2372</v>
      </c>
      <c r="G728" s="80" t="s">
        <v>2690</v>
      </c>
      <c r="H728" s="79">
        <v>20</v>
      </c>
      <c r="I728" s="79">
        <v>4428.59</v>
      </c>
      <c r="J728" s="79">
        <v>88571.8</v>
      </c>
    </row>
    <row r="729" spans="1:10" ht="15" thickBot="1">
      <c r="A729" s="98">
        <v>45058</v>
      </c>
      <c r="B729" s="80" t="s">
        <v>2682</v>
      </c>
      <c r="C729" s="80" t="s">
        <v>2650</v>
      </c>
      <c r="D729" s="80" t="s">
        <v>2646</v>
      </c>
      <c r="E729" s="80" t="s">
        <v>2642</v>
      </c>
      <c r="F729" s="80" t="s">
        <v>2374</v>
      </c>
      <c r="G729" s="80" t="s">
        <v>2689</v>
      </c>
      <c r="H729" s="79">
        <v>9</v>
      </c>
      <c r="I729" s="79">
        <v>2251.19</v>
      </c>
      <c r="J729" s="79">
        <v>20260.71</v>
      </c>
    </row>
    <row r="730" spans="1:10" ht="15" thickBot="1">
      <c r="A730" s="98" t="s">
        <v>2562</v>
      </c>
      <c r="B730" s="80" t="s">
        <v>2680</v>
      </c>
      <c r="C730" s="80" t="s">
        <v>2654</v>
      </c>
      <c r="D730" s="80" t="s">
        <v>2646</v>
      </c>
      <c r="E730" s="80" t="s">
        <v>2642</v>
      </c>
      <c r="F730" s="80" t="s">
        <v>2370</v>
      </c>
      <c r="G730" s="80" t="s">
        <v>2701</v>
      </c>
      <c r="H730" s="79">
        <v>19</v>
      </c>
      <c r="I730" s="79">
        <v>2240.89</v>
      </c>
      <c r="J730" s="79">
        <v>42576.91</v>
      </c>
    </row>
    <row r="731" spans="1:10" ht="15" thickBot="1">
      <c r="A731" s="98">
        <v>45117</v>
      </c>
      <c r="B731" s="80" t="s">
        <v>2683</v>
      </c>
      <c r="C731" s="80" t="s">
        <v>2660</v>
      </c>
      <c r="D731" s="80" t="s">
        <v>2647</v>
      </c>
      <c r="E731" s="80" t="s">
        <v>2643</v>
      </c>
      <c r="F731" s="80" t="s">
        <v>2373</v>
      </c>
      <c r="G731" s="80" t="s">
        <v>2703</v>
      </c>
      <c r="H731" s="79">
        <v>19</v>
      </c>
      <c r="I731" s="79">
        <v>4089.21</v>
      </c>
      <c r="J731" s="79">
        <v>77694.990000000005</v>
      </c>
    </row>
    <row r="732" spans="1:10" ht="15" thickBot="1">
      <c r="A732" s="98" t="s">
        <v>2512</v>
      </c>
      <c r="B732" s="80" t="s">
        <v>2685</v>
      </c>
      <c r="C732" s="80" t="s">
        <v>2654</v>
      </c>
      <c r="D732" s="80" t="s">
        <v>2646</v>
      </c>
      <c r="E732" s="80" t="s">
        <v>2642</v>
      </c>
      <c r="F732" s="80" t="s">
        <v>2661</v>
      </c>
      <c r="G732" s="80" t="s">
        <v>2695</v>
      </c>
      <c r="H732" s="79">
        <v>6</v>
      </c>
      <c r="I732" s="79">
        <v>4286.28</v>
      </c>
      <c r="J732" s="79">
        <v>25717.68</v>
      </c>
    </row>
    <row r="733" spans="1:10" ht="15" thickBot="1">
      <c r="A733" s="98" t="s">
        <v>2575</v>
      </c>
      <c r="B733" s="80" t="s">
        <v>2681</v>
      </c>
      <c r="C733" s="80" t="s">
        <v>2651</v>
      </c>
      <c r="D733" s="80" t="s">
        <v>2646</v>
      </c>
      <c r="E733" s="80" t="s">
        <v>2642</v>
      </c>
      <c r="F733" s="80" t="s">
        <v>2370</v>
      </c>
      <c r="G733" s="80" t="s">
        <v>1336</v>
      </c>
      <c r="H733" s="79">
        <v>20</v>
      </c>
      <c r="I733" s="79">
        <v>1316.67</v>
      </c>
      <c r="J733" s="79">
        <v>26333.4</v>
      </c>
    </row>
    <row r="734" spans="1:10" ht="15" thickBot="1">
      <c r="A734" s="98" t="s">
        <v>2457</v>
      </c>
      <c r="B734" s="80" t="s">
        <v>2685</v>
      </c>
      <c r="C734" s="80" t="s">
        <v>2396</v>
      </c>
      <c r="D734" s="80" t="s">
        <v>2648</v>
      </c>
      <c r="E734" s="80" t="s">
        <v>2641</v>
      </c>
      <c r="F734" s="80" t="s">
        <v>2372</v>
      </c>
      <c r="G734" s="80" t="s">
        <v>2699</v>
      </c>
      <c r="H734" s="79">
        <v>17</v>
      </c>
      <c r="I734" s="79">
        <v>3145.73</v>
      </c>
      <c r="J734" s="79">
        <v>53477.41</v>
      </c>
    </row>
    <row r="735" spans="1:10" ht="15" thickBot="1">
      <c r="A735" s="98" t="s">
        <v>2473</v>
      </c>
      <c r="B735" s="80" t="s">
        <v>2685</v>
      </c>
      <c r="C735" s="80" t="s">
        <v>2393</v>
      </c>
      <c r="D735" s="80" t="s">
        <v>2644</v>
      </c>
      <c r="E735" s="80" t="s">
        <v>2641</v>
      </c>
      <c r="F735" s="80" t="s">
        <v>2372</v>
      </c>
      <c r="G735" s="80" t="s">
        <v>2693</v>
      </c>
      <c r="H735" s="79">
        <v>10</v>
      </c>
      <c r="I735" s="79">
        <v>2523.59</v>
      </c>
      <c r="J735" s="79">
        <v>25235.9</v>
      </c>
    </row>
    <row r="736" spans="1:10" ht="15" thickBot="1">
      <c r="A736" s="98" t="s">
        <v>2486</v>
      </c>
      <c r="B736" s="80" t="s">
        <v>2680</v>
      </c>
      <c r="C736" s="80" t="s">
        <v>2659</v>
      </c>
      <c r="D736" s="80" t="s">
        <v>2647</v>
      </c>
      <c r="E736" s="80" t="s">
        <v>2643</v>
      </c>
      <c r="F736" s="80" t="s">
        <v>2374</v>
      </c>
      <c r="G736" s="80" t="s">
        <v>2689</v>
      </c>
      <c r="H736" s="79">
        <v>2</v>
      </c>
      <c r="I736" s="79">
        <v>2851.64</v>
      </c>
      <c r="J736" s="79">
        <v>5703.28</v>
      </c>
    </row>
    <row r="737" spans="1:10" ht="15" thickBot="1">
      <c r="A737" s="98" t="s">
        <v>2676</v>
      </c>
      <c r="B737" s="80" t="s">
        <v>2685</v>
      </c>
      <c r="C737" s="80" t="s">
        <v>2393</v>
      </c>
      <c r="D737" s="80" t="s">
        <v>2644</v>
      </c>
      <c r="E737" s="80" t="s">
        <v>2641</v>
      </c>
      <c r="F737" s="80" t="s">
        <v>2374</v>
      </c>
      <c r="G737" s="80" t="s">
        <v>2689</v>
      </c>
      <c r="H737" s="79">
        <v>20</v>
      </c>
      <c r="I737" s="79">
        <v>3193.18</v>
      </c>
      <c r="J737" s="79">
        <v>63863.6</v>
      </c>
    </row>
    <row r="738" spans="1:10" ht="15" thickBot="1">
      <c r="A738" s="98" t="s">
        <v>2614</v>
      </c>
      <c r="B738" s="80" t="s">
        <v>2680</v>
      </c>
      <c r="C738" s="80" t="s">
        <v>2652</v>
      </c>
      <c r="D738" s="80" t="s">
        <v>2647</v>
      </c>
      <c r="E738" s="80" t="s">
        <v>2643</v>
      </c>
      <c r="F738" s="80" t="s">
        <v>2372</v>
      </c>
      <c r="G738" s="80" t="s">
        <v>2693</v>
      </c>
      <c r="H738" s="79">
        <v>8</v>
      </c>
      <c r="I738" s="79">
        <v>4663.82</v>
      </c>
      <c r="J738" s="79">
        <v>37310.559999999998</v>
      </c>
    </row>
    <row r="739" spans="1:10" ht="15" thickBot="1">
      <c r="A739" s="98">
        <v>44938</v>
      </c>
      <c r="B739" s="80" t="s">
        <v>2683</v>
      </c>
      <c r="C739" s="80" t="s">
        <v>2392</v>
      </c>
      <c r="D739" s="80" t="s">
        <v>2644</v>
      </c>
      <c r="E739" s="80" t="s">
        <v>2641</v>
      </c>
      <c r="F739" s="80" t="s">
        <v>2374</v>
      </c>
      <c r="G739" s="80" t="s">
        <v>2704</v>
      </c>
      <c r="H739" s="79">
        <v>13</v>
      </c>
      <c r="I739" s="79">
        <v>4263.79</v>
      </c>
      <c r="J739" s="79">
        <v>55429.27</v>
      </c>
    </row>
    <row r="740" spans="1:10" ht="15" thickBot="1">
      <c r="A740" s="98" t="s">
        <v>2675</v>
      </c>
      <c r="B740" s="80" t="s">
        <v>2687</v>
      </c>
      <c r="C740" s="80" t="s">
        <v>2651</v>
      </c>
      <c r="D740" s="80" t="s">
        <v>2646</v>
      </c>
      <c r="E740" s="80" t="s">
        <v>2642</v>
      </c>
      <c r="F740" s="80" t="s">
        <v>2373</v>
      </c>
      <c r="G740" s="80" t="s">
        <v>2705</v>
      </c>
      <c r="H740" s="79">
        <v>11</v>
      </c>
      <c r="I740" s="79">
        <v>819.85</v>
      </c>
      <c r="J740" s="79">
        <v>9018.35</v>
      </c>
    </row>
    <row r="741" spans="1:10" ht="15" thickBot="1">
      <c r="A741" s="98" t="s">
        <v>2601</v>
      </c>
      <c r="B741" s="80" t="s">
        <v>2686</v>
      </c>
      <c r="C741" s="80" t="s">
        <v>2651</v>
      </c>
      <c r="D741" s="80" t="s">
        <v>2646</v>
      </c>
      <c r="E741" s="80" t="s">
        <v>2642</v>
      </c>
      <c r="F741" s="80" t="s">
        <v>2370</v>
      </c>
      <c r="G741" s="80" t="s">
        <v>2702</v>
      </c>
      <c r="H741" s="79">
        <v>8</v>
      </c>
      <c r="I741" s="79">
        <v>2784.08</v>
      </c>
      <c r="J741" s="79">
        <v>22272.639999999999</v>
      </c>
    </row>
    <row r="742" spans="1:10" ht="15" thickBot="1">
      <c r="A742" s="98" t="s">
        <v>2469</v>
      </c>
      <c r="B742" s="80" t="s">
        <v>2685</v>
      </c>
      <c r="C742" s="80" t="s">
        <v>2650</v>
      </c>
      <c r="D742" s="80" t="s">
        <v>2646</v>
      </c>
      <c r="E742" s="80" t="s">
        <v>2642</v>
      </c>
      <c r="F742" s="80" t="s">
        <v>2372</v>
      </c>
      <c r="G742" s="80" t="s">
        <v>2694</v>
      </c>
      <c r="H742" s="79">
        <v>8</v>
      </c>
      <c r="I742" s="79">
        <v>2240.2199999999998</v>
      </c>
      <c r="J742" s="79">
        <v>17921.759999999998</v>
      </c>
    </row>
    <row r="743" spans="1:10" ht="15" thickBot="1">
      <c r="A743" s="98">
        <v>45089</v>
      </c>
      <c r="B743" s="80" t="s">
        <v>2679</v>
      </c>
      <c r="C743" s="80" t="s">
        <v>2650</v>
      </c>
      <c r="D743" s="80" t="s">
        <v>2646</v>
      </c>
      <c r="E743" s="80" t="s">
        <v>2642</v>
      </c>
      <c r="F743" s="80" t="s">
        <v>2370</v>
      </c>
      <c r="G743" s="80" t="s">
        <v>1335</v>
      </c>
      <c r="H743" s="79">
        <v>18</v>
      </c>
      <c r="I743" s="79">
        <v>1039.3800000000001</v>
      </c>
      <c r="J743" s="79">
        <v>18708.84</v>
      </c>
    </row>
    <row r="744" spans="1:10" ht="15" thickBot="1">
      <c r="A744" s="98">
        <v>45118</v>
      </c>
      <c r="B744" s="80" t="s">
        <v>2681</v>
      </c>
      <c r="C744" s="80" t="s">
        <v>2396</v>
      </c>
      <c r="D744" s="80" t="s">
        <v>2648</v>
      </c>
      <c r="E744" s="80" t="s">
        <v>2641</v>
      </c>
      <c r="F744" s="80" t="s">
        <v>2661</v>
      </c>
      <c r="G744" s="80" t="s">
        <v>2695</v>
      </c>
      <c r="H744" s="79">
        <v>18</v>
      </c>
      <c r="I744" s="79">
        <v>1297.93</v>
      </c>
      <c r="J744" s="79">
        <v>23362.74</v>
      </c>
    </row>
    <row r="745" spans="1:10" ht="15" thickBot="1">
      <c r="A745" s="98">
        <v>45047</v>
      </c>
      <c r="B745" s="80" t="s">
        <v>2687</v>
      </c>
      <c r="C745" s="80" t="s">
        <v>2392</v>
      </c>
      <c r="D745" s="80" t="s">
        <v>2644</v>
      </c>
      <c r="E745" s="80" t="s">
        <v>2641</v>
      </c>
      <c r="F745" s="80" t="s">
        <v>2373</v>
      </c>
      <c r="G745" s="80" t="s">
        <v>2703</v>
      </c>
      <c r="H745" s="79">
        <v>4</v>
      </c>
      <c r="I745" s="79">
        <v>4293.74</v>
      </c>
      <c r="J745" s="79">
        <v>17174.96</v>
      </c>
    </row>
    <row r="746" spans="1:10" ht="15" thickBot="1">
      <c r="A746" s="98" t="s">
        <v>2635</v>
      </c>
      <c r="B746" s="80" t="s">
        <v>2682</v>
      </c>
      <c r="C746" s="80" t="s">
        <v>2652</v>
      </c>
      <c r="D746" s="80" t="s">
        <v>2647</v>
      </c>
      <c r="E746" s="80" t="s">
        <v>2643</v>
      </c>
      <c r="F746" s="80" t="s">
        <v>2370</v>
      </c>
      <c r="G746" s="80" t="s">
        <v>1335</v>
      </c>
      <c r="H746" s="79">
        <v>11</v>
      </c>
      <c r="I746" s="79">
        <v>2133.36</v>
      </c>
      <c r="J746" s="79">
        <v>23466.959999999999</v>
      </c>
    </row>
    <row r="747" spans="1:10" ht="15" thickBot="1">
      <c r="A747" s="98" t="s">
        <v>2670</v>
      </c>
      <c r="B747" s="80" t="s">
        <v>2678</v>
      </c>
      <c r="C747" s="80" t="s">
        <v>2658</v>
      </c>
      <c r="D747" s="80" t="s">
        <v>2645</v>
      </c>
      <c r="E747" s="80" t="s">
        <v>2642</v>
      </c>
      <c r="F747" s="80" t="s">
        <v>2661</v>
      </c>
      <c r="G747" s="80" t="s">
        <v>2696</v>
      </c>
      <c r="H747" s="79">
        <v>11</v>
      </c>
      <c r="I747" s="79">
        <v>735.74</v>
      </c>
      <c r="J747" s="79">
        <v>8093.14</v>
      </c>
    </row>
    <row r="748" spans="1:10" ht="15" thickBot="1">
      <c r="A748" s="98">
        <v>45141</v>
      </c>
      <c r="B748" s="80" t="s">
        <v>2680</v>
      </c>
      <c r="C748" s="80" t="s">
        <v>2660</v>
      </c>
      <c r="D748" s="80" t="s">
        <v>2647</v>
      </c>
      <c r="E748" s="80" t="s">
        <v>2643</v>
      </c>
      <c r="F748" s="80" t="s">
        <v>2372</v>
      </c>
      <c r="G748" s="80" t="s">
        <v>2690</v>
      </c>
      <c r="H748" s="79">
        <v>14</v>
      </c>
      <c r="I748" s="79">
        <v>271.27</v>
      </c>
      <c r="J748" s="79">
        <v>3797.78</v>
      </c>
    </row>
    <row r="749" spans="1:10" ht="15" thickBot="1">
      <c r="A749" s="98">
        <v>45210</v>
      </c>
      <c r="B749" s="80" t="s">
        <v>2680</v>
      </c>
      <c r="C749" s="80" t="s">
        <v>2658</v>
      </c>
      <c r="D749" s="80" t="s">
        <v>2645</v>
      </c>
      <c r="E749" s="80" t="s">
        <v>2642</v>
      </c>
      <c r="F749" s="80" t="s">
        <v>2373</v>
      </c>
      <c r="G749" s="80" t="s">
        <v>2688</v>
      </c>
      <c r="H749" s="79">
        <v>5</v>
      </c>
      <c r="I749" s="79">
        <v>4759.1899999999996</v>
      </c>
      <c r="J749" s="79">
        <v>23795.95</v>
      </c>
    </row>
    <row r="750" spans="1:10" ht="15" thickBot="1">
      <c r="A750" s="98">
        <v>45211</v>
      </c>
      <c r="B750" s="80" t="s">
        <v>2679</v>
      </c>
      <c r="C750" s="80" t="s">
        <v>2656</v>
      </c>
      <c r="D750" s="80" t="s">
        <v>2648</v>
      </c>
      <c r="E750" s="80" t="s">
        <v>2641</v>
      </c>
      <c r="F750" s="80" t="s">
        <v>2370</v>
      </c>
      <c r="G750" s="80" t="s">
        <v>1336</v>
      </c>
      <c r="H750" s="79">
        <v>11</v>
      </c>
      <c r="I750" s="79">
        <v>941.97</v>
      </c>
      <c r="J750" s="79">
        <v>10361.67</v>
      </c>
    </row>
    <row r="751" spans="1:10" ht="15" thickBot="1">
      <c r="A751" s="98">
        <v>45238</v>
      </c>
      <c r="B751" s="80" t="s">
        <v>2679</v>
      </c>
      <c r="C751" s="80" t="s">
        <v>2651</v>
      </c>
      <c r="D751" s="80" t="s">
        <v>2646</v>
      </c>
      <c r="E751" s="80" t="s">
        <v>2642</v>
      </c>
      <c r="F751" s="80" t="s">
        <v>2661</v>
      </c>
      <c r="G751" s="80" t="s">
        <v>2698</v>
      </c>
      <c r="H751" s="79">
        <v>11</v>
      </c>
      <c r="I751" s="79">
        <v>2182.46</v>
      </c>
      <c r="J751" s="79">
        <v>24007.06</v>
      </c>
    </row>
    <row r="752" spans="1:10" ht="15" thickBot="1">
      <c r="A752" s="98" t="s">
        <v>2602</v>
      </c>
      <c r="B752" s="80" t="s">
        <v>2679</v>
      </c>
      <c r="C752" s="80" t="s">
        <v>2392</v>
      </c>
      <c r="D752" s="80" t="s">
        <v>2644</v>
      </c>
      <c r="E752" s="80" t="s">
        <v>2641</v>
      </c>
      <c r="F752" s="80" t="s">
        <v>2661</v>
      </c>
      <c r="G752" s="80" t="s">
        <v>2696</v>
      </c>
      <c r="H752" s="79">
        <v>10</v>
      </c>
      <c r="I752" s="79">
        <v>2112.91</v>
      </c>
      <c r="J752" s="79">
        <v>21129.1</v>
      </c>
    </row>
    <row r="753" spans="1:10" ht="15" thickBot="1">
      <c r="A753" s="98">
        <v>45232</v>
      </c>
      <c r="B753" s="80" t="s">
        <v>2681</v>
      </c>
      <c r="C753" s="80" t="s">
        <v>2396</v>
      </c>
      <c r="D753" s="80" t="s">
        <v>2648</v>
      </c>
      <c r="E753" s="80" t="s">
        <v>2641</v>
      </c>
      <c r="F753" s="80" t="s">
        <v>2372</v>
      </c>
      <c r="G753" s="80" t="s">
        <v>2690</v>
      </c>
      <c r="H753" s="79">
        <v>13</v>
      </c>
      <c r="I753" s="79">
        <v>3495.08</v>
      </c>
      <c r="J753" s="79">
        <v>45436.04</v>
      </c>
    </row>
    <row r="754" spans="1:10" ht="15" thickBot="1">
      <c r="A754" s="98">
        <v>44932</v>
      </c>
      <c r="B754" s="80" t="s">
        <v>2678</v>
      </c>
      <c r="C754" s="80" t="s">
        <v>2659</v>
      </c>
      <c r="D754" s="80" t="s">
        <v>2647</v>
      </c>
      <c r="E754" s="80" t="s">
        <v>2643</v>
      </c>
      <c r="F754" s="80" t="s">
        <v>2661</v>
      </c>
      <c r="G754" s="80" t="s">
        <v>2691</v>
      </c>
      <c r="H754" s="79">
        <v>2</v>
      </c>
      <c r="I754" s="79">
        <v>3439.47</v>
      </c>
      <c r="J754" s="79">
        <v>6878.94</v>
      </c>
    </row>
    <row r="755" spans="1:10" ht="15" thickBot="1">
      <c r="A755" s="98">
        <v>45231</v>
      </c>
      <c r="B755" s="80" t="s">
        <v>2680</v>
      </c>
      <c r="C755" s="80" t="s">
        <v>2657</v>
      </c>
      <c r="D755" s="80" t="s">
        <v>2648</v>
      </c>
      <c r="E755" s="80" t="s">
        <v>2641</v>
      </c>
      <c r="F755" s="80" t="s">
        <v>2373</v>
      </c>
      <c r="G755" s="80" t="s">
        <v>2688</v>
      </c>
      <c r="H755" s="79">
        <v>20</v>
      </c>
      <c r="I755" s="79">
        <v>3279.25</v>
      </c>
      <c r="J755" s="79">
        <v>65585</v>
      </c>
    </row>
    <row r="756" spans="1:10" ht="15" thickBot="1">
      <c r="A756" s="98">
        <v>44928</v>
      </c>
      <c r="B756" s="80" t="s">
        <v>2680</v>
      </c>
      <c r="C756" s="80" t="s">
        <v>2652</v>
      </c>
      <c r="D756" s="80" t="s">
        <v>2647</v>
      </c>
      <c r="E756" s="80" t="s">
        <v>2643</v>
      </c>
      <c r="F756" s="80" t="s">
        <v>2373</v>
      </c>
      <c r="G756" s="80" t="s">
        <v>2697</v>
      </c>
      <c r="H756" s="79">
        <v>16</v>
      </c>
      <c r="I756" s="79">
        <v>3320.8</v>
      </c>
      <c r="J756" s="79">
        <v>53132.800000000003</v>
      </c>
    </row>
    <row r="757" spans="1:10" ht="15" thickBot="1">
      <c r="A757" s="98" t="s">
        <v>2581</v>
      </c>
      <c r="B757" s="80" t="s">
        <v>2680</v>
      </c>
      <c r="C757" s="80" t="s">
        <v>2393</v>
      </c>
      <c r="D757" s="80" t="s">
        <v>2644</v>
      </c>
      <c r="E757" s="80" t="s">
        <v>2641</v>
      </c>
      <c r="F757" s="80" t="s">
        <v>2372</v>
      </c>
      <c r="G757" s="80" t="s">
        <v>2699</v>
      </c>
      <c r="H757" s="79">
        <v>6</v>
      </c>
      <c r="I757" s="79">
        <v>4105.1899999999996</v>
      </c>
      <c r="J757" s="79">
        <v>24631.14</v>
      </c>
    </row>
    <row r="758" spans="1:10" ht="15" thickBot="1">
      <c r="A758" s="98" t="s">
        <v>2452</v>
      </c>
      <c r="B758" s="80" t="s">
        <v>2684</v>
      </c>
      <c r="C758" s="80" t="s">
        <v>2659</v>
      </c>
      <c r="D758" s="80" t="s">
        <v>2647</v>
      </c>
      <c r="E758" s="80" t="s">
        <v>2643</v>
      </c>
      <c r="F758" s="80" t="s">
        <v>2661</v>
      </c>
      <c r="G758" s="80" t="s">
        <v>2695</v>
      </c>
      <c r="H758" s="79">
        <v>7</v>
      </c>
      <c r="I758" s="79">
        <v>1830.46</v>
      </c>
      <c r="J758" s="79">
        <v>12813.22</v>
      </c>
    </row>
    <row r="759" spans="1:10" ht="15" thickBot="1">
      <c r="A759" s="98" t="s">
        <v>2638</v>
      </c>
      <c r="B759" s="80" t="s">
        <v>2679</v>
      </c>
      <c r="C759" s="80" t="s">
        <v>2659</v>
      </c>
      <c r="D759" s="80" t="s">
        <v>2647</v>
      </c>
      <c r="E759" s="80" t="s">
        <v>2643</v>
      </c>
      <c r="F759" s="80" t="s">
        <v>2374</v>
      </c>
      <c r="G759" s="80" t="s">
        <v>2704</v>
      </c>
      <c r="H759" s="79">
        <v>19</v>
      </c>
      <c r="I759" s="79">
        <v>3901.75</v>
      </c>
      <c r="J759" s="79">
        <v>74133.25</v>
      </c>
    </row>
    <row r="760" spans="1:10" ht="15" thickBot="1">
      <c r="A760" s="98" t="s">
        <v>2436</v>
      </c>
      <c r="B760" s="80" t="s">
        <v>2679</v>
      </c>
      <c r="C760" s="80" t="s">
        <v>2654</v>
      </c>
      <c r="D760" s="80" t="s">
        <v>2646</v>
      </c>
      <c r="E760" s="80" t="s">
        <v>2642</v>
      </c>
      <c r="F760" s="80" t="s">
        <v>2661</v>
      </c>
      <c r="G760" s="80" t="s">
        <v>2691</v>
      </c>
      <c r="H760" s="79">
        <v>10</v>
      </c>
      <c r="I760" s="79">
        <v>3031.91</v>
      </c>
      <c r="J760" s="79">
        <v>30319.1</v>
      </c>
    </row>
    <row r="761" spans="1:10" ht="15" thickBot="1">
      <c r="A761" s="98">
        <v>45116</v>
      </c>
      <c r="B761" s="80" t="s">
        <v>2683</v>
      </c>
      <c r="C761" s="80" t="s">
        <v>2653</v>
      </c>
      <c r="D761" s="80" t="s">
        <v>2644</v>
      </c>
      <c r="E761" s="80" t="s">
        <v>2641</v>
      </c>
      <c r="F761" s="80" t="s">
        <v>2374</v>
      </c>
      <c r="G761" s="80" t="s">
        <v>2689</v>
      </c>
      <c r="H761" s="79">
        <v>18</v>
      </c>
      <c r="I761" s="79">
        <v>3575.04</v>
      </c>
      <c r="J761" s="79">
        <v>64350.720000000001</v>
      </c>
    </row>
    <row r="762" spans="1:10" ht="15" thickBot="1">
      <c r="A762" s="98">
        <v>44935</v>
      </c>
      <c r="B762" s="80" t="s">
        <v>2684</v>
      </c>
      <c r="C762" s="80" t="s">
        <v>2658</v>
      </c>
      <c r="D762" s="80" t="s">
        <v>2645</v>
      </c>
      <c r="E762" s="80" t="s">
        <v>2642</v>
      </c>
      <c r="F762" s="80" t="s">
        <v>2661</v>
      </c>
      <c r="G762" s="80" t="s">
        <v>2696</v>
      </c>
      <c r="H762" s="79">
        <v>17</v>
      </c>
      <c r="I762" s="79">
        <v>2920.06</v>
      </c>
      <c r="J762" s="79">
        <v>49641.02</v>
      </c>
    </row>
    <row r="763" spans="1:10" ht="15" thickBot="1">
      <c r="A763" s="98" t="s">
        <v>2620</v>
      </c>
      <c r="B763" s="80" t="s">
        <v>2685</v>
      </c>
      <c r="C763" s="80" t="s">
        <v>2392</v>
      </c>
      <c r="D763" s="80" t="s">
        <v>2644</v>
      </c>
      <c r="E763" s="80" t="s">
        <v>2641</v>
      </c>
      <c r="F763" s="80" t="s">
        <v>2370</v>
      </c>
      <c r="G763" s="80" t="s">
        <v>2702</v>
      </c>
      <c r="H763" s="79">
        <v>15</v>
      </c>
      <c r="I763" s="79">
        <v>2796.48</v>
      </c>
      <c r="J763" s="79">
        <v>41947.199999999997</v>
      </c>
    </row>
    <row r="764" spans="1:10" ht="15" thickBot="1">
      <c r="A764" s="98" t="s">
        <v>2527</v>
      </c>
      <c r="B764" s="80" t="s">
        <v>2682</v>
      </c>
      <c r="C764" s="80" t="s">
        <v>2650</v>
      </c>
      <c r="D764" s="80" t="s">
        <v>2646</v>
      </c>
      <c r="E764" s="80" t="s">
        <v>2642</v>
      </c>
      <c r="F764" s="80" t="s">
        <v>2370</v>
      </c>
      <c r="G764" s="80" t="s">
        <v>1336</v>
      </c>
      <c r="H764" s="79">
        <v>1</v>
      </c>
      <c r="I764" s="79">
        <v>2918.29</v>
      </c>
      <c r="J764" s="79">
        <v>2918.29</v>
      </c>
    </row>
    <row r="765" spans="1:10" ht="15" thickBot="1">
      <c r="A765" s="98" t="s">
        <v>2576</v>
      </c>
      <c r="B765" s="80" t="s">
        <v>2684</v>
      </c>
      <c r="C765" s="80" t="s">
        <v>2656</v>
      </c>
      <c r="D765" s="80" t="s">
        <v>2648</v>
      </c>
      <c r="E765" s="80" t="s">
        <v>2641</v>
      </c>
      <c r="F765" s="80" t="s">
        <v>2373</v>
      </c>
      <c r="G765" s="80" t="s">
        <v>2697</v>
      </c>
      <c r="H765" s="79">
        <v>10</v>
      </c>
      <c r="I765" s="79">
        <v>1097.83</v>
      </c>
      <c r="J765" s="79">
        <v>10978.3</v>
      </c>
    </row>
    <row r="766" spans="1:10" ht="15" thickBot="1">
      <c r="A766" s="98">
        <v>45262</v>
      </c>
      <c r="B766" s="80" t="s">
        <v>2678</v>
      </c>
      <c r="C766" s="80" t="s">
        <v>2392</v>
      </c>
      <c r="D766" s="80" t="s">
        <v>2644</v>
      </c>
      <c r="E766" s="80" t="s">
        <v>2641</v>
      </c>
      <c r="F766" s="80" t="s">
        <v>2372</v>
      </c>
      <c r="G766" s="80" t="s">
        <v>2694</v>
      </c>
      <c r="H766" s="79">
        <v>10</v>
      </c>
      <c r="I766" s="79">
        <v>3391.5</v>
      </c>
      <c r="J766" s="79">
        <v>33915</v>
      </c>
    </row>
    <row r="767" spans="1:10" ht="15" thickBot="1">
      <c r="A767" s="98">
        <v>45176</v>
      </c>
      <c r="B767" s="80" t="s">
        <v>2686</v>
      </c>
      <c r="C767" s="80" t="s">
        <v>2652</v>
      </c>
      <c r="D767" s="80" t="s">
        <v>2647</v>
      </c>
      <c r="E767" s="80" t="s">
        <v>2643</v>
      </c>
      <c r="F767" s="80" t="s">
        <v>2661</v>
      </c>
      <c r="G767" s="80" t="s">
        <v>2696</v>
      </c>
      <c r="H767" s="79">
        <v>13</v>
      </c>
      <c r="I767" s="79">
        <v>2225.88</v>
      </c>
      <c r="J767" s="79">
        <v>28936.44</v>
      </c>
    </row>
    <row r="768" spans="1:10" ht="15" thickBot="1">
      <c r="A768" s="98">
        <v>45058</v>
      </c>
      <c r="B768" s="80" t="s">
        <v>2683</v>
      </c>
      <c r="C768" s="80" t="s">
        <v>2393</v>
      </c>
      <c r="D768" s="80" t="s">
        <v>2644</v>
      </c>
      <c r="E768" s="80" t="s">
        <v>2641</v>
      </c>
      <c r="F768" s="80" t="s">
        <v>2372</v>
      </c>
      <c r="G768" s="80" t="s">
        <v>2694</v>
      </c>
      <c r="H768" s="79">
        <v>2</v>
      </c>
      <c r="I768" s="79">
        <v>1559.76</v>
      </c>
      <c r="J768" s="79">
        <v>3119.52</v>
      </c>
    </row>
    <row r="769" spans="1:10" ht="15" thickBot="1">
      <c r="A769" s="98" t="s">
        <v>2545</v>
      </c>
      <c r="B769" s="80" t="s">
        <v>2680</v>
      </c>
      <c r="C769" s="80" t="s">
        <v>2657</v>
      </c>
      <c r="D769" s="80" t="s">
        <v>2648</v>
      </c>
      <c r="E769" s="80" t="s">
        <v>2641</v>
      </c>
      <c r="F769" s="80" t="s">
        <v>2661</v>
      </c>
      <c r="G769" s="80" t="s">
        <v>2695</v>
      </c>
      <c r="H769" s="79">
        <v>13</v>
      </c>
      <c r="I769" s="79">
        <v>4719.96</v>
      </c>
      <c r="J769" s="79">
        <v>61359.48</v>
      </c>
    </row>
    <row r="770" spans="1:10" ht="15" thickBot="1">
      <c r="A770" s="98" t="s">
        <v>2437</v>
      </c>
      <c r="B770" s="80" t="s">
        <v>2687</v>
      </c>
      <c r="C770" s="80" t="s">
        <v>2658</v>
      </c>
      <c r="D770" s="80" t="s">
        <v>2645</v>
      </c>
      <c r="E770" s="80" t="s">
        <v>2642</v>
      </c>
      <c r="F770" s="80" t="s">
        <v>2374</v>
      </c>
      <c r="G770" s="80" t="s">
        <v>2692</v>
      </c>
      <c r="H770" s="79">
        <v>5</v>
      </c>
      <c r="I770" s="79">
        <v>1593.02</v>
      </c>
      <c r="J770" s="79">
        <v>7965.1</v>
      </c>
    </row>
    <row r="771" spans="1:10" ht="15" thickBot="1">
      <c r="A771" s="98" t="s">
        <v>2540</v>
      </c>
      <c r="B771" s="80" t="s">
        <v>2682</v>
      </c>
      <c r="C771" s="80" t="s">
        <v>2650</v>
      </c>
      <c r="D771" s="80" t="s">
        <v>2646</v>
      </c>
      <c r="E771" s="80" t="s">
        <v>2642</v>
      </c>
      <c r="F771" s="80" t="s">
        <v>2372</v>
      </c>
      <c r="G771" s="80" t="s">
        <v>2690</v>
      </c>
      <c r="H771" s="79">
        <v>7</v>
      </c>
      <c r="I771" s="79">
        <v>1233.6300000000001</v>
      </c>
      <c r="J771" s="79">
        <v>8635.41</v>
      </c>
    </row>
    <row r="772" spans="1:10" ht="15" thickBot="1">
      <c r="A772" s="98" t="s">
        <v>2574</v>
      </c>
      <c r="B772" s="80" t="s">
        <v>2681</v>
      </c>
      <c r="C772" s="80" t="s">
        <v>2651</v>
      </c>
      <c r="D772" s="80" t="s">
        <v>2646</v>
      </c>
      <c r="E772" s="80" t="s">
        <v>2642</v>
      </c>
      <c r="F772" s="80" t="s">
        <v>2370</v>
      </c>
      <c r="G772" s="80" t="s">
        <v>2701</v>
      </c>
      <c r="H772" s="79">
        <v>2</v>
      </c>
      <c r="I772" s="79">
        <v>2261.69</v>
      </c>
      <c r="J772" s="79">
        <v>4523.38</v>
      </c>
    </row>
    <row r="773" spans="1:10" ht="15" thickBot="1">
      <c r="A773" s="98">
        <v>45235</v>
      </c>
      <c r="B773" s="80" t="s">
        <v>2684</v>
      </c>
      <c r="C773" s="80" t="s">
        <v>2654</v>
      </c>
      <c r="D773" s="80" t="s">
        <v>2646</v>
      </c>
      <c r="E773" s="80" t="s">
        <v>2642</v>
      </c>
      <c r="F773" s="80" t="s">
        <v>2661</v>
      </c>
      <c r="G773" s="80" t="s">
        <v>2696</v>
      </c>
      <c r="H773" s="79">
        <v>15</v>
      </c>
      <c r="I773" s="79">
        <v>1197.31</v>
      </c>
      <c r="J773" s="79">
        <v>17959.650000000001</v>
      </c>
    </row>
    <row r="774" spans="1:10" ht="15" thickBot="1">
      <c r="A774" s="98">
        <v>45173</v>
      </c>
      <c r="B774" s="80" t="s">
        <v>2679</v>
      </c>
      <c r="C774" s="80" t="s">
        <v>2649</v>
      </c>
      <c r="D774" s="80" t="s">
        <v>2645</v>
      </c>
      <c r="E774" s="80" t="s">
        <v>2642</v>
      </c>
      <c r="F774" s="80" t="s">
        <v>2374</v>
      </c>
      <c r="G774" s="80" t="s">
        <v>2692</v>
      </c>
      <c r="H774" s="79">
        <v>9</v>
      </c>
      <c r="I774" s="79">
        <v>3441.09</v>
      </c>
      <c r="J774" s="79">
        <v>30969.81</v>
      </c>
    </row>
    <row r="775" spans="1:10" ht="15" thickBot="1">
      <c r="A775" s="98" t="s">
        <v>2617</v>
      </c>
      <c r="B775" s="80" t="s">
        <v>2679</v>
      </c>
      <c r="C775" s="80" t="s">
        <v>2652</v>
      </c>
      <c r="D775" s="80" t="s">
        <v>2647</v>
      </c>
      <c r="E775" s="80" t="s">
        <v>2643</v>
      </c>
      <c r="F775" s="80" t="s">
        <v>2373</v>
      </c>
      <c r="G775" s="80" t="s">
        <v>2703</v>
      </c>
      <c r="H775" s="79">
        <v>2</v>
      </c>
      <c r="I775" s="79">
        <v>3325.99</v>
      </c>
      <c r="J775" s="79">
        <v>6651.98</v>
      </c>
    </row>
    <row r="776" spans="1:10" ht="15" thickBot="1">
      <c r="A776" s="98" t="s">
        <v>2571</v>
      </c>
      <c r="B776" s="80" t="s">
        <v>2687</v>
      </c>
      <c r="C776" s="80" t="s">
        <v>2392</v>
      </c>
      <c r="D776" s="80" t="s">
        <v>2644</v>
      </c>
      <c r="E776" s="80" t="s">
        <v>2641</v>
      </c>
      <c r="F776" s="80" t="s">
        <v>2372</v>
      </c>
      <c r="G776" s="80" t="s">
        <v>2690</v>
      </c>
      <c r="H776" s="79">
        <v>2</v>
      </c>
      <c r="I776" s="79">
        <v>991.8</v>
      </c>
      <c r="J776" s="79">
        <v>1983.6</v>
      </c>
    </row>
    <row r="777" spans="1:10" ht="15" thickBot="1">
      <c r="A777" s="98" t="s">
        <v>2573</v>
      </c>
      <c r="B777" s="80" t="s">
        <v>2686</v>
      </c>
      <c r="C777" s="80" t="s">
        <v>2652</v>
      </c>
      <c r="D777" s="80" t="s">
        <v>2647</v>
      </c>
      <c r="E777" s="80" t="s">
        <v>2643</v>
      </c>
      <c r="F777" s="80" t="s">
        <v>2661</v>
      </c>
      <c r="G777" s="80" t="s">
        <v>2691</v>
      </c>
      <c r="H777" s="79">
        <v>9</v>
      </c>
      <c r="I777" s="79">
        <v>4763.01</v>
      </c>
      <c r="J777" s="79">
        <v>42867.09</v>
      </c>
    </row>
    <row r="778" spans="1:10" ht="15" thickBot="1">
      <c r="A778" s="98" t="s">
        <v>2493</v>
      </c>
      <c r="B778" s="80" t="s">
        <v>2685</v>
      </c>
      <c r="C778" s="80" t="s">
        <v>2657</v>
      </c>
      <c r="D778" s="80" t="s">
        <v>2648</v>
      </c>
      <c r="E778" s="80" t="s">
        <v>2641</v>
      </c>
      <c r="F778" s="80" t="s">
        <v>2372</v>
      </c>
      <c r="G778" s="80" t="s">
        <v>2699</v>
      </c>
      <c r="H778" s="79">
        <v>8</v>
      </c>
      <c r="I778" s="79">
        <v>826.71</v>
      </c>
      <c r="J778" s="79">
        <v>6613.68</v>
      </c>
    </row>
    <row r="779" spans="1:10" ht="15" thickBot="1">
      <c r="A779" s="98" t="s">
        <v>2624</v>
      </c>
      <c r="B779" s="80" t="s">
        <v>2678</v>
      </c>
      <c r="C779" s="80" t="s">
        <v>2658</v>
      </c>
      <c r="D779" s="80" t="s">
        <v>2645</v>
      </c>
      <c r="E779" s="80" t="s">
        <v>2642</v>
      </c>
      <c r="F779" s="80" t="s">
        <v>2661</v>
      </c>
      <c r="G779" s="80" t="s">
        <v>2698</v>
      </c>
      <c r="H779" s="79">
        <v>9</v>
      </c>
      <c r="I779" s="79">
        <v>209.57</v>
      </c>
      <c r="J779" s="79">
        <v>1886.13</v>
      </c>
    </row>
    <row r="780" spans="1:10" ht="15" thickBot="1">
      <c r="A780" s="98" t="s">
        <v>2494</v>
      </c>
      <c r="B780" s="80" t="s">
        <v>2682</v>
      </c>
      <c r="C780" s="80" t="s">
        <v>2658</v>
      </c>
      <c r="D780" s="80" t="s">
        <v>2645</v>
      </c>
      <c r="E780" s="80" t="s">
        <v>2642</v>
      </c>
      <c r="F780" s="80" t="s">
        <v>2370</v>
      </c>
      <c r="G780" s="80" t="s">
        <v>1335</v>
      </c>
      <c r="H780" s="79">
        <v>7</v>
      </c>
      <c r="I780" s="79">
        <v>2538.4299999999998</v>
      </c>
      <c r="J780" s="79">
        <v>17769.009999999998</v>
      </c>
    </row>
    <row r="781" spans="1:10" ht="15" thickBot="1">
      <c r="A781" s="98" t="s">
        <v>2460</v>
      </c>
      <c r="B781" s="80" t="s">
        <v>2681</v>
      </c>
      <c r="C781" s="80" t="s">
        <v>2396</v>
      </c>
      <c r="D781" s="80" t="s">
        <v>2648</v>
      </c>
      <c r="E781" s="80" t="s">
        <v>2641</v>
      </c>
      <c r="F781" s="80" t="s">
        <v>2661</v>
      </c>
      <c r="G781" s="80" t="s">
        <v>2696</v>
      </c>
      <c r="H781" s="79">
        <v>7</v>
      </c>
      <c r="I781" s="79">
        <v>4116.9799999999996</v>
      </c>
      <c r="J781" s="79">
        <v>28818.86</v>
      </c>
    </row>
    <row r="782" spans="1:10" ht="15" thickBot="1">
      <c r="A782" s="98">
        <v>44933</v>
      </c>
      <c r="B782" s="80" t="s">
        <v>2679</v>
      </c>
      <c r="C782" s="80" t="s">
        <v>2393</v>
      </c>
      <c r="D782" s="80" t="s">
        <v>2644</v>
      </c>
      <c r="E782" s="80" t="s">
        <v>2641</v>
      </c>
      <c r="F782" s="80" t="s">
        <v>2370</v>
      </c>
      <c r="G782" s="80" t="s">
        <v>1336</v>
      </c>
      <c r="H782" s="79">
        <v>20</v>
      </c>
      <c r="I782" s="79">
        <v>3638.01</v>
      </c>
      <c r="J782" s="79">
        <v>72760.2</v>
      </c>
    </row>
    <row r="783" spans="1:10" ht="15" thickBot="1">
      <c r="A783" s="98" t="s">
        <v>2638</v>
      </c>
      <c r="B783" s="80" t="s">
        <v>2687</v>
      </c>
      <c r="C783" s="80" t="s">
        <v>2660</v>
      </c>
      <c r="D783" s="80" t="s">
        <v>2647</v>
      </c>
      <c r="E783" s="80" t="s">
        <v>2643</v>
      </c>
      <c r="F783" s="80" t="s">
        <v>2373</v>
      </c>
      <c r="G783" s="80" t="s">
        <v>2703</v>
      </c>
      <c r="H783" s="79">
        <v>8</v>
      </c>
      <c r="I783" s="79">
        <v>4523.4399999999996</v>
      </c>
      <c r="J783" s="79">
        <v>36187.519999999997</v>
      </c>
    </row>
    <row r="784" spans="1:10" ht="15" thickBot="1">
      <c r="A784" s="98" t="s">
        <v>2585</v>
      </c>
      <c r="B784" s="80" t="s">
        <v>2681</v>
      </c>
      <c r="C784" s="80" t="s">
        <v>2652</v>
      </c>
      <c r="D784" s="80" t="s">
        <v>2647</v>
      </c>
      <c r="E784" s="80" t="s">
        <v>2643</v>
      </c>
      <c r="F784" s="80" t="s">
        <v>2373</v>
      </c>
      <c r="G784" s="80" t="s">
        <v>2697</v>
      </c>
      <c r="H784" s="79">
        <v>17</v>
      </c>
      <c r="I784" s="79">
        <v>2042</v>
      </c>
      <c r="J784" s="79">
        <v>34714</v>
      </c>
    </row>
    <row r="785" spans="1:10" ht="15" thickBot="1">
      <c r="A785" s="98" t="s">
        <v>2671</v>
      </c>
      <c r="B785" s="80" t="s">
        <v>2687</v>
      </c>
      <c r="C785" s="80" t="s">
        <v>2651</v>
      </c>
      <c r="D785" s="80" t="s">
        <v>2646</v>
      </c>
      <c r="E785" s="80" t="s">
        <v>2642</v>
      </c>
      <c r="F785" s="80" t="s">
        <v>2374</v>
      </c>
      <c r="G785" s="80" t="s">
        <v>2689</v>
      </c>
      <c r="H785" s="79">
        <v>19</v>
      </c>
      <c r="I785" s="79">
        <v>2357.62</v>
      </c>
      <c r="J785" s="79">
        <v>44794.78</v>
      </c>
    </row>
    <row r="786" spans="1:10" ht="15" thickBot="1">
      <c r="A786" s="98">
        <v>45079</v>
      </c>
      <c r="B786" s="80" t="s">
        <v>2680</v>
      </c>
      <c r="C786" s="80" t="s">
        <v>2649</v>
      </c>
      <c r="D786" s="80" t="s">
        <v>2645</v>
      </c>
      <c r="E786" s="80" t="s">
        <v>2642</v>
      </c>
      <c r="F786" s="80" t="s">
        <v>2372</v>
      </c>
      <c r="G786" s="80" t="s">
        <v>2690</v>
      </c>
      <c r="H786" s="79">
        <v>18</v>
      </c>
      <c r="I786" s="79">
        <v>941.19</v>
      </c>
      <c r="J786" s="79">
        <v>16941.419999999998</v>
      </c>
    </row>
    <row r="787" spans="1:10" ht="15" thickBot="1">
      <c r="A787" s="98">
        <v>45021</v>
      </c>
      <c r="B787" s="80" t="s">
        <v>2686</v>
      </c>
      <c r="C787" s="80" t="s">
        <v>2654</v>
      </c>
      <c r="D787" s="80" t="s">
        <v>2646</v>
      </c>
      <c r="E787" s="80" t="s">
        <v>2642</v>
      </c>
      <c r="F787" s="80" t="s">
        <v>2372</v>
      </c>
      <c r="G787" s="80" t="s">
        <v>2694</v>
      </c>
      <c r="H787" s="79">
        <v>9</v>
      </c>
      <c r="I787" s="79">
        <v>3927.83</v>
      </c>
      <c r="J787" s="79">
        <v>35350.47</v>
      </c>
    </row>
    <row r="788" spans="1:10" ht="15" thickBot="1">
      <c r="A788" s="98" t="s">
        <v>2593</v>
      </c>
      <c r="B788" s="80" t="s">
        <v>2679</v>
      </c>
      <c r="C788" s="80" t="s">
        <v>2658</v>
      </c>
      <c r="D788" s="80" t="s">
        <v>2645</v>
      </c>
      <c r="E788" s="80" t="s">
        <v>2642</v>
      </c>
      <c r="F788" s="80" t="s">
        <v>2661</v>
      </c>
      <c r="G788" s="80" t="s">
        <v>2696</v>
      </c>
      <c r="H788" s="79">
        <v>1</v>
      </c>
      <c r="I788" s="79">
        <v>4555.42</v>
      </c>
      <c r="J788" s="79">
        <v>4555.42</v>
      </c>
    </row>
    <row r="789" spans="1:10" ht="15" thickBot="1">
      <c r="A789" s="98" t="s">
        <v>2488</v>
      </c>
      <c r="B789" s="80" t="s">
        <v>2682</v>
      </c>
      <c r="C789" s="80" t="s">
        <v>2653</v>
      </c>
      <c r="D789" s="80" t="s">
        <v>2644</v>
      </c>
      <c r="E789" s="80" t="s">
        <v>2641</v>
      </c>
      <c r="F789" s="80" t="s">
        <v>2372</v>
      </c>
      <c r="G789" s="80" t="s">
        <v>2694</v>
      </c>
      <c r="H789" s="79">
        <v>18</v>
      </c>
      <c r="I789" s="79">
        <v>3271.29</v>
      </c>
      <c r="J789" s="79">
        <v>58883.22</v>
      </c>
    </row>
    <row r="790" spans="1:10" ht="15" thickBot="1">
      <c r="A790" s="98" t="s">
        <v>2606</v>
      </c>
      <c r="B790" s="80" t="s">
        <v>2678</v>
      </c>
      <c r="C790" s="80" t="s">
        <v>2657</v>
      </c>
      <c r="D790" s="80" t="s">
        <v>2648</v>
      </c>
      <c r="E790" s="80" t="s">
        <v>2641</v>
      </c>
      <c r="F790" s="80" t="s">
        <v>2370</v>
      </c>
      <c r="G790" s="80" t="s">
        <v>2701</v>
      </c>
      <c r="H790" s="79">
        <v>15</v>
      </c>
      <c r="I790" s="79">
        <v>4406.3100000000004</v>
      </c>
      <c r="J790" s="79">
        <v>66094.649999999994</v>
      </c>
    </row>
    <row r="791" spans="1:10" ht="15" thickBot="1">
      <c r="A791" s="98">
        <v>44997</v>
      </c>
      <c r="B791" s="80" t="s">
        <v>2685</v>
      </c>
      <c r="C791" s="80" t="s">
        <v>2396</v>
      </c>
      <c r="D791" s="80" t="s">
        <v>2648</v>
      </c>
      <c r="E791" s="80" t="s">
        <v>2641</v>
      </c>
      <c r="F791" s="80" t="s">
        <v>2374</v>
      </c>
      <c r="G791" s="80" t="s">
        <v>2704</v>
      </c>
      <c r="H791" s="79">
        <v>19</v>
      </c>
      <c r="I791" s="79">
        <v>2016.56</v>
      </c>
      <c r="J791" s="79">
        <v>38314.639999999999</v>
      </c>
    </row>
    <row r="792" spans="1:10" ht="15" thickBot="1">
      <c r="A792" s="98" t="s">
        <v>2496</v>
      </c>
      <c r="B792" s="80" t="s">
        <v>2685</v>
      </c>
      <c r="C792" s="80" t="s">
        <v>2657</v>
      </c>
      <c r="D792" s="80" t="s">
        <v>2648</v>
      </c>
      <c r="E792" s="80" t="s">
        <v>2641</v>
      </c>
      <c r="F792" s="80" t="s">
        <v>2373</v>
      </c>
      <c r="G792" s="80" t="s">
        <v>2705</v>
      </c>
      <c r="H792" s="79">
        <v>13</v>
      </c>
      <c r="I792" s="79">
        <v>3531.03</v>
      </c>
      <c r="J792" s="79">
        <v>45903.39</v>
      </c>
    </row>
    <row r="793" spans="1:10" ht="15" thickBot="1">
      <c r="A793" s="98" t="s">
        <v>2525</v>
      </c>
      <c r="B793" s="80" t="s">
        <v>2683</v>
      </c>
      <c r="C793" s="80" t="s">
        <v>2654</v>
      </c>
      <c r="D793" s="80" t="s">
        <v>2646</v>
      </c>
      <c r="E793" s="80" t="s">
        <v>2642</v>
      </c>
      <c r="F793" s="80" t="s">
        <v>2373</v>
      </c>
      <c r="G793" s="80" t="s">
        <v>2688</v>
      </c>
      <c r="H793" s="79">
        <v>7</v>
      </c>
      <c r="I793" s="79">
        <v>4077.95</v>
      </c>
      <c r="J793" s="79">
        <v>28545.65</v>
      </c>
    </row>
    <row r="794" spans="1:10" ht="15" thickBot="1">
      <c r="A794" s="98" t="s">
        <v>2633</v>
      </c>
      <c r="B794" s="80" t="s">
        <v>2682</v>
      </c>
      <c r="C794" s="80" t="s">
        <v>2649</v>
      </c>
      <c r="D794" s="80" t="s">
        <v>2645</v>
      </c>
      <c r="E794" s="80" t="s">
        <v>2642</v>
      </c>
      <c r="F794" s="80" t="s">
        <v>2661</v>
      </c>
      <c r="G794" s="80" t="s">
        <v>2698</v>
      </c>
      <c r="H794" s="79">
        <v>1</v>
      </c>
      <c r="I794" s="79">
        <v>1628.88</v>
      </c>
      <c r="J794" s="79">
        <v>1628.88</v>
      </c>
    </row>
    <row r="795" spans="1:10" ht="15" thickBot="1">
      <c r="A795" s="98" t="s">
        <v>2526</v>
      </c>
      <c r="B795" s="80" t="s">
        <v>2679</v>
      </c>
      <c r="C795" s="80" t="s">
        <v>2658</v>
      </c>
      <c r="D795" s="80" t="s">
        <v>2645</v>
      </c>
      <c r="E795" s="80" t="s">
        <v>2642</v>
      </c>
      <c r="F795" s="80" t="s">
        <v>2372</v>
      </c>
      <c r="G795" s="80" t="s">
        <v>2690</v>
      </c>
      <c r="H795" s="79">
        <v>15</v>
      </c>
      <c r="I795" s="79">
        <v>2093.0300000000002</v>
      </c>
      <c r="J795" s="79">
        <v>31395.45</v>
      </c>
    </row>
    <row r="796" spans="1:10" ht="15" thickBot="1">
      <c r="A796" s="98">
        <v>44992</v>
      </c>
      <c r="B796" s="80" t="s">
        <v>2686</v>
      </c>
      <c r="C796" s="80" t="s">
        <v>2659</v>
      </c>
      <c r="D796" s="80" t="s">
        <v>2647</v>
      </c>
      <c r="E796" s="80" t="s">
        <v>2643</v>
      </c>
      <c r="F796" s="80" t="s">
        <v>2372</v>
      </c>
      <c r="G796" s="80" t="s">
        <v>2694</v>
      </c>
      <c r="H796" s="79">
        <v>14</v>
      </c>
      <c r="I796" s="79">
        <v>2441.0700000000002</v>
      </c>
      <c r="J796" s="79">
        <v>34174.980000000003</v>
      </c>
    </row>
    <row r="797" spans="1:10" ht="15" thickBot="1">
      <c r="A797" s="98">
        <v>45266</v>
      </c>
      <c r="B797" s="80" t="s">
        <v>2687</v>
      </c>
      <c r="C797" s="80" t="s">
        <v>2393</v>
      </c>
      <c r="D797" s="80" t="s">
        <v>2644</v>
      </c>
      <c r="E797" s="80" t="s">
        <v>2641</v>
      </c>
      <c r="F797" s="80" t="s">
        <v>2373</v>
      </c>
      <c r="G797" s="80" t="s">
        <v>2703</v>
      </c>
      <c r="H797" s="79">
        <v>18</v>
      </c>
      <c r="I797" s="79">
        <v>134.66999999999999</v>
      </c>
      <c r="J797" s="79">
        <v>2424.06</v>
      </c>
    </row>
    <row r="798" spans="1:10" ht="15" thickBot="1">
      <c r="A798" s="98">
        <v>45207</v>
      </c>
      <c r="B798" s="80" t="s">
        <v>2679</v>
      </c>
      <c r="C798" s="80" t="s">
        <v>2649</v>
      </c>
      <c r="D798" s="80" t="s">
        <v>2645</v>
      </c>
      <c r="E798" s="80" t="s">
        <v>2642</v>
      </c>
      <c r="F798" s="80" t="s">
        <v>2370</v>
      </c>
      <c r="G798" s="80" t="s">
        <v>1335</v>
      </c>
      <c r="H798" s="79">
        <v>8</v>
      </c>
      <c r="I798" s="79">
        <v>2518.13</v>
      </c>
      <c r="J798" s="79">
        <v>20145.04</v>
      </c>
    </row>
    <row r="799" spans="1:10" ht="15" thickBot="1">
      <c r="A799" s="98">
        <v>45054</v>
      </c>
      <c r="B799" s="80" t="s">
        <v>2680</v>
      </c>
      <c r="C799" s="80" t="s">
        <v>2659</v>
      </c>
      <c r="D799" s="80" t="s">
        <v>2647</v>
      </c>
      <c r="E799" s="80" t="s">
        <v>2643</v>
      </c>
      <c r="F799" s="80" t="s">
        <v>2374</v>
      </c>
      <c r="G799" s="80" t="s">
        <v>2700</v>
      </c>
      <c r="H799" s="79">
        <v>1</v>
      </c>
      <c r="I799" s="79">
        <v>2366.64</v>
      </c>
      <c r="J799" s="79">
        <v>2366.64</v>
      </c>
    </row>
    <row r="800" spans="1:10" ht="15" thickBot="1">
      <c r="A800" s="98">
        <v>45028</v>
      </c>
      <c r="B800" s="80" t="s">
        <v>2679</v>
      </c>
      <c r="C800" s="80" t="s">
        <v>2392</v>
      </c>
      <c r="D800" s="80" t="s">
        <v>2644</v>
      </c>
      <c r="E800" s="80" t="s">
        <v>2641</v>
      </c>
      <c r="F800" s="80" t="s">
        <v>2374</v>
      </c>
      <c r="G800" s="80" t="s">
        <v>2689</v>
      </c>
      <c r="H800" s="79">
        <v>14</v>
      </c>
      <c r="I800" s="79">
        <v>3167.49</v>
      </c>
      <c r="J800" s="79">
        <v>44344.86</v>
      </c>
    </row>
    <row r="801" spans="1:10" ht="15" thickBot="1">
      <c r="A801" s="98">
        <v>45265</v>
      </c>
      <c r="B801" s="80" t="s">
        <v>2682</v>
      </c>
      <c r="C801" s="80" t="s">
        <v>2392</v>
      </c>
      <c r="D801" s="80" t="s">
        <v>2644</v>
      </c>
      <c r="E801" s="80" t="s">
        <v>2641</v>
      </c>
      <c r="F801" s="80" t="s">
        <v>2370</v>
      </c>
      <c r="G801" s="80" t="s">
        <v>1336</v>
      </c>
      <c r="H801" s="79">
        <v>9</v>
      </c>
      <c r="I801" s="79">
        <v>109.56</v>
      </c>
      <c r="J801" s="79">
        <v>986.04</v>
      </c>
    </row>
    <row r="802" spans="1:10" ht="15" thickBot="1">
      <c r="A802" s="98">
        <v>44963</v>
      </c>
      <c r="B802" s="80" t="s">
        <v>2683</v>
      </c>
      <c r="C802" s="80" t="s">
        <v>2659</v>
      </c>
      <c r="D802" s="80" t="s">
        <v>2647</v>
      </c>
      <c r="E802" s="80" t="s">
        <v>2643</v>
      </c>
      <c r="F802" s="80" t="s">
        <v>2370</v>
      </c>
      <c r="G802" s="80" t="s">
        <v>2702</v>
      </c>
      <c r="H802" s="79">
        <v>20</v>
      </c>
      <c r="I802" s="79">
        <v>652.87</v>
      </c>
      <c r="J802" s="79">
        <v>13057.4</v>
      </c>
    </row>
    <row r="803" spans="1:10" ht="15" thickBot="1">
      <c r="A803" s="98" t="s">
        <v>2548</v>
      </c>
      <c r="B803" s="80" t="s">
        <v>2682</v>
      </c>
      <c r="C803" s="80" t="s">
        <v>2658</v>
      </c>
      <c r="D803" s="80" t="s">
        <v>2645</v>
      </c>
      <c r="E803" s="80" t="s">
        <v>2642</v>
      </c>
      <c r="F803" s="80" t="s">
        <v>2372</v>
      </c>
      <c r="G803" s="80" t="s">
        <v>2694</v>
      </c>
      <c r="H803" s="79">
        <v>4</v>
      </c>
      <c r="I803" s="79">
        <v>2563.65</v>
      </c>
      <c r="J803" s="79">
        <v>10254.6</v>
      </c>
    </row>
    <row r="804" spans="1:10" ht="15" thickBot="1">
      <c r="A804" s="98" t="s">
        <v>2640</v>
      </c>
      <c r="B804" s="80" t="s">
        <v>2681</v>
      </c>
      <c r="C804" s="80" t="s">
        <v>2650</v>
      </c>
      <c r="D804" s="80" t="s">
        <v>2646</v>
      </c>
      <c r="E804" s="80" t="s">
        <v>2642</v>
      </c>
      <c r="F804" s="80" t="s">
        <v>2661</v>
      </c>
      <c r="G804" s="80" t="s">
        <v>2695</v>
      </c>
      <c r="H804" s="79">
        <v>2</v>
      </c>
      <c r="I804" s="79">
        <v>771.23</v>
      </c>
      <c r="J804" s="79">
        <v>1542.46</v>
      </c>
    </row>
    <row r="805" spans="1:10" ht="15" thickBot="1">
      <c r="A805" s="98" t="s">
        <v>2479</v>
      </c>
      <c r="B805" s="80" t="s">
        <v>2684</v>
      </c>
      <c r="C805" s="80" t="s">
        <v>2651</v>
      </c>
      <c r="D805" s="80" t="s">
        <v>2646</v>
      </c>
      <c r="E805" s="80" t="s">
        <v>2642</v>
      </c>
      <c r="F805" s="80" t="s">
        <v>2372</v>
      </c>
      <c r="G805" s="80" t="s">
        <v>2694</v>
      </c>
      <c r="H805" s="79">
        <v>19</v>
      </c>
      <c r="I805" s="79">
        <v>2290.6799999999998</v>
      </c>
      <c r="J805" s="79">
        <v>43522.92</v>
      </c>
    </row>
    <row r="806" spans="1:10" ht="15" thickBot="1">
      <c r="A806" s="98" t="s">
        <v>2522</v>
      </c>
      <c r="B806" s="80" t="s">
        <v>2682</v>
      </c>
      <c r="C806" s="80" t="s">
        <v>2655</v>
      </c>
      <c r="D806" s="80" t="s">
        <v>2645</v>
      </c>
      <c r="E806" s="80" t="s">
        <v>2642</v>
      </c>
      <c r="F806" s="80" t="s">
        <v>2374</v>
      </c>
      <c r="G806" s="80" t="s">
        <v>2692</v>
      </c>
      <c r="H806" s="79">
        <v>9</v>
      </c>
      <c r="I806" s="79">
        <v>4965.3</v>
      </c>
      <c r="J806" s="79">
        <v>44687.7</v>
      </c>
    </row>
    <row r="807" spans="1:10" ht="15" thickBot="1">
      <c r="A807" s="98" t="s">
        <v>2486</v>
      </c>
      <c r="B807" s="80" t="s">
        <v>2681</v>
      </c>
      <c r="C807" s="80" t="s">
        <v>2653</v>
      </c>
      <c r="D807" s="80" t="s">
        <v>2644</v>
      </c>
      <c r="E807" s="80" t="s">
        <v>2641</v>
      </c>
      <c r="F807" s="80" t="s">
        <v>2370</v>
      </c>
      <c r="G807" s="80" t="s">
        <v>1336</v>
      </c>
      <c r="H807" s="79">
        <v>4</v>
      </c>
      <c r="I807" s="79">
        <v>3684.5</v>
      </c>
      <c r="J807" s="79">
        <v>14738</v>
      </c>
    </row>
    <row r="808" spans="1:10" ht="15" thickBot="1">
      <c r="A808" s="98">
        <v>45237</v>
      </c>
      <c r="B808" s="80" t="s">
        <v>2680</v>
      </c>
      <c r="C808" s="80" t="s">
        <v>2656</v>
      </c>
      <c r="D808" s="80" t="s">
        <v>2648</v>
      </c>
      <c r="E808" s="80" t="s">
        <v>2641</v>
      </c>
      <c r="F808" s="80" t="s">
        <v>2661</v>
      </c>
      <c r="G808" s="80" t="s">
        <v>2698</v>
      </c>
      <c r="H808" s="79">
        <v>14</v>
      </c>
      <c r="I808" s="79">
        <v>4566.12</v>
      </c>
      <c r="J808" s="79">
        <v>63925.68</v>
      </c>
    </row>
    <row r="809" spans="1:10" ht="15" thickBot="1">
      <c r="A809" s="98" t="s">
        <v>2547</v>
      </c>
      <c r="B809" s="80" t="s">
        <v>2683</v>
      </c>
      <c r="C809" s="80" t="s">
        <v>2650</v>
      </c>
      <c r="D809" s="80" t="s">
        <v>2646</v>
      </c>
      <c r="E809" s="80" t="s">
        <v>2642</v>
      </c>
      <c r="F809" s="80" t="s">
        <v>2373</v>
      </c>
      <c r="G809" s="80" t="s">
        <v>2705</v>
      </c>
      <c r="H809" s="79">
        <v>17</v>
      </c>
      <c r="I809" s="79">
        <v>2246.8200000000002</v>
      </c>
      <c r="J809" s="79">
        <v>38195.94</v>
      </c>
    </row>
    <row r="810" spans="1:10" ht="15" thickBot="1">
      <c r="A810" s="98">
        <v>45266</v>
      </c>
      <c r="B810" s="80" t="s">
        <v>2680</v>
      </c>
      <c r="C810" s="80" t="s">
        <v>2652</v>
      </c>
      <c r="D810" s="80" t="s">
        <v>2647</v>
      </c>
      <c r="E810" s="80" t="s">
        <v>2643</v>
      </c>
      <c r="F810" s="80" t="s">
        <v>2374</v>
      </c>
      <c r="G810" s="80" t="s">
        <v>2689</v>
      </c>
      <c r="H810" s="79">
        <v>3</v>
      </c>
      <c r="I810" s="79">
        <v>215.21</v>
      </c>
      <c r="J810" s="79">
        <v>645.63</v>
      </c>
    </row>
    <row r="811" spans="1:10" ht="15" thickBot="1">
      <c r="A811" s="98" t="s">
        <v>2436</v>
      </c>
      <c r="B811" s="80" t="s">
        <v>2687</v>
      </c>
      <c r="C811" s="80" t="s">
        <v>2658</v>
      </c>
      <c r="D811" s="80" t="s">
        <v>2645</v>
      </c>
      <c r="E811" s="80" t="s">
        <v>2642</v>
      </c>
      <c r="F811" s="80" t="s">
        <v>2370</v>
      </c>
      <c r="G811" s="80" t="s">
        <v>1335</v>
      </c>
      <c r="H811" s="79">
        <v>7</v>
      </c>
      <c r="I811" s="79">
        <v>1294.31</v>
      </c>
      <c r="J811" s="79">
        <v>9060.17</v>
      </c>
    </row>
    <row r="812" spans="1:10" ht="15" thickBot="1">
      <c r="A812" s="98" t="s">
        <v>2539</v>
      </c>
      <c r="B812" s="80" t="s">
        <v>2682</v>
      </c>
      <c r="C812" s="80" t="s">
        <v>2657</v>
      </c>
      <c r="D812" s="80" t="s">
        <v>2648</v>
      </c>
      <c r="E812" s="80" t="s">
        <v>2641</v>
      </c>
      <c r="F812" s="80" t="s">
        <v>2661</v>
      </c>
      <c r="G812" s="80" t="s">
        <v>2698</v>
      </c>
      <c r="H812" s="79">
        <v>9</v>
      </c>
      <c r="I812" s="79">
        <v>1558.74</v>
      </c>
      <c r="J812" s="79">
        <v>14028.66</v>
      </c>
    </row>
    <row r="813" spans="1:10" ht="15" thickBot="1">
      <c r="A813" s="98" t="s">
        <v>2490</v>
      </c>
      <c r="B813" s="80" t="s">
        <v>2685</v>
      </c>
      <c r="C813" s="80" t="s">
        <v>2654</v>
      </c>
      <c r="D813" s="80" t="s">
        <v>2646</v>
      </c>
      <c r="E813" s="80" t="s">
        <v>2642</v>
      </c>
      <c r="F813" s="80" t="s">
        <v>2374</v>
      </c>
      <c r="G813" s="80" t="s">
        <v>2704</v>
      </c>
      <c r="H813" s="79">
        <v>11</v>
      </c>
      <c r="I813" s="79">
        <v>4382.91</v>
      </c>
      <c r="J813" s="79">
        <v>48212.01</v>
      </c>
    </row>
    <row r="814" spans="1:10" ht="15" thickBot="1">
      <c r="A814" s="98" t="s">
        <v>2611</v>
      </c>
      <c r="B814" s="80" t="s">
        <v>2682</v>
      </c>
      <c r="C814" s="80" t="s">
        <v>2652</v>
      </c>
      <c r="D814" s="80" t="s">
        <v>2647</v>
      </c>
      <c r="E814" s="80" t="s">
        <v>2643</v>
      </c>
      <c r="F814" s="80" t="s">
        <v>2370</v>
      </c>
      <c r="G814" s="80" t="s">
        <v>2701</v>
      </c>
      <c r="H814" s="79">
        <v>6</v>
      </c>
      <c r="I814" s="79">
        <v>4197.59</v>
      </c>
      <c r="J814" s="79">
        <v>25185.54</v>
      </c>
    </row>
    <row r="815" spans="1:10" ht="15" thickBot="1">
      <c r="A815" s="98">
        <v>45018</v>
      </c>
      <c r="B815" s="80" t="s">
        <v>2678</v>
      </c>
      <c r="C815" s="80" t="s">
        <v>2650</v>
      </c>
      <c r="D815" s="80" t="s">
        <v>2646</v>
      </c>
      <c r="E815" s="80" t="s">
        <v>2642</v>
      </c>
      <c r="F815" s="80" t="s">
        <v>2374</v>
      </c>
      <c r="G815" s="80" t="s">
        <v>2704</v>
      </c>
      <c r="H815" s="79">
        <v>2</v>
      </c>
      <c r="I815" s="79">
        <v>4137.49</v>
      </c>
      <c r="J815" s="79">
        <v>8274.98</v>
      </c>
    </row>
    <row r="816" spans="1:10" ht="15" thickBot="1">
      <c r="A816" s="98">
        <v>45271</v>
      </c>
      <c r="B816" s="80" t="s">
        <v>2684</v>
      </c>
      <c r="C816" s="80" t="s">
        <v>2659</v>
      </c>
      <c r="D816" s="80" t="s">
        <v>2647</v>
      </c>
      <c r="E816" s="80" t="s">
        <v>2643</v>
      </c>
      <c r="F816" s="80" t="s">
        <v>2370</v>
      </c>
      <c r="G816" s="80" t="s">
        <v>2701</v>
      </c>
      <c r="H816" s="79">
        <v>16</v>
      </c>
      <c r="I816" s="79">
        <v>1598.06</v>
      </c>
      <c r="J816" s="79">
        <v>25568.959999999999</v>
      </c>
    </row>
    <row r="817" spans="1:10" ht="15" thickBot="1">
      <c r="A817" s="98" t="s">
        <v>2437</v>
      </c>
      <c r="B817" s="80" t="s">
        <v>2679</v>
      </c>
      <c r="C817" s="80" t="s">
        <v>2652</v>
      </c>
      <c r="D817" s="80" t="s">
        <v>2647</v>
      </c>
      <c r="E817" s="80" t="s">
        <v>2643</v>
      </c>
      <c r="F817" s="80" t="s">
        <v>2373</v>
      </c>
      <c r="G817" s="80" t="s">
        <v>2705</v>
      </c>
      <c r="H817" s="79">
        <v>3</v>
      </c>
      <c r="I817" s="79">
        <v>3044.02</v>
      </c>
      <c r="J817" s="79">
        <v>9132.06</v>
      </c>
    </row>
    <row r="818" spans="1:10" ht="15" thickBot="1">
      <c r="A818" s="98">
        <v>45170</v>
      </c>
      <c r="B818" s="80" t="s">
        <v>2678</v>
      </c>
      <c r="C818" s="80" t="s">
        <v>2393</v>
      </c>
      <c r="D818" s="80" t="s">
        <v>2644</v>
      </c>
      <c r="E818" s="80" t="s">
        <v>2641</v>
      </c>
      <c r="F818" s="80" t="s">
        <v>2372</v>
      </c>
      <c r="G818" s="80" t="s">
        <v>2699</v>
      </c>
      <c r="H818" s="79">
        <v>6</v>
      </c>
      <c r="I818" s="79">
        <v>4270.03</v>
      </c>
      <c r="J818" s="79">
        <v>25620.18</v>
      </c>
    </row>
    <row r="819" spans="1:10" ht="15" thickBot="1">
      <c r="A819" s="98">
        <v>45208</v>
      </c>
      <c r="B819" s="80" t="s">
        <v>2679</v>
      </c>
      <c r="C819" s="80" t="s">
        <v>2393</v>
      </c>
      <c r="D819" s="80" t="s">
        <v>2644</v>
      </c>
      <c r="E819" s="80" t="s">
        <v>2641</v>
      </c>
      <c r="F819" s="80" t="s">
        <v>2373</v>
      </c>
      <c r="G819" s="80" t="s">
        <v>2705</v>
      </c>
      <c r="H819" s="79">
        <v>13</v>
      </c>
      <c r="I819" s="79">
        <v>298.08999999999997</v>
      </c>
      <c r="J819" s="79">
        <v>3875.17</v>
      </c>
    </row>
    <row r="820" spans="1:10" ht="15" thickBot="1">
      <c r="A820" s="98" t="s">
        <v>2570</v>
      </c>
      <c r="B820" s="80" t="s">
        <v>2684</v>
      </c>
      <c r="C820" s="80" t="s">
        <v>2657</v>
      </c>
      <c r="D820" s="80" t="s">
        <v>2648</v>
      </c>
      <c r="E820" s="80" t="s">
        <v>2641</v>
      </c>
      <c r="F820" s="80" t="s">
        <v>2370</v>
      </c>
      <c r="G820" s="80" t="s">
        <v>1336</v>
      </c>
      <c r="H820" s="79">
        <v>3</v>
      </c>
      <c r="I820" s="79">
        <v>1453.68</v>
      </c>
      <c r="J820" s="79">
        <v>4361.04</v>
      </c>
    </row>
    <row r="821" spans="1:10" ht="15" thickBot="1">
      <c r="A821" s="98" t="s">
        <v>2598</v>
      </c>
      <c r="B821" s="80" t="s">
        <v>2686</v>
      </c>
      <c r="C821" s="80" t="s">
        <v>2659</v>
      </c>
      <c r="D821" s="80" t="s">
        <v>2647</v>
      </c>
      <c r="E821" s="80" t="s">
        <v>2643</v>
      </c>
      <c r="F821" s="80" t="s">
        <v>2374</v>
      </c>
      <c r="G821" s="80" t="s">
        <v>2700</v>
      </c>
      <c r="H821" s="79">
        <v>4</v>
      </c>
      <c r="I821" s="79">
        <v>1009.78</v>
      </c>
      <c r="J821" s="79">
        <v>4039.12</v>
      </c>
    </row>
    <row r="822" spans="1:10" ht="15" thickBot="1">
      <c r="A822" s="98">
        <v>45026</v>
      </c>
      <c r="B822" s="80" t="s">
        <v>2678</v>
      </c>
      <c r="C822" s="80" t="s">
        <v>2651</v>
      </c>
      <c r="D822" s="80" t="s">
        <v>2646</v>
      </c>
      <c r="E822" s="80" t="s">
        <v>2642</v>
      </c>
      <c r="F822" s="80" t="s">
        <v>2370</v>
      </c>
      <c r="G822" s="80" t="s">
        <v>1335</v>
      </c>
      <c r="H822" s="79">
        <v>12</v>
      </c>
      <c r="I822" s="79">
        <v>231.07</v>
      </c>
      <c r="J822" s="79">
        <v>2772.84</v>
      </c>
    </row>
    <row r="823" spans="1:10" ht="15" thickBot="1">
      <c r="A823" s="98">
        <v>45079</v>
      </c>
      <c r="B823" s="80" t="s">
        <v>2678</v>
      </c>
      <c r="C823" s="80" t="s">
        <v>2653</v>
      </c>
      <c r="D823" s="80" t="s">
        <v>2644</v>
      </c>
      <c r="E823" s="80" t="s">
        <v>2641</v>
      </c>
      <c r="F823" s="80" t="s">
        <v>2370</v>
      </c>
      <c r="G823" s="80" t="s">
        <v>1336</v>
      </c>
      <c r="H823" s="79">
        <v>12</v>
      </c>
      <c r="I823" s="79">
        <v>1410.03</v>
      </c>
      <c r="J823" s="79">
        <v>16920.36</v>
      </c>
    </row>
    <row r="824" spans="1:10" ht="15" thickBot="1">
      <c r="A824" s="98">
        <v>45171</v>
      </c>
      <c r="B824" s="80" t="s">
        <v>2684</v>
      </c>
      <c r="C824" s="80" t="s">
        <v>2393</v>
      </c>
      <c r="D824" s="80" t="s">
        <v>2644</v>
      </c>
      <c r="E824" s="80" t="s">
        <v>2641</v>
      </c>
      <c r="F824" s="80" t="s">
        <v>2374</v>
      </c>
      <c r="G824" s="80" t="s">
        <v>2692</v>
      </c>
      <c r="H824" s="79">
        <v>6</v>
      </c>
      <c r="I824" s="79">
        <v>1610.91</v>
      </c>
      <c r="J824" s="79">
        <v>9665.4599999999991</v>
      </c>
    </row>
    <row r="825" spans="1:10" ht="15" thickBot="1">
      <c r="A825" s="98">
        <v>45109</v>
      </c>
      <c r="B825" s="80" t="s">
        <v>2685</v>
      </c>
      <c r="C825" s="80" t="s">
        <v>2655</v>
      </c>
      <c r="D825" s="80" t="s">
        <v>2645</v>
      </c>
      <c r="E825" s="80" t="s">
        <v>2642</v>
      </c>
      <c r="F825" s="80" t="s">
        <v>2374</v>
      </c>
      <c r="G825" s="80" t="s">
        <v>2692</v>
      </c>
      <c r="H825" s="79">
        <v>7</v>
      </c>
      <c r="I825" s="79">
        <v>3396.62</v>
      </c>
      <c r="J825" s="79">
        <v>23776.34</v>
      </c>
    </row>
    <row r="826" spans="1:10" ht="15" thickBot="1">
      <c r="A826" s="98">
        <v>45145</v>
      </c>
      <c r="B826" s="80" t="s">
        <v>2687</v>
      </c>
      <c r="C826" s="80" t="s">
        <v>2655</v>
      </c>
      <c r="D826" s="80" t="s">
        <v>2645</v>
      </c>
      <c r="E826" s="80" t="s">
        <v>2642</v>
      </c>
      <c r="F826" s="80" t="s">
        <v>2374</v>
      </c>
      <c r="G826" s="80" t="s">
        <v>2700</v>
      </c>
      <c r="H826" s="79">
        <v>14</v>
      </c>
      <c r="I826" s="79">
        <v>4164.33</v>
      </c>
      <c r="J826" s="79">
        <v>58300.62</v>
      </c>
    </row>
    <row r="827" spans="1:10" ht="15" thickBot="1">
      <c r="A827" s="98" t="s">
        <v>2484</v>
      </c>
      <c r="B827" s="80" t="s">
        <v>2687</v>
      </c>
      <c r="C827" s="80" t="s">
        <v>2653</v>
      </c>
      <c r="D827" s="80" t="s">
        <v>2644</v>
      </c>
      <c r="E827" s="80" t="s">
        <v>2641</v>
      </c>
      <c r="F827" s="80" t="s">
        <v>2373</v>
      </c>
      <c r="G827" s="80" t="s">
        <v>2697</v>
      </c>
      <c r="H827" s="79">
        <v>12</v>
      </c>
      <c r="I827" s="79">
        <v>4414.2700000000004</v>
      </c>
      <c r="J827" s="79">
        <v>52971.24</v>
      </c>
    </row>
    <row r="828" spans="1:10" ht="15" thickBot="1">
      <c r="A828" s="98" t="s">
        <v>2447</v>
      </c>
      <c r="B828" s="80" t="s">
        <v>2685</v>
      </c>
      <c r="C828" s="80" t="s">
        <v>2650</v>
      </c>
      <c r="D828" s="80" t="s">
        <v>2646</v>
      </c>
      <c r="E828" s="80" t="s">
        <v>2642</v>
      </c>
      <c r="F828" s="80" t="s">
        <v>2372</v>
      </c>
      <c r="G828" s="80" t="s">
        <v>2699</v>
      </c>
      <c r="H828" s="79">
        <v>13</v>
      </c>
      <c r="I828" s="79">
        <v>3101.42</v>
      </c>
      <c r="J828" s="79">
        <v>40318.46</v>
      </c>
    </row>
    <row r="829" spans="1:10" ht="15" thickBot="1">
      <c r="A829" s="98" t="s">
        <v>2539</v>
      </c>
      <c r="B829" s="80" t="s">
        <v>2686</v>
      </c>
      <c r="C829" s="80" t="s">
        <v>2651</v>
      </c>
      <c r="D829" s="80" t="s">
        <v>2646</v>
      </c>
      <c r="E829" s="80" t="s">
        <v>2642</v>
      </c>
      <c r="F829" s="80" t="s">
        <v>2374</v>
      </c>
      <c r="G829" s="80" t="s">
        <v>2704</v>
      </c>
      <c r="H829" s="79">
        <v>18</v>
      </c>
      <c r="I829" s="79">
        <v>3002.55</v>
      </c>
      <c r="J829" s="79">
        <v>54045.9</v>
      </c>
    </row>
    <row r="830" spans="1:10" ht="15" thickBot="1">
      <c r="A830" s="98">
        <v>45048</v>
      </c>
      <c r="B830" s="80" t="s">
        <v>2678</v>
      </c>
      <c r="C830" s="80" t="s">
        <v>2660</v>
      </c>
      <c r="D830" s="80" t="s">
        <v>2647</v>
      </c>
      <c r="E830" s="80" t="s">
        <v>2643</v>
      </c>
      <c r="F830" s="80" t="s">
        <v>2373</v>
      </c>
      <c r="G830" s="80" t="s">
        <v>2688</v>
      </c>
      <c r="H830" s="79">
        <v>13</v>
      </c>
      <c r="I830" s="79">
        <v>2098.65</v>
      </c>
      <c r="J830" s="79">
        <v>27282.45</v>
      </c>
    </row>
    <row r="831" spans="1:10" ht="15" thickBot="1">
      <c r="A831" s="98">
        <v>45087</v>
      </c>
      <c r="B831" s="80" t="s">
        <v>2685</v>
      </c>
      <c r="C831" s="80" t="s">
        <v>2396</v>
      </c>
      <c r="D831" s="80" t="s">
        <v>2648</v>
      </c>
      <c r="E831" s="80" t="s">
        <v>2641</v>
      </c>
      <c r="F831" s="80" t="s">
        <v>2370</v>
      </c>
      <c r="G831" s="80" t="s">
        <v>2701</v>
      </c>
      <c r="H831" s="79">
        <v>5</v>
      </c>
      <c r="I831" s="79">
        <v>4106.79</v>
      </c>
      <c r="J831" s="79">
        <v>20533.95</v>
      </c>
    </row>
    <row r="832" spans="1:10" ht="15" thickBot="1">
      <c r="A832" s="98" t="s">
        <v>2518</v>
      </c>
      <c r="B832" s="80" t="s">
        <v>2681</v>
      </c>
      <c r="C832" s="80" t="s">
        <v>2659</v>
      </c>
      <c r="D832" s="80" t="s">
        <v>2647</v>
      </c>
      <c r="E832" s="80" t="s">
        <v>2643</v>
      </c>
      <c r="F832" s="80" t="s">
        <v>2372</v>
      </c>
      <c r="G832" s="80" t="s">
        <v>2690</v>
      </c>
      <c r="H832" s="79">
        <v>1</v>
      </c>
      <c r="I832" s="79">
        <v>3041.26</v>
      </c>
      <c r="J832" s="79">
        <v>3041.26</v>
      </c>
    </row>
    <row r="833" spans="1:10" ht="15" thickBot="1">
      <c r="A833" s="98" t="s">
        <v>2586</v>
      </c>
      <c r="B833" s="80" t="s">
        <v>2681</v>
      </c>
      <c r="C833" s="80" t="s">
        <v>2392</v>
      </c>
      <c r="D833" s="80" t="s">
        <v>2644</v>
      </c>
      <c r="E833" s="80" t="s">
        <v>2641</v>
      </c>
      <c r="F833" s="80" t="s">
        <v>2374</v>
      </c>
      <c r="G833" s="80" t="s">
        <v>2692</v>
      </c>
      <c r="H833" s="79">
        <v>7</v>
      </c>
      <c r="I833" s="79">
        <v>4514.21</v>
      </c>
      <c r="J833" s="79">
        <v>31599.47</v>
      </c>
    </row>
    <row r="834" spans="1:10" ht="15" thickBot="1">
      <c r="A834" s="98" t="s">
        <v>2605</v>
      </c>
      <c r="B834" s="80" t="s">
        <v>2687</v>
      </c>
      <c r="C834" s="80" t="s">
        <v>2650</v>
      </c>
      <c r="D834" s="80" t="s">
        <v>2646</v>
      </c>
      <c r="E834" s="80" t="s">
        <v>2642</v>
      </c>
      <c r="F834" s="80" t="s">
        <v>2372</v>
      </c>
      <c r="G834" s="80" t="s">
        <v>2690</v>
      </c>
      <c r="H834" s="79">
        <v>18</v>
      </c>
      <c r="I834" s="79">
        <v>2971.68</v>
      </c>
      <c r="J834" s="79">
        <v>53490.239999999998</v>
      </c>
    </row>
    <row r="835" spans="1:10" ht="15" thickBot="1">
      <c r="A835" s="98" t="s">
        <v>2538</v>
      </c>
      <c r="B835" s="80" t="s">
        <v>2684</v>
      </c>
      <c r="C835" s="80" t="s">
        <v>2649</v>
      </c>
      <c r="D835" s="80" t="s">
        <v>2645</v>
      </c>
      <c r="E835" s="80" t="s">
        <v>2642</v>
      </c>
      <c r="F835" s="80" t="s">
        <v>2661</v>
      </c>
      <c r="G835" s="80" t="s">
        <v>2691</v>
      </c>
      <c r="H835" s="79">
        <v>6</v>
      </c>
      <c r="I835" s="79">
        <v>2263.36</v>
      </c>
      <c r="J835" s="79">
        <v>13580.16</v>
      </c>
    </row>
    <row r="836" spans="1:10" ht="15" thickBot="1">
      <c r="A836" s="98" t="s">
        <v>2541</v>
      </c>
      <c r="B836" s="80" t="s">
        <v>2678</v>
      </c>
      <c r="C836" s="80" t="s">
        <v>2654</v>
      </c>
      <c r="D836" s="80" t="s">
        <v>2646</v>
      </c>
      <c r="E836" s="80" t="s">
        <v>2642</v>
      </c>
      <c r="F836" s="80" t="s">
        <v>2373</v>
      </c>
      <c r="G836" s="80" t="s">
        <v>2703</v>
      </c>
      <c r="H836" s="79">
        <v>8</v>
      </c>
      <c r="I836" s="79">
        <v>3859.28</v>
      </c>
      <c r="J836" s="79">
        <v>30874.240000000002</v>
      </c>
    </row>
    <row r="837" spans="1:10" ht="15" thickBot="1">
      <c r="A837" s="98" t="s">
        <v>2542</v>
      </c>
      <c r="B837" s="80" t="s">
        <v>2685</v>
      </c>
      <c r="C837" s="80" t="s">
        <v>2653</v>
      </c>
      <c r="D837" s="80" t="s">
        <v>2644</v>
      </c>
      <c r="E837" s="80" t="s">
        <v>2641</v>
      </c>
      <c r="F837" s="80" t="s">
        <v>2373</v>
      </c>
      <c r="G837" s="80" t="s">
        <v>2705</v>
      </c>
      <c r="H837" s="79">
        <v>14</v>
      </c>
      <c r="I837" s="79">
        <v>3044.71</v>
      </c>
      <c r="J837" s="79">
        <v>42625.94</v>
      </c>
    </row>
    <row r="838" spans="1:10" ht="15" thickBot="1">
      <c r="A838" s="98" t="s">
        <v>2566</v>
      </c>
      <c r="B838" s="80" t="s">
        <v>2681</v>
      </c>
      <c r="C838" s="80" t="s">
        <v>2655</v>
      </c>
      <c r="D838" s="80" t="s">
        <v>2645</v>
      </c>
      <c r="E838" s="80" t="s">
        <v>2642</v>
      </c>
      <c r="F838" s="80" t="s">
        <v>2374</v>
      </c>
      <c r="G838" s="80" t="s">
        <v>2700</v>
      </c>
      <c r="H838" s="79">
        <v>11</v>
      </c>
      <c r="I838" s="79">
        <v>4653.38</v>
      </c>
      <c r="J838" s="79">
        <v>51187.18</v>
      </c>
    </row>
    <row r="839" spans="1:10" ht="15" thickBot="1">
      <c r="A839" s="98">
        <v>45109</v>
      </c>
      <c r="B839" s="80" t="s">
        <v>2684</v>
      </c>
      <c r="C839" s="80" t="s">
        <v>2649</v>
      </c>
      <c r="D839" s="80" t="s">
        <v>2645</v>
      </c>
      <c r="E839" s="80" t="s">
        <v>2642</v>
      </c>
      <c r="F839" s="80" t="s">
        <v>2373</v>
      </c>
      <c r="G839" s="80" t="s">
        <v>2705</v>
      </c>
      <c r="H839" s="79">
        <v>9</v>
      </c>
      <c r="I839" s="79">
        <v>3425.59</v>
      </c>
      <c r="J839" s="79">
        <v>30830.31</v>
      </c>
    </row>
    <row r="840" spans="1:10" ht="15" thickBot="1">
      <c r="A840" s="98" t="s">
        <v>2460</v>
      </c>
      <c r="B840" s="80" t="s">
        <v>2678</v>
      </c>
      <c r="C840" s="80" t="s">
        <v>2392</v>
      </c>
      <c r="D840" s="80" t="s">
        <v>2644</v>
      </c>
      <c r="E840" s="80" t="s">
        <v>2641</v>
      </c>
      <c r="F840" s="80" t="s">
        <v>2372</v>
      </c>
      <c r="G840" s="80" t="s">
        <v>2690</v>
      </c>
      <c r="H840" s="79">
        <v>15</v>
      </c>
      <c r="I840" s="79">
        <v>4671.6899999999996</v>
      </c>
      <c r="J840" s="79">
        <v>70075.350000000006</v>
      </c>
    </row>
    <row r="841" spans="1:10" ht="15" thickBot="1">
      <c r="A841" s="98" t="s">
        <v>2513</v>
      </c>
      <c r="B841" s="80" t="s">
        <v>2679</v>
      </c>
      <c r="C841" s="80" t="s">
        <v>2393</v>
      </c>
      <c r="D841" s="80" t="s">
        <v>2644</v>
      </c>
      <c r="E841" s="80" t="s">
        <v>2641</v>
      </c>
      <c r="F841" s="80" t="s">
        <v>2374</v>
      </c>
      <c r="G841" s="80" t="s">
        <v>2704</v>
      </c>
      <c r="H841" s="79">
        <v>5</v>
      </c>
      <c r="I841" s="79">
        <v>4600.38</v>
      </c>
      <c r="J841" s="79">
        <v>23001.9</v>
      </c>
    </row>
    <row r="842" spans="1:10" ht="15" thickBot="1">
      <c r="A842" s="98">
        <v>45236</v>
      </c>
      <c r="B842" s="80" t="s">
        <v>2686</v>
      </c>
      <c r="C842" s="80" t="s">
        <v>2650</v>
      </c>
      <c r="D842" s="80" t="s">
        <v>2646</v>
      </c>
      <c r="E842" s="80" t="s">
        <v>2642</v>
      </c>
      <c r="F842" s="80" t="s">
        <v>2661</v>
      </c>
      <c r="G842" s="80" t="s">
        <v>2698</v>
      </c>
      <c r="H842" s="79">
        <v>19</v>
      </c>
      <c r="I842" s="79">
        <v>2183.09</v>
      </c>
      <c r="J842" s="79">
        <v>41478.71</v>
      </c>
    </row>
    <row r="843" spans="1:10" ht="15" thickBot="1">
      <c r="A843" s="98" t="s">
        <v>2619</v>
      </c>
      <c r="B843" s="80" t="s">
        <v>2684</v>
      </c>
      <c r="C843" s="80" t="s">
        <v>2651</v>
      </c>
      <c r="D843" s="80" t="s">
        <v>2646</v>
      </c>
      <c r="E843" s="80" t="s">
        <v>2642</v>
      </c>
      <c r="F843" s="80" t="s">
        <v>2370</v>
      </c>
      <c r="G843" s="80" t="s">
        <v>1336</v>
      </c>
      <c r="H843" s="79">
        <v>8</v>
      </c>
      <c r="I843" s="79">
        <v>1850.8</v>
      </c>
      <c r="J843" s="79">
        <v>14806.4</v>
      </c>
    </row>
    <row r="844" spans="1:10" ht="15" thickBot="1">
      <c r="A844" s="98">
        <v>45272</v>
      </c>
      <c r="B844" s="80" t="s">
        <v>2679</v>
      </c>
      <c r="C844" s="80" t="s">
        <v>2659</v>
      </c>
      <c r="D844" s="80" t="s">
        <v>2647</v>
      </c>
      <c r="E844" s="80" t="s">
        <v>2643</v>
      </c>
      <c r="F844" s="80" t="s">
        <v>2370</v>
      </c>
      <c r="G844" s="80" t="s">
        <v>2701</v>
      </c>
      <c r="H844" s="79">
        <v>12</v>
      </c>
      <c r="I844" s="79">
        <v>3695.68</v>
      </c>
      <c r="J844" s="79">
        <v>44348.160000000003</v>
      </c>
    </row>
    <row r="845" spans="1:10" ht="15" thickBot="1">
      <c r="A845" s="98">
        <v>45267</v>
      </c>
      <c r="B845" s="80" t="s">
        <v>2678</v>
      </c>
      <c r="C845" s="80" t="s">
        <v>2656</v>
      </c>
      <c r="D845" s="80" t="s">
        <v>2648</v>
      </c>
      <c r="E845" s="80" t="s">
        <v>2641</v>
      </c>
      <c r="F845" s="80" t="s">
        <v>2373</v>
      </c>
      <c r="G845" s="80" t="s">
        <v>2705</v>
      </c>
      <c r="H845" s="79">
        <v>14</v>
      </c>
      <c r="I845" s="79">
        <v>3099.57</v>
      </c>
      <c r="J845" s="79">
        <v>43393.98</v>
      </c>
    </row>
    <row r="846" spans="1:10" ht="15" thickBot="1">
      <c r="A846" s="98" t="s">
        <v>2624</v>
      </c>
      <c r="B846" s="80" t="s">
        <v>2683</v>
      </c>
      <c r="C846" s="80" t="s">
        <v>2653</v>
      </c>
      <c r="D846" s="80" t="s">
        <v>2644</v>
      </c>
      <c r="E846" s="80" t="s">
        <v>2641</v>
      </c>
      <c r="F846" s="80" t="s">
        <v>2372</v>
      </c>
      <c r="G846" s="80" t="s">
        <v>2693</v>
      </c>
      <c r="H846" s="79">
        <v>1</v>
      </c>
      <c r="I846" s="79">
        <v>3758.07</v>
      </c>
      <c r="J846" s="79">
        <v>3758.07</v>
      </c>
    </row>
    <row r="847" spans="1:10" ht="15" thickBot="1">
      <c r="A847" s="98" t="s">
        <v>2606</v>
      </c>
      <c r="B847" s="80" t="s">
        <v>2682</v>
      </c>
      <c r="C847" s="80" t="s">
        <v>2660</v>
      </c>
      <c r="D847" s="80" t="s">
        <v>2647</v>
      </c>
      <c r="E847" s="80" t="s">
        <v>2643</v>
      </c>
      <c r="F847" s="80" t="s">
        <v>2373</v>
      </c>
      <c r="G847" s="80" t="s">
        <v>2697</v>
      </c>
      <c r="H847" s="79">
        <v>5</v>
      </c>
      <c r="I847" s="79">
        <v>2536.65</v>
      </c>
      <c r="J847" s="79">
        <v>12683.25</v>
      </c>
    </row>
    <row r="848" spans="1:10" ht="15" thickBot="1">
      <c r="A848" s="98" t="s">
        <v>2528</v>
      </c>
      <c r="B848" s="80" t="s">
        <v>2683</v>
      </c>
      <c r="C848" s="80" t="s">
        <v>2392</v>
      </c>
      <c r="D848" s="80" t="s">
        <v>2644</v>
      </c>
      <c r="E848" s="80" t="s">
        <v>2641</v>
      </c>
      <c r="F848" s="80" t="s">
        <v>2661</v>
      </c>
      <c r="G848" s="80" t="s">
        <v>2696</v>
      </c>
      <c r="H848" s="79">
        <v>9</v>
      </c>
      <c r="I848" s="79">
        <v>564.08000000000004</v>
      </c>
      <c r="J848" s="79">
        <v>5076.72</v>
      </c>
    </row>
    <row r="849" spans="1:10" ht="15" thickBot="1">
      <c r="A849" s="98" t="s">
        <v>2455</v>
      </c>
      <c r="B849" s="80" t="s">
        <v>2678</v>
      </c>
      <c r="C849" s="80" t="s">
        <v>2658</v>
      </c>
      <c r="D849" s="80" t="s">
        <v>2645</v>
      </c>
      <c r="E849" s="80" t="s">
        <v>2642</v>
      </c>
      <c r="F849" s="80" t="s">
        <v>2661</v>
      </c>
      <c r="G849" s="80" t="s">
        <v>2695</v>
      </c>
      <c r="H849" s="79">
        <v>4</v>
      </c>
      <c r="I849" s="79">
        <v>3762.47</v>
      </c>
      <c r="J849" s="79">
        <v>15049.88</v>
      </c>
    </row>
    <row r="850" spans="1:10" ht="15" thickBot="1">
      <c r="A850" s="98" t="s">
        <v>2461</v>
      </c>
      <c r="B850" s="80" t="s">
        <v>2680</v>
      </c>
      <c r="C850" s="80" t="s">
        <v>2657</v>
      </c>
      <c r="D850" s="80" t="s">
        <v>2648</v>
      </c>
      <c r="E850" s="80" t="s">
        <v>2641</v>
      </c>
      <c r="F850" s="80" t="s">
        <v>2661</v>
      </c>
      <c r="G850" s="80" t="s">
        <v>2698</v>
      </c>
      <c r="H850" s="79">
        <v>5</v>
      </c>
      <c r="I850" s="79">
        <v>4180.57</v>
      </c>
      <c r="J850" s="79">
        <v>20902.849999999999</v>
      </c>
    </row>
    <row r="851" spans="1:10" ht="15" thickBot="1">
      <c r="A851" s="98" t="s">
        <v>2545</v>
      </c>
      <c r="B851" s="80" t="s">
        <v>2684</v>
      </c>
      <c r="C851" s="80" t="s">
        <v>2655</v>
      </c>
      <c r="D851" s="80" t="s">
        <v>2645</v>
      </c>
      <c r="E851" s="80" t="s">
        <v>2642</v>
      </c>
      <c r="F851" s="80" t="s">
        <v>2373</v>
      </c>
      <c r="G851" s="80" t="s">
        <v>2697</v>
      </c>
      <c r="H851" s="79">
        <v>5</v>
      </c>
      <c r="I851" s="79">
        <v>1947.01</v>
      </c>
      <c r="J851" s="79">
        <v>9735.0499999999993</v>
      </c>
    </row>
    <row r="852" spans="1:10" ht="15" thickBot="1">
      <c r="A852" s="98" t="s">
        <v>2598</v>
      </c>
      <c r="B852" s="80" t="s">
        <v>2678</v>
      </c>
      <c r="C852" s="80" t="s">
        <v>2653</v>
      </c>
      <c r="D852" s="80" t="s">
        <v>2644</v>
      </c>
      <c r="E852" s="80" t="s">
        <v>2641</v>
      </c>
      <c r="F852" s="80" t="s">
        <v>2372</v>
      </c>
      <c r="G852" s="80" t="s">
        <v>2694</v>
      </c>
      <c r="H852" s="79">
        <v>13</v>
      </c>
      <c r="I852" s="79">
        <v>4686.21</v>
      </c>
      <c r="J852" s="79">
        <v>60920.73</v>
      </c>
    </row>
    <row r="853" spans="1:10" ht="15" thickBot="1">
      <c r="A853" s="98" t="s">
        <v>2640</v>
      </c>
      <c r="B853" s="80" t="s">
        <v>2680</v>
      </c>
      <c r="C853" s="80" t="s">
        <v>2653</v>
      </c>
      <c r="D853" s="80" t="s">
        <v>2644</v>
      </c>
      <c r="E853" s="80" t="s">
        <v>2641</v>
      </c>
      <c r="F853" s="80" t="s">
        <v>2373</v>
      </c>
      <c r="G853" s="80" t="s">
        <v>2688</v>
      </c>
      <c r="H853" s="79">
        <v>7</v>
      </c>
      <c r="I853" s="79">
        <v>4418.17</v>
      </c>
      <c r="J853" s="79">
        <v>30927.19</v>
      </c>
    </row>
    <row r="854" spans="1:10" ht="15" thickBot="1">
      <c r="A854" s="98">
        <v>45179</v>
      </c>
      <c r="B854" s="80" t="s">
        <v>2684</v>
      </c>
      <c r="C854" s="80" t="s">
        <v>2393</v>
      </c>
      <c r="D854" s="80" t="s">
        <v>2644</v>
      </c>
      <c r="E854" s="80" t="s">
        <v>2641</v>
      </c>
      <c r="F854" s="80" t="s">
        <v>2372</v>
      </c>
      <c r="G854" s="80" t="s">
        <v>2699</v>
      </c>
      <c r="H854" s="79">
        <v>19</v>
      </c>
      <c r="I854" s="79">
        <v>4186.6400000000003</v>
      </c>
      <c r="J854" s="79">
        <v>79546.16</v>
      </c>
    </row>
    <row r="855" spans="1:10" ht="15" thickBot="1">
      <c r="A855" s="98">
        <v>45084</v>
      </c>
      <c r="B855" s="80" t="s">
        <v>2679</v>
      </c>
      <c r="C855" s="80" t="s">
        <v>2396</v>
      </c>
      <c r="D855" s="80" t="s">
        <v>2648</v>
      </c>
      <c r="E855" s="80" t="s">
        <v>2641</v>
      </c>
      <c r="F855" s="80" t="s">
        <v>2373</v>
      </c>
      <c r="G855" s="80" t="s">
        <v>2688</v>
      </c>
      <c r="H855" s="79">
        <v>6</v>
      </c>
      <c r="I855" s="79">
        <v>1003.96</v>
      </c>
      <c r="J855" s="79">
        <v>6023.76</v>
      </c>
    </row>
    <row r="856" spans="1:10" ht="15" thickBot="1">
      <c r="A856" s="98" t="s">
        <v>2583</v>
      </c>
      <c r="B856" s="80" t="s">
        <v>2685</v>
      </c>
      <c r="C856" s="80" t="s">
        <v>2651</v>
      </c>
      <c r="D856" s="80" t="s">
        <v>2646</v>
      </c>
      <c r="E856" s="80" t="s">
        <v>2642</v>
      </c>
      <c r="F856" s="80" t="s">
        <v>2370</v>
      </c>
      <c r="G856" s="80" t="s">
        <v>1336</v>
      </c>
      <c r="H856" s="79">
        <v>13</v>
      </c>
      <c r="I856" s="79">
        <v>1028.74</v>
      </c>
      <c r="J856" s="79">
        <v>13373.62</v>
      </c>
    </row>
    <row r="857" spans="1:10" ht="15" thickBot="1">
      <c r="A857" s="98" t="s">
        <v>2596</v>
      </c>
      <c r="B857" s="80" t="s">
        <v>2682</v>
      </c>
      <c r="C857" s="80" t="s">
        <v>2654</v>
      </c>
      <c r="D857" s="80" t="s">
        <v>2646</v>
      </c>
      <c r="E857" s="80" t="s">
        <v>2642</v>
      </c>
      <c r="F857" s="80" t="s">
        <v>2372</v>
      </c>
      <c r="G857" s="80" t="s">
        <v>2699</v>
      </c>
      <c r="H857" s="79">
        <v>20</v>
      </c>
      <c r="I857" s="79">
        <v>4751.1400000000003</v>
      </c>
      <c r="J857" s="79">
        <v>95022.8</v>
      </c>
    </row>
    <row r="858" spans="1:10" ht="15" thickBot="1">
      <c r="A858" s="98" t="s">
        <v>2627</v>
      </c>
      <c r="B858" s="80" t="s">
        <v>2678</v>
      </c>
      <c r="C858" s="80" t="s">
        <v>2649</v>
      </c>
      <c r="D858" s="80" t="s">
        <v>2645</v>
      </c>
      <c r="E858" s="80" t="s">
        <v>2642</v>
      </c>
      <c r="F858" s="80" t="s">
        <v>2372</v>
      </c>
      <c r="G858" s="80" t="s">
        <v>2694</v>
      </c>
      <c r="H858" s="79">
        <v>8</v>
      </c>
      <c r="I858" s="79">
        <v>565.82000000000005</v>
      </c>
      <c r="J858" s="79">
        <v>4526.5600000000004</v>
      </c>
    </row>
    <row r="859" spans="1:10" ht="15" thickBot="1">
      <c r="A859" s="98" t="s">
        <v>2567</v>
      </c>
      <c r="B859" s="80" t="s">
        <v>2680</v>
      </c>
      <c r="C859" s="80" t="s">
        <v>2393</v>
      </c>
      <c r="D859" s="80" t="s">
        <v>2644</v>
      </c>
      <c r="E859" s="80" t="s">
        <v>2641</v>
      </c>
      <c r="F859" s="80" t="s">
        <v>2370</v>
      </c>
      <c r="G859" s="80" t="s">
        <v>2701</v>
      </c>
      <c r="H859" s="79">
        <v>1</v>
      </c>
      <c r="I859" s="79">
        <v>1903.53</v>
      </c>
      <c r="J859" s="79">
        <v>1903.53</v>
      </c>
    </row>
    <row r="860" spans="1:10" ht="15" thickBot="1">
      <c r="A860" s="98">
        <v>45149</v>
      </c>
      <c r="B860" s="80" t="s">
        <v>2682</v>
      </c>
      <c r="C860" s="80" t="s">
        <v>2657</v>
      </c>
      <c r="D860" s="80" t="s">
        <v>2648</v>
      </c>
      <c r="E860" s="80" t="s">
        <v>2641</v>
      </c>
      <c r="F860" s="80" t="s">
        <v>2374</v>
      </c>
      <c r="G860" s="80" t="s">
        <v>2689</v>
      </c>
      <c r="H860" s="79">
        <v>20</v>
      </c>
      <c r="I860" s="79">
        <v>3286.69</v>
      </c>
      <c r="J860" s="79">
        <v>65733.8</v>
      </c>
    </row>
    <row r="861" spans="1:10" ht="15" thickBot="1">
      <c r="A861" s="98" t="s">
        <v>2541</v>
      </c>
      <c r="B861" s="80" t="s">
        <v>2678</v>
      </c>
      <c r="C861" s="80" t="s">
        <v>2652</v>
      </c>
      <c r="D861" s="80" t="s">
        <v>2647</v>
      </c>
      <c r="E861" s="80" t="s">
        <v>2643</v>
      </c>
      <c r="F861" s="80" t="s">
        <v>2374</v>
      </c>
      <c r="G861" s="80" t="s">
        <v>2700</v>
      </c>
      <c r="H861" s="79">
        <v>20</v>
      </c>
      <c r="I861" s="79">
        <v>1176.4000000000001</v>
      </c>
      <c r="J861" s="79">
        <v>23528</v>
      </c>
    </row>
    <row r="862" spans="1:10" ht="15" thickBot="1">
      <c r="A862" s="98" t="s">
        <v>2533</v>
      </c>
      <c r="B862" s="80" t="s">
        <v>2678</v>
      </c>
      <c r="C862" s="80" t="s">
        <v>2396</v>
      </c>
      <c r="D862" s="80" t="s">
        <v>2648</v>
      </c>
      <c r="E862" s="80" t="s">
        <v>2641</v>
      </c>
      <c r="F862" s="80" t="s">
        <v>2374</v>
      </c>
      <c r="G862" s="80" t="s">
        <v>2689</v>
      </c>
      <c r="H862" s="79">
        <v>11</v>
      </c>
      <c r="I862" s="79">
        <v>2038.9</v>
      </c>
      <c r="J862" s="79">
        <v>22427.9</v>
      </c>
    </row>
    <row r="863" spans="1:10" ht="15" thickBot="1">
      <c r="A863" s="98">
        <v>44929</v>
      </c>
      <c r="B863" s="80" t="s">
        <v>2680</v>
      </c>
      <c r="C863" s="80" t="s">
        <v>2654</v>
      </c>
      <c r="D863" s="80" t="s">
        <v>2646</v>
      </c>
      <c r="E863" s="80" t="s">
        <v>2642</v>
      </c>
      <c r="F863" s="80" t="s">
        <v>2374</v>
      </c>
      <c r="G863" s="80" t="s">
        <v>2704</v>
      </c>
      <c r="H863" s="79">
        <v>19</v>
      </c>
      <c r="I863" s="79">
        <v>3990.16</v>
      </c>
      <c r="J863" s="79">
        <v>75813.039999999994</v>
      </c>
    </row>
    <row r="864" spans="1:10" ht="15" thickBot="1">
      <c r="A864" s="98" t="s">
        <v>2625</v>
      </c>
      <c r="B864" s="80" t="s">
        <v>2687</v>
      </c>
      <c r="C864" s="80" t="s">
        <v>2660</v>
      </c>
      <c r="D864" s="80" t="s">
        <v>2647</v>
      </c>
      <c r="E864" s="80" t="s">
        <v>2643</v>
      </c>
      <c r="F864" s="80" t="s">
        <v>2372</v>
      </c>
      <c r="G864" s="80" t="s">
        <v>2693</v>
      </c>
      <c r="H864" s="79">
        <v>15</v>
      </c>
      <c r="I864" s="79">
        <v>3765.36</v>
      </c>
      <c r="J864" s="79">
        <v>56480.4</v>
      </c>
    </row>
    <row r="865" spans="1:10" ht="15" thickBot="1">
      <c r="A865" s="98" t="s">
        <v>2531</v>
      </c>
      <c r="B865" s="80" t="s">
        <v>2681</v>
      </c>
      <c r="C865" s="80" t="s">
        <v>2650</v>
      </c>
      <c r="D865" s="80" t="s">
        <v>2646</v>
      </c>
      <c r="E865" s="80" t="s">
        <v>2642</v>
      </c>
      <c r="F865" s="80" t="s">
        <v>2372</v>
      </c>
      <c r="G865" s="80" t="s">
        <v>2694</v>
      </c>
      <c r="H865" s="79">
        <v>12</v>
      </c>
      <c r="I865" s="79">
        <v>1794.88</v>
      </c>
      <c r="J865" s="79">
        <v>21538.560000000001</v>
      </c>
    </row>
    <row r="866" spans="1:10" ht="15" thickBot="1">
      <c r="A866" s="98" t="s">
        <v>2594</v>
      </c>
      <c r="B866" s="80" t="s">
        <v>2683</v>
      </c>
      <c r="C866" s="80" t="s">
        <v>2658</v>
      </c>
      <c r="D866" s="80" t="s">
        <v>2645</v>
      </c>
      <c r="E866" s="80" t="s">
        <v>2642</v>
      </c>
      <c r="F866" s="80" t="s">
        <v>2370</v>
      </c>
      <c r="G866" s="80" t="s">
        <v>2701</v>
      </c>
      <c r="H866" s="79">
        <v>19</v>
      </c>
      <c r="I866" s="79">
        <v>2750.97</v>
      </c>
      <c r="J866" s="79">
        <v>52268.43</v>
      </c>
    </row>
    <row r="867" spans="1:10" ht="15" thickBot="1">
      <c r="A867" s="98" t="s">
        <v>2538</v>
      </c>
      <c r="B867" s="80" t="s">
        <v>2687</v>
      </c>
      <c r="C867" s="80" t="s">
        <v>2653</v>
      </c>
      <c r="D867" s="80" t="s">
        <v>2644</v>
      </c>
      <c r="E867" s="80" t="s">
        <v>2641</v>
      </c>
      <c r="F867" s="80" t="s">
        <v>2374</v>
      </c>
      <c r="G867" s="80" t="s">
        <v>2689</v>
      </c>
      <c r="H867" s="79">
        <v>17</v>
      </c>
      <c r="I867" s="79">
        <v>3677.4</v>
      </c>
      <c r="J867" s="79">
        <v>62515.8</v>
      </c>
    </row>
    <row r="868" spans="1:10" ht="15" thickBot="1">
      <c r="A868" s="98" t="s">
        <v>2521</v>
      </c>
      <c r="B868" s="80" t="s">
        <v>2687</v>
      </c>
      <c r="C868" s="80" t="s">
        <v>2393</v>
      </c>
      <c r="D868" s="80" t="s">
        <v>2644</v>
      </c>
      <c r="E868" s="80" t="s">
        <v>2641</v>
      </c>
      <c r="F868" s="80" t="s">
        <v>2374</v>
      </c>
      <c r="G868" s="80" t="s">
        <v>2689</v>
      </c>
      <c r="H868" s="79">
        <v>7</v>
      </c>
      <c r="I868" s="79">
        <v>2253.94</v>
      </c>
      <c r="J868" s="79">
        <v>15777.58</v>
      </c>
    </row>
    <row r="869" spans="1:10" ht="15" thickBot="1">
      <c r="A869" s="98" t="s">
        <v>2588</v>
      </c>
      <c r="B869" s="80" t="s">
        <v>2680</v>
      </c>
      <c r="C869" s="80" t="s">
        <v>2658</v>
      </c>
      <c r="D869" s="80" t="s">
        <v>2645</v>
      </c>
      <c r="E869" s="80" t="s">
        <v>2642</v>
      </c>
      <c r="F869" s="80" t="s">
        <v>2661</v>
      </c>
      <c r="G869" s="80" t="s">
        <v>2696</v>
      </c>
      <c r="H869" s="79">
        <v>8</v>
      </c>
      <c r="I869" s="79">
        <v>1762.43</v>
      </c>
      <c r="J869" s="79">
        <v>14099.44</v>
      </c>
    </row>
    <row r="870" spans="1:10" ht="15" thickBot="1">
      <c r="A870" s="98" t="s">
        <v>2580</v>
      </c>
      <c r="B870" s="80" t="s">
        <v>2680</v>
      </c>
      <c r="C870" s="80" t="s">
        <v>2654</v>
      </c>
      <c r="D870" s="80" t="s">
        <v>2646</v>
      </c>
      <c r="E870" s="80" t="s">
        <v>2642</v>
      </c>
      <c r="F870" s="80" t="s">
        <v>2373</v>
      </c>
      <c r="G870" s="80" t="s">
        <v>2697</v>
      </c>
      <c r="H870" s="79">
        <v>20</v>
      </c>
      <c r="I870" s="79">
        <v>278.55</v>
      </c>
      <c r="J870" s="79">
        <v>5571</v>
      </c>
    </row>
    <row r="871" spans="1:10" ht="15" thickBot="1">
      <c r="A871" s="98" t="s">
        <v>2667</v>
      </c>
      <c r="B871" s="80" t="s">
        <v>2678</v>
      </c>
      <c r="C871" s="80" t="s">
        <v>2653</v>
      </c>
      <c r="D871" s="80" t="s">
        <v>2644</v>
      </c>
      <c r="E871" s="80" t="s">
        <v>2641</v>
      </c>
      <c r="F871" s="80" t="s">
        <v>2373</v>
      </c>
      <c r="G871" s="80" t="s">
        <v>2697</v>
      </c>
      <c r="H871" s="79">
        <v>7</v>
      </c>
      <c r="I871" s="79">
        <v>1940.86</v>
      </c>
      <c r="J871" s="79">
        <v>13586.02</v>
      </c>
    </row>
    <row r="872" spans="1:10" ht="15" thickBot="1">
      <c r="A872" s="98">
        <v>44967</v>
      </c>
      <c r="B872" s="80" t="s">
        <v>2678</v>
      </c>
      <c r="C872" s="80" t="s">
        <v>2654</v>
      </c>
      <c r="D872" s="80" t="s">
        <v>2646</v>
      </c>
      <c r="E872" s="80" t="s">
        <v>2642</v>
      </c>
      <c r="F872" s="80" t="s">
        <v>2661</v>
      </c>
      <c r="G872" s="80" t="s">
        <v>2695</v>
      </c>
      <c r="H872" s="79">
        <v>1</v>
      </c>
      <c r="I872" s="79">
        <v>414.64</v>
      </c>
      <c r="J872" s="79">
        <v>414.64</v>
      </c>
    </row>
    <row r="873" spans="1:10" ht="15" thickBot="1">
      <c r="A873" s="98">
        <v>45026</v>
      </c>
      <c r="B873" s="80" t="s">
        <v>2680</v>
      </c>
      <c r="C873" s="80" t="s">
        <v>2655</v>
      </c>
      <c r="D873" s="80" t="s">
        <v>2645</v>
      </c>
      <c r="E873" s="80" t="s">
        <v>2642</v>
      </c>
      <c r="F873" s="80" t="s">
        <v>2374</v>
      </c>
      <c r="G873" s="80" t="s">
        <v>2692</v>
      </c>
      <c r="H873" s="79">
        <v>7</v>
      </c>
      <c r="I873" s="79">
        <v>1073.54</v>
      </c>
      <c r="J873" s="79">
        <v>7514.78</v>
      </c>
    </row>
    <row r="874" spans="1:10" ht="15" thickBot="1">
      <c r="A874" s="98">
        <v>45146</v>
      </c>
      <c r="B874" s="80" t="s">
        <v>2683</v>
      </c>
      <c r="C874" s="80" t="s">
        <v>2654</v>
      </c>
      <c r="D874" s="80" t="s">
        <v>2646</v>
      </c>
      <c r="E874" s="80" t="s">
        <v>2642</v>
      </c>
      <c r="F874" s="80" t="s">
        <v>2370</v>
      </c>
      <c r="G874" s="80" t="s">
        <v>2702</v>
      </c>
      <c r="H874" s="79">
        <v>2</v>
      </c>
      <c r="I874" s="79">
        <v>2078.33</v>
      </c>
      <c r="J874" s="79">
        <v>4156.66</v>
      </c>
    </row>
    <row r="875" spans="1:10" ht="15" thickBot="1">
      <c r="A875" s="98" t="s">
        <v>2484</v>
      </c>
      <c r="B875" s="80" t="s">
        <v>2681</v>
      </c>
      <c r="C875" s="80" t="s">
        <v>2652</v>
      </c>
      <c r="D875" s="80" t="s">
        <v>2647</v>
      </c>
      <c r="E875" s="80" t="s">
        <v>2643</v>
      </c>
      <c r="F875" s="80" t="s">
        <v>2373</v>
      </c>
      <c r="G875" s="80" t="s">
        <v>2703</v>
      </c>
      <c r="H875" s="79">
        <v>15</v>
      </c>
      <c r="I875" s="79">
        <v>4188.84</v>
      </c>
      <c r="J875" s="79">
        <v>62832.6</v>
      </c>
    </row>
    <row r="876" spans="1:10" ht="15" thickBot="1">
      <c r="A876" s="98">
        <v>45175</v>
      </c>
      <c r="B876" s="80" t="s">
        <v>2685</v>
      </c>
      <c r="C876" s="80" t="s">
        <v>2654</v>
      </c>
      <c r="D876" s="80" t="s">
        <v>2646</v>
      </c>
      <c r="E876" s="80" t="s">
        <v>2642</v>
      </c>
      <c r="F876" s="80" t="s">
        <v>2372</v>
      </c>
      <c r="G876" s="80" t="s">
        <v>2699</v>
      </c>
      <c r="H876" s="79">
        <v>16</v>
      </c>
      <c r="I876" s="79">
        <v>3046.66</v>
      </c>
      <c r="J876" s="79">
        <v>48746.559999999998</v>
      </c>
    </row>
    <row r="877" spans="1:10" ht="15" thickBot="1">
      <c r="A877" s="98">
        <v>45085</v>
      </c>
      <c r="B877" s="80" t="s">
        <v>2683</v>
      </c>
      <c r="C877" s="80" t="s">
        <v>2654</v>
      </c>
      <c r="D877" s="80" t="s">
        <v>2646</v>
      </c>
      <c r="E877" s="80" t="s">
        <v>2642</v>
      </c>
      <c r="F877" s="80" t="s">
        <v>2372</v>
      </c>
      <c r="G877" s="80" t="s">
        <v>2699</v>
      </c>
      <c r="H877" s="79">
        <v>13</v>
      </c>
      <c r="I877" s="79">
        <v>566.55999999999995</v>
      </c>
      <c r="J877" s="79">
        <v>7365.28</v>
      </c>
    </row>
    <row r="878" spans="1:10" ht="15" thickBot="1">
      <c r="A878" s="98">
        <v>45207</v>
      </c>
      <c r="B878" s="80" t="s">
        <v>2683</v>
      </c>
      <c r="C878" s="80" t="s">
        <v>2659</v>
      </c>
      <c r="D878" s="80" t="s">
        <v>2647</v>
      </c>
      <c r="E878" s="80" t="s">
        <v>2643</v>
      </c>
      <c r="F878" s="80" t="s">
        <v>2370</v>
      </c>
      <c r="G878" s="80" t="s">
        <v>2702</v>
      </c>
      <c r="H878" s="79">
        <v>9</v>
      </c>
      <c r="I878" s="79">
        <v>4726.68</v>
      </c>
      <c r="J878" s="79">
        <v>42540.12</v>
      </c>
    </row>
    <row r="879" spans="1:10" ht="15" thickBot="1">
      <c r="A879" s="98" t="s">
        <v>2493</v>
      </c>
      <c r="B879" s="80" t="s">
        <v>2687</v>
      </c>
      <c r="C879" s="80" t="s">
        <v>2655</v>
      </c>
      <c r="D879" s="80" t="s">
        <v>2645</v>
      </c>
      <c r="E879" s="80" t="s">
        <v>2642</v>
      </c>
      <c r="F879" s="80" t="s">
        <v>2372</v>
      </c>
      <c r="G879" s="80" t="s">
        <v>2699</v>
      </c>
      <c r="H879" s="79">
        <v>15</v>
      </c>
      <c r="I879" s="79">
        <v>2503.4699999999998</v>
      </c>
      <c r="J879" s="79">
        <v>37552.050000000003</v>
      </c>
    </row>
    <row r="880" spans="1:10" ht="15" thickBot="1">
      <c r="A880" s="98">
        <v>45237</v>
      </c>
      <c r="B880" s="80" t="s">
        <v>2680</v>
      </c>
      <c r="C880" s="80" t="s">
        <v>2655</v>
      </c>
      <c r="D880" s="80" t="s">
        <v>2645</v>
      </c>
      <c r="E880" s="80" t="s">
        <v>2642</v>
      </c>
      <c r="F880" s="80" t="s">
        <v>2661</v>
      </c>
      <c r="G880" s="80" t="s">
        <v>2695</v>
      </c>
      <c r="H880" s="79">
        <v>13</v>
      </c>
      <c r="I880" s="79">
        <v>2244.77</v>
      </c>
      <c r="J880" s="79">
        <v>29182.01</v>
      </c>
    </row>
    <row r="881" spans="1:10" ht="15" thickBot="1">
      <c r="A881" s="98">
        <v>45242</v>
      </c>
      <c r="B881" s="80" t="s">
        <v>2684</v>
      </c>
      <c r="C881" s="80" t="s">
        <v>2393</v>
      </c>
      <c r="D881" s="80" t="s">
        <v>2644</v>
      </c>
      <c r="E881" s="80" t="s">
        <v>2641</v>
      </c>
      <c r="F881" s="80" t="s">
        <v>2374</v>
      </c>
      <c r="G881" s="80" t="s">
        <v>2689</v>
      </c>
      <c r="H881" s="79">
        <v>18</v>
      </c>
      <c r="I881" s="79">
        <v>3559.2</v>
      </c>
      <c r="J881" s="79">
        <v>64065.599999999999</v>
      </c>
    </row>
    <row r="882" spans="1:10" ht="15" thickBot="1">
      <c r="A882" s="98" t="s">
        <v>2619</v>
      </c>
      <c r="B882" s="80" t="s">
        <v>2681</v>
      </c>
      <c r="C882" s="80" t="s">
        <v>2649</v>
      </c>
      <c r="D882" s="80" t="s">
        <v>2645</v>
      </c>
      <c r="E882" s="80" t="s">
        <v>2642</v>
      </c>
      <c r="F882" s="80" t="s">
        <v>2372</v>
      </c>
      <c r="G882" s="80" t="s">
        <v>2699</v>
      </c>
      <c r="H882" s="79">
        <v>16</v>
      </c>
      <c r="I882" s="79">
        <v>4238.6400000000003</v>
      </c>
      <c r="J882" s="79">
        <v>67818.240000000005</v>
      </c>
    </row>
    <row r="883" spans="1:10" ht="15" thickBot="1">
      <c r="A883" s="98" t="s">
        <v>2487</v>
      </c>
      <c r="B883" s="80" t="s">
        <v>2682</v>
      </c>
      <c r="C883" s="80" t="s">
        <v>2392</v>
      </c>
      <c r="D883" s="80" t="s">
        <v>2644</v>
      </c>
      <c r="E883" s="80" t="s">
        <v>2641</v>
      </c>
      <c r="F883" s="80" t="s">
        <v>2372</v>
      </c>
      <c r="G883" s="80" t="s">
        <v>2699</v>
      </c>
      <c r="H883" s="79">
        <v>13</v>
      </c>
      <c r="I883" s="79">
        <v>151.65</v>
      </c>
      <c r="J883" s="79">
        <v>1971.45</v>
      </c>
    </row>
    <row r="884" spans="1:10" ht="15" thickBot="1">
      <c r="A884" s="98">
        <v>45175</v>
      </c>
      <c r="B884" s="80" t="s">
        <v>2678</v>
      </c>
      <c r="C884" s="80" t="s">
        <v>2392</v>
      </c>
      <c r="D884" s="80" t="s">
        <v>2644</v>
      </c>
      <c r="E884" s="80" t="s">
        <v>2641</v>
      </c>
      <c r="F884" s="80" t="s">
        <v>2373</v>
      </c>
      <c r="G884" s="80" t="s">
        <v>2705</v>
      </c>
      <c r="H884" s="79">
        <v>11</v>
      </c>
      <c r="I884" s="79">
        <v>4242.8999999999996</v>
      </c>
      <c r="J884" s="79">
        <v>46671.9</v>
      </c>
    </row>
    <row r="885" spans="1:10" ht="15" thickBot="1">
      <c r="A885" s="98" t="s">
        <v>2587</v>
      </c>
      <c r="B885" s="80" t="s">
        <v>2679</v>
      </c>
      <c r="C885" s="80" t="s">
        <v>2396</v>
      </c>
      <c r="D885" s="80" t="s">
        <v>2648</v>
      </c>
      <c r="E885" s="80" t="s">
        <v>2641</v>
      </c>
      <c r="F885" s="80" t="s">
        <v>2661</v>
      </c>
      <c r="G885" s="80" t="s">
        <v>2691</v>
      </c>
      <c r="H885" s="79">
        <v>9</v>
      </c>
      <c r="I885" s="79">
        <v>4639.93</v>
      </c>
      <c r="J885" s="79">
        <v>41759.370000000003</v>
      </c>
    </row>
    <row r="886" spans="1:10" ht="15" thickBot="1">
      <c r="A886" s="98" t="s">
        <v>2454</v>
      </c>
      <c r="B886" s="80" t="s">
        <v>2684</v>
      </c>
      <c r="C886" s="80" t="s">
        <v>2651</v>
      </c>
      <c r="D886" s="80" t="s">
        <v>2646</v>
      </c>
      <c r="E886" s="80" t="s">
        <v>2642</v>
      </c>
      <c r="F886" s="80" t="s">
        <v>2372</v>
      </c>
      <c r="G886" s="80" t="s">
        <v>2693</v>
      </c>
      <c r="H886" s="79">
        <v>4</v>
      </c>
      <c r="I886" s="79">
        <v>4336.92</v>
      </c>
      <c r="J886" s="79">
        <v>17347.68</v>
      </c>
    </row>
    <row r="887" spans="1:10" ht="15" thickBot="1">
      <c r="A887" s="98" t="s">
        <v>2552</v>
      </c>
      <c r="B887" s="80" t="s">
        <v>2678</v>
      </c>
      <c r="C887" s="80" t="s">
        <v>2660</v>
      </c>
      <c r="D887" s="80" t="s">
        <v>2647</v>
      </c>
      <c r="E887" s="80" t="s">
        <v>2643</v>
      </c>
      <c r="F887" s="80" t="s">
        <v>2373</v>
      </c>
      <c r="G887" s="80" t="s">
        <v>2688</v>
      </c>
      <c r="H887" s="79">
        <v>17</v>
      </c>
      <c r="I887" s="79">
        <v>1005.44</v>
      </c>
      <c r="J887" s="79">
        <v>17092.48</v>
      </c>
    </row>
    <row r="888" spans="1:10" ht="15" thickBot="1">
      <c r="A888" s="98">
        <v>45233</v>
      </c>
      <c r="B888" s="80" t="s">
        <v>2679</v>
      </c>
      <c r="C888" s="80" t="s">
        <v>2649</v>
      </c>
      <c r="D888" s="80" t="s">
        <v>2645</v>
      </c>
      <c r="E888" s="80" t="s">
        <v>2642</v>
      </c>
      <c r="F888" s="80" t="s">
        <v>2373</v>
      </c>
      <c r="G888" s="80" t="s">
        <v>2703</v>
      </c>
      <c r="H888" s="79">
        <v>18</v>
      </c>
      <c r="I888" s="79">
        <v>2231.56</v>
      </c>
      <c r="J888" s="79">
        <v>40168.080000000002</v>
      </c>
    </row>
    <row r="889" spans="1:10" ht="15" thickBot="1">
      <c r="A889" s="98">
        <v>45237</v>
      </c>
      <c r="B889" s="80" t="s">
        <v>2678</v>
      </c>
      <c r="C889" s="80" t="s">
        <v>2393</v>
      </c>
      <c r="D889" s="80" t="s">
        <v>2644</v>
      </c>
      <c r="E889" s="80" t="s">
        <v>2641</v>
      </c>
      <c r="F889" s="80" t="s">
        <v>2373</v>
      </c>
      <c r="G889" s="80" t="s">
        <v>2697</v>
      </c>
      <c r="H889" s="79">
        <v>14</v>
      </c>
      <c r="I889" s="79">
        <v>3677.67</v>
      </c>
      <c r="J889" s="79">
        <v>51487.38</v>
      </c>
    </row>
    <row r="890" spans="1:10" ht="15" thickBot="1">
      <c r="A890" s="98" t="s">
        <v>2568</v>
      </c>
      <c r="B890" s="80" t="s">
        <v>2680</v>
      </c>
      <c r="C890" s="80" t="s">
        <v>2651</v>
      </c>
      <c r="D890" s="80" t="s">
        <v>2646</v>
      </c>
      <c r="E890" s="80" t="s">
        <v>2642</v>
      </c>
      <c r="F890" s="80" t="s">
        <v>2370</v>
      </c>
      <c r="G890" s="80" t="s">
        <v>2702</v>
      </c>
      <c r="H890" s="79">
        <v>6</v>
      </c>
      <c r="I890" s="79">
        <v>1047.72</v>
      </c>
      <c r="J890" s="79">
        <v>6286.32</v>
      </c>
    </row>
    <row r="891" spans="1:10" ht="15" thickBot="1">
      <c r="A891" s="98" t="s">
        <v>2548</v>
      </c>
      <c r="B891" s="80" t="s">
        <v>2679</v>
      </c>
      <c r="C891" s="80" t="s">
        <v>2651</v>
      </c>
      <c r="D891" s="80" t="s">
        <v>2646</v>
      </c>
      <c r="E891" s="80" t="s">
        <v>2642</v>
      </c>
      <c r="F891" s="80" t="s">
        <v>2374</v>
      </c>
      <c r="G891" s="80" t="s">
        <v>2704</v>
      </c>
      <c r="H891" s="79">
        <v>20</v>
      </c>
      <c r="I891" s="79">
        <v>827.08</v>
      </c>
      <c r="J891" s="79">
        <v>16541.599999999999</v>
      </c>
    </row>
    <row r="892" spans="1:10" ht="15" thickBot="1">
      <c r="A892" s="98" t="s">
        <v>2448</v>
      </c>
      <c r="B892" s="80" t="s">
        <v>2679</v>
      </c>
      <c r="C892" s="80" t="s">
        <v>2655</v>
      </c>
      <c r="D892" s="80" t="s">
        <v>2645</v>
      </c>
      <c r="E892" s="80" t="s">
        <v>2642</v>
      </c>
      <c r="F892" s="80" t="s">
        <v>2374</v>
      </c>
      <c r="G892" s="80" t="s">
        <v>2692</v>
      </c>
      <c r="H892" s="79">
        <v>19</v>
      </c>
      <c r="I892" s="79">
        <v>1726.65</v>
      </c>
      <c r="J892" s="79">
        <v>32806.35</v>
      </c>
    </row>
    <row r="893" spans="1:10" ht="15" thickBot="1">
      <c r="A893" s="98">
        <v>45143</v>
      </c>
      <c r="B893" s="80" t="s">
        <v>2682</v>
      </c>
      <c r="C893" s="80" t="s">
        <v>2658</v>
      </c>
      <c r="D893" s="80" t="s">
        <v>2645</v>
      </c>
      <c r="E893" s="80" t="s">
        <v>2642</v>
      </c>
      <c r="F893" s="80" t="s">
        <v>2374</v>
      </c>
      <c r="G893" s="80" t="s">
        <v>2700</v>
      </c>
      <c r="H893" s="79">
        <v>17</v>
      </c>
      <c r="I893" s="79">
        <v>2339.5700000000002</v>
      </c>
      <c r="J893" s="79">
        <v>39772.69</v>
      </c>
    </row>
    <row r="894" spans="1:10" ht="15" thickBot="1">
      <c r="A894" s="98">
        <v>44962</v>
      </c>
      <c r="B894" s="80" t="s">
        <v>2682</v>
      </c>
      <c r="C894" s="80" t="s">
        <v>2651</v>
      </c>
      <c r="D894" s="80" t="s">
        <v>2646</v>
      </c>
      <c r="E894" s="80" t="s">
        <v>2642</v>
      </c>
      <c r="F894" s="80" t="s">
        <v>2372</v>
      </c>
      <c r="G894" s="80" t="s">
        <v>2693</v>
      </c>
      <c r="H894" s="79">
        <v>8</v>
      </c>
      <c r="I894" s="79">
        <v>4984.96</v>
      </c>
      <c r="J894" s="79">
        <v>39879.68</v>
      </c>
    </row>
    <row r="895" spans="1:10" ht="15" thickBot="1">
      <c r="A895" s="98">
        <v>45021</v>
      </c>
      <c r="B895" s="80" t="s">
        <v>2687</v>
      </c>
      <c r="C895" s="80" t="s">
        <v>2659</v>
      </c>
      <c r="D895" s="80" t="s">
        <v>2647</v>
      </c>
      <c r="E895" s="80" t="s">
        <v>2643</v>
      </c>
      <c r="F895" s="80" t="s">
        <v>2370</v>
      </c>
      <c r="G895" s="80" t="s">
        <v>2701</v>
      </c>
      <c r="H895" s="79">
        <v>17</v>
      </c>
      <c r="I895" s="79">
        <v>3259.21</v>
      </c>
      <c r="J895" s="79">
        <v>55406.57</v>
      </c>
    </row>
    <row r="896" spans="1:10" ht="15" thickBot="1">
      <c r="A896" s="98" t="s">
        <v>2596</v>
      </c>
      <c r="B896" s="80" t="s">
        <v>2679</v>
      </c>
      <c r="C896" s="80" t="s">
        <v>2654</v>
      </c>
      <c r="D896" s="80" t="s">
        <v>2646</v>
      </c>
      <c r="E896" s="80" t="s">
        <v>2642</v>
      </c>
      <c r="F896" s="80" t="s">
        <v>2373</v>
      </c>
      <c r="G896" s="80" t="s">
        <v>2688</v>
      </c>
      <c r="H896" s="79">
        <v>7</v>
      </c>
      <c r="I896" s="79">
        <v>4847.62</v>
      </c>
      <c r="J896" s="79">
        <v>33933.339999999997</v>
      </c>
    </row>
    <row r="897" spans="1:10" ht="15" thickBot="1">
      <c r="A897" s="98" t="s">
        <v>2483</v>
      </c>
      <c r="B897" s="80" t="s">
        <v>2680</v>
      </c>
      <c r="C897" s="80" t="s">
        <v>2650</v>
      </c>
      <c r="D897" s="80" t="s">
        <v>2646</v>
      </c>
      <c r="E897" s="80" t="s">
        <v>2642</v>
      </c>
      <c r="F897" s="80" t="s">
        <v>2661</v>
      </c>
      <c r="G897" s="80" t="s">
        <v>2695</v>
      </c>
      <c r="H897" s="79">
        <v>6</v>
      </c>
      <c r="I897" s="79">
        <v>2260.16</v>
      </c>
      <c r="J897" s="79">
        <v>13560.96</v>
      </c>
    </row>
    <row r="898" spans="1:10" ht="15" thickBot="1">
      <c r="A898" s="98">
        <v>45269</v>
      </c>
      <c r="B898" s="80" t="s">
        <v>2683</v>
      </c>
      <c r="C898" s="80" t="s">
        <v>2652</v>
      </c>
      <c r="D898" s="80" t="s">
        <v>2647</v>
      </c>
      <c r="E898" s="80" t="s">
        <v>2643</v>
      </c>
      <c r="F898" s="80" t="s">
        <v>2373</v>
      </c>
      <c r="G898" s="80" t="s">
        <v>2697</v>
      </c>
      <c r="H898" s="79">
        <v>16</v>
      </c>
      <c r="I898" s="79">
        <v>1795.37</v>
      </c>
      <c r="J898" s="79">
        <v>28725.919999999998</v>
      </c>
    </row>
    <row r="899" spans="1:10" ht="15" thickBot="1">
      <c r="A899" s="98">
        <v>44990</v>
      </c>
      <c r="B899" s="80" t="s">
        <v>2683</v>
      </c>
      <c r="C899" s="80" t="s">
        <v>2657</v>
      </c>
      <c r="D899" s="80" t="s">
        <v>2648</v>
      </c>
      <c r="E899" s="80" t="s">
        <v>2641</v>
      </c>
      <c r="F899" s="80" t="s">
        <v>2370</v>
      </c>
      <c r="G899" s="80" t="s">
        <v>2702</v>
      </c>
      <c r="H899" s="79">
        <v>19</v>
      </c>
      <c r="I899" s="79">
        <v>2040.79</v>
      </c>
      <c r="J899" s="79">
        <v>38775.01</v>
      </c>
    </row>
    <row r="900" spans="1:10" ht="15" thickBot="1">
      <c r="A900" s="98" t="s">
        <v>2626</v>
      </c>
      <c r="B900" s="80" t="s">
        <v>2686</v>
      </c>
      <c r="C900" s="80" t="s">
        <v>2655</v>
      </c>
      <c r="D900" s="80" t="s">
        <v>2645</v>
      </c>
      <c r="E900" s="80" t="s">
        <v>2642</v>
      </c>
      <c r="F900" s="80" t="s">
        <v>2373</v>
      </c>
      <c r="G900" s="80" t="s">
        <v>2705</v>
      </c>
      <c r="H900" s="79">
        <v>13</v>
      </c>
      <c r="I900" s="79">
        <v>1764.64</v>
      </c>
      <c r="J900" s="79">
        <v>22940.32</v>
      </c>
    </row>
    <row r="901" spans="1:10" ht="15" thickBot="1">
      <c r="A901" s="98" t="s">
        <v>2576</v>
      </c>
      <c r="B901" s="80" t="s">
        <v>2678</v>
      </c>
      <c r="C901" s="80" t="s">
        <v>2654</v>
      </c>
      <c r="D901" s="80" t="s">
        <v>2646</v>
      </c>
      <c r="E901" s="80" t="s">
        <v>2642</v>
      </c>
      <c r="F901" s="80" t="s">
        <v>2661</v>
      </c>
      <c r="G901" s="80" t="s">
        <v>2695</v>
      </c>
      <c r="H901" s="79">
        <v>6</v>
      </c>
      <c r="I901" s="79">
        <v>746.23</v>
      </c>
      <c r="J901" s="79">
        <v>4477.38</v>
      </c>
    </row>
    <row r="902" spans="1:10" ht="15" thickBot="1">
      <c r="A902" s="98">
        <v>45210</v>
      </c>
      <c r="B902" s="80" t="s">
        <v>2680</v>
      </c>
      <c r="C902" s="80" t="s">
        <v>2652</v>
      </c>
      <c r="D902" s="80" t="s">
        <v>2647</v>
      </c>
      <c r="E902" s="80" t="s">
        <v>2643</v>
      </c>
      <c r="F902" s="80" t="s">
        <v>2373</v>
      </c>
      <c r="G902" s="80" t="s">
        <v>2703</v>
      </c>
      <c r="H902" s="79">
        <v>14</v>
      </c>
      <c r="I902" s="79">
        <v>2385.9899999999998</v>
      </c>
      <c r="J902" s="79">
        <v>33403.86</v>
      </c>
    </row>
    <row r="903" spans="1:10" ht="15" thickBot="1">
      <c r="A903" s="98">
        <v>45264</v>
      </c>
      <c r="B903" s="80" t="s">
        <v>2678</v>
      </c>
      <c r="C903" s="80" t="s">
        <v>2657</v>
      </c>
      <c r="D903" s="80" t="s">
        <v>2648</v>
      </c>
      <c r="E903" s="80" t="s">
        <v>2641</v>
      </c>
      <c r="F903" s="80" t="s">
        <v>2370</v>
      </c>
      <c r="G903" s="80" t="s">
        <v>1335</v>
      </c>
      <c r="H903" s="79">
        <v>1</v>
      </c>
      <c r="I903" s="79">
        <v>2362.15</v>
      </c>
      <c r="J903" s="79">
        <v>2362.15</v>
      </c>
    </row>
    <row r="904" spans="1:10" ht="15" thickBot="1">
      <c r="A904" s="98" t="s">
        <v>2515</v>
      </c>
      <c r="B904" s="80" t="s">
        <v>2683</v>
      </c>
      <c r="C904" s="80" t="s">
        <v>2652</v>
      </c>
      <c r="D904" s="80" t="s">
        <v>2647</v>
      </c>
      <c r="E904" s="80" t="s">
        <v>2643</v>
      </c>
      <c r="F904" s="80" t="s">
        <v>2372</v>
      </c>
      <c r="G904" s="80" t="s">
        <v>2693</v>
      </c>
      <c r="H904" s="79">
        <v>16</v>
      </c>
      <c r="I904" s="79">
        <v>1236.8</v>
      </c>
      <c r="J904" s="79">
        <v>19788.8</v>
      </c>
    </row>
    <row r="905" spans="1:10" ht="15" thickBot="1">
      <c r="A905" s="98">
        <v>45140</v>
      </c>
      <c r="B905" s="80" t="s">
        <v>2681</v>
      </c>
      <c r="C905" s="80" t="s">
        <v>2652</v>
      </c>
      <c r="D905" s="80" t="s">
        <v>2647</v>
      </c>
      <c r="E905" s="80" t="s">
        <v>2643</v>
      </c>
      <c r="F905" s="80" t="s">
        <v>2370</v>
      </c>
      <c r="G905" s="80" t="s">
        <v>1336</v>
      </c>
      <c r="H905" s="79">
        <v>17</v>
      </c>
      <c r="I905" s="79">
        <v>1248.03</v>
      </c>
      <c r="J905" s="79">
        <v>21216.51</v>
      </c>
    </row>
    <row r="906" spans="1:10" ht="15" thickBot="1">
      <c r="A906" s="98">
        <v>44991</v>
      </c>
      <c r="B906" s="80" t="s">
        <v>2686</v>
      </c>
      <c r="C906" s="80" t="s">
        <v>2659</v>
      </c>
      <c r="D906" s="80" t="s">
        <v>2647</v>
      </c>
      <c r="E906" s="80" t="s">
        <v>2643</v>
      </c>
      <c r="F906" s="80" t="s">
        <v>2374</v>
      </c>
      <c r="G906" s="80" t="s">
        <v>2692</v>
      </c>
      <c r="H906" s="79">
        <v>16</v>
      </c>
      <c r="I906" s="79">
        <v>665.83</v>
      </c>
      <c r="J906" s="79">
        <v>10653.28</v>
      </c>
    </row>
    <row r="907" spans="1:10" ht="15" thickBot="1">
      <c r="A907" s="98">
        <v>45082</v>
      </c>
      <c r="B907" s="80" t="s">
        <v>2678</v>
      </c>
      <c r="C907" s="80" t="s">
        <v>2393</v>
      </c>
      <c r="D907" s="80" t="s">
        <v>2644</v>
      </c>
      <c r="E907" s="80" t="s">
        <v>2641</v>
      </c>
      <c r="F907" s="80" t="s">
        <v>2370</v>
      </c>
      <c r="G907" s="80" t="s">
        <v>2701</v>
      </c>
      <c r="H907" s="79">
        <v>16</v>
      </c>
      <c r="I907" s="79">
        <v>615.70000000000005</v>
      </c>
      <c r="J907" s="79">
        <v>9851.2000000000007</v>
      </c>
    </row>
    <row r="908" spans="1:10" ht="15" thickBot="1">
      <c r="A908" s="98" t="s">
        <v>2668</v>
      </c>
      <c r="B908" s="80" t="s">
        <v>2684</v>
      </c>
      <c r="C908" s="80" t="s">
        <v>2655</v>
      </c>
      <c r="D908" s="80" t="s">
        <v>2645</v>
      </c>
      <c r="E908" s="80" t="s">
        <v>2642</v>
      </c>
      <c r="F908" s="80" t="s">
        <v>2374</v>
      </c>
      <c r="G908" s="80" t="s">
        <v>2704</v>
      </c>
      <c r="H908" s="79">
        <v>13</v>
      </c>
      <c r="I908" s="79">
        <v>3616.99</v>
      </c>
      <c r="J908" s="79">
        <v>47020.87</v>
      </c>
    </row>
    <row r="909" spans="1:10" ht="15" thickBot="1">
      <c r="A909" s="98">
        <v>45144</v>
      </c>
      <c r="B909" s="80" t="s">
        <v>2687</v>
      </c>
      <c r="C909" s="80" t="s">
        <v>2651</v>
      </c>
      <c r="D909" s="80" t="s">
        <v>2646</v>
      </c>
      <c r="E909" s="80" t="s">
        <v>2642</v>
      </c>
      <c r="F909" s="80" t="s">
        <v>2372</v>
      </c>
      <c r="G909" s="80" t="s">
        <v>2693</v>
      </c>
      <c r="H909" s="79">
        <v>9</v>
      </c>
      <c r="I909" s="79">
        <v>1940.11</v>
      </c>
      <c r="J909" s="79">
        <v>17460.990000000002</v>
      </c>
    </row>
    <row r="910" spans="1:10" ht="15" thickBot="1">
      <c r="A910" s="98" t="s">
        <v>2552</v>
      </c>
      <c r="B910" s="80" t="s">
        <v>2685</v>
      </c>
      <c r="C910" s="80" t="s">
        <v>2651</v>
      </c>
      <c r="D910" s="80" t="s">
        <v>2646</v>
      </c>
      <c r="E910" s="80" t="s">
        <v>2642</v>
      </c>
      <c r="F910" s="80" t="s">
        <v>2370</v>
      </c>
      <c r="G910" s="80" t="s">
        <v>1336</v>
      </c>
      <c r="H910" s="79">
        <v>16</v>
      </c>
      <c r="I910" s="79">
        <v>1064.93</v>
      </c>
      <c r="J910" s="79">
        <v>17038.88</v>
      </c>
    </row>
    <row r="911" spans="1:10" ht="15" thickBot="1">
      <c r="A911" s="98">
        <v>45232</v>
      </c>
      <c r="B911" s="80" t="s">
        <v>2685</v>
      </c>
      <c r="C911" s="80" t="s">
        <v>2392</v>
      </c>
      <c r="D911" s="80" t="s">
        <v>2644</v>
      </c>
      <c r="E911" s="80" t="s">
        <v>2641</v>
      </c>
      <c r="F911" s="80" t="s">
        <v>2372</v>
      </c>
      <c r="G911" s="80" t="s">
        <v>2699</v>
      </c>
      <c r="H911" s="79">
        <v>2</v>
      </c>
      <c r="I911" s="79">
        <v>4845.74</v>
      </c>
      <c r="J911" s="79">
        <v>9691.48</v>
      </c>
    </row>
    <row r="912" spans="1:10" ht="15" thickBot="1">
      <c r="A912" s="98" t="s">
        <v>2596</v>
      </c>
      <c r="B912" s="80" t="s">
        <v>2681</v>
      </c>
      <c r="C912" s="80" t="s">
        <v>2649</v>
      </c>
      <c r="D912" s="80" t="s">
        <v>2645</v>
      </c>
      <c r="E912" s="80" t="s">
        <v>2642</v>
      </c>
      <c r="F912" s="80" t="s">
        <v>2661</v>
      </c>
      <c r="G912" s="80" t="s">
        <v>2698</v>
      </c>
      <c r="H912" s="79">
        <v>3</v>
      </c>
      <c r="I912" s="79">
        <v>4766.28</v>
      </c>
      <c r="J912" s="79">
        <v>14298.84</v>
      </c>
    </row>
    <row r="913" spans="1:10" ht="15" thickBot="1">
      <c r="A913" s="98">
        <v>45233</v>
      </c>
      <c r="B913" s="80" t="s">
        <v>2679</v>
      </c>
      <c r="C913" s="80" t="s">
        <v>2652</v>
      </c>
      <c r="D913" s="80" t="s">
        <v>2647</v>
      </c>
      <c r="E913" s="80" t="s">
        <v>2643</v>
      </c>
      <c r="F913" s="80" t="s">
        <v>2372</v>
      </c>
      <c r="G913" s="80" t="s">
        <v>2699</v>
      </c>
      <c r="H913" s="79">
        <v>15</v>
      </c>
      <c r="I913" s="79">
        <v>3946.23</v>
      </c>
      <c r="J913" s="79">
        <v>59193.45</v>
      </c>
    </row>
    <row r="914" spans="1:10" ht="15" thickBot="1">
      <c r="A914" s="98">
        <v>45145</v>
      </c>
      <c r="B914" s="80" t="s">
        <v>2684</v>
      </c>
      <c r="C914" s="80" t="s">
        <v>2656</v>
      </c>
      <c r="D914" s="80" t="s">
        <v>2648</v>
      </c>
      <c r="E914" s="80" t="s">
        <v>2641</v>
      </c>
      <c r="F914" s="80" t="s">
        <v>2372</v>
      </c>
      <c r="G914" s="80" t="s">
        <v>2693</v>
      </c>
      <c r="H914" s="79">
        <v>12</v>
      </c>
      <c r="I914" s="79">
        <v>1804.27</v>
      </c>
      <c r="J914" s="79">
        <v>21651.24</v>
      </c>
    </row>
    <row r="915" spans="1:10" ht="15" thickBot="1">
      <c r="A915" s="98" t="s">
        <v>2557</v>
      </c>
      <c r="B915" s="80" t="s">
        <v>2682</v>
      </c>
      <c r="C915" s="80" t="s">
        <v>2653</v>
      </c>
      <c r="D915" s="80" t="s">
        <v>2644</v>
      </c>
      <c r="E915" s="80" t="s">
        <v>2641</v>
      </c>
      <c r="F915" s="80" t="s">
        <v>2370</v>
      </c>
      <c r="G915" s="80" t="s">
        <v>1335</v>
      </c>
      <c r="H915" s="79">
        <v>3</v>
      </c>
      <c r="I915" s="79">
        <v>2055.4499999999998</v>
      </c>
      <c r="J915" s="79">
        <v>6166.35</v>
      </c>
    </row>
    <row r="916" spans="1:10" ht="15" thickBot="1">
      <c r="A916" s="98">
        <v>45056</v>
      </c>
      <c r="B916" s="80" t="s">
        <v>2682</v>
      </c>
      <c r="C916" s="80" t="s">
        <v>2652</v>
      </c>
      <c r="D916" s="80" t="s">
        <v>2647</v>
      </c>
      <c r="E916" s="80" t="s">
        <v>2643</v>
      </c>
      <c r="F916" s="80" t="s">
        <v>2373</v>
      </c>
      <c r="G916" s="80" t="s">
        <v>2697</v>
      </c>
      <c r="H916" s="79">
        <v>5</v>
      </c>
      <c r="I916" s="79">
        <v>1568.68</v>
      </c>
      <c r="J916" s="79">
        <v>7843.4</v>
      </c>
    </row>
    <row r="917" spans="1:10" ht="15" thickBot="1">
      <c r="A917" s="98" t="s">
        <v>2536</v>
      </c>
      <c r="B917" s="80" t="s">
        <v>2683</v>
      </c>
      <c r="C917" s="80" t="s">
        <v>2649</v>
      </c>
      <c r="D917" s="80" t="s">
        <v>2645</v>
      </c>
      <c r="E917" s="80" t="s">
        <v>2642</v>
      </c>
      <c r="F917" s="80" t="s">
        <v>2373</v>
      </c>
      <c r="G917" s="80" t="s">
        <v>2703</v>
      </c>
      <c r="H917" s="79">
        <v>16</v>
      </c>
      <c r="I917" s="79">
        <v>2288.6799999999998</v>
      </c>
      <c r="J917" s="79">
        <v>36618.879999999997</v>
      </c>
    </row>
    <row r="918" spans="1:10" ht="15" thickBot="1">
      <c r="A918" s="98">
        <v>45113</v>
      </c>
      <c r="B918" s="80" t="s">
        <v>2686</v>
      </c>
      <c r="C918" s="80" t="s">
        <v>2651</v>
      </c>
      <c r="D918" s="80" t="s">
        <v>2646</v>
      </c>
      <c r="E918" s="80" t="s">
        <v>2642</v>
      </c>
      <c r="F918" s="80" t="s">
        <v>2373</v>
      </c>
      <c r="G918" s="80" t="s">
        <v>2705</v>
      </c>
      <c r="H918" s="79">
        <v>12</v>
      </c>
      <c r="I918" s="79">
        <v>2133.0500000000002</v>
      </c>
      <c r="J918" s="79">
        <v>25596.6</v>
      </c>
    </row>
    <row r="919" spans="1:10" ht="15" thickBot="1">
      <c r="A919" s="98">
        <v>45050</v>
      </c>
      <c r="B919" s="80" t="s">
        <v>2686</v>
      </c>
      <c r="C919" s="80" t="s">
        <v>2393</v>
      </c>
      <c r="D919" s="80" t="s">
        <v>2644</v>
      </c>
      <c r="E919" s="80" t="s">
        <v>2641</v>
      </c>
      <c r="F919" s="80" t="s">
        <v>2661</v>
      </c>
      <c r="G919" s="80" t="s">
        <v>2696</v>
      </c>
      <c r="H919" s="79">
        <v>4</v>
      </c>
      <c r="I919" s="79">
        <v>1208.42</v>
      </c>
      <c r="J919" s="79">
        <v>4833.68</v>
      </c>
    </row>
    <row r="920" spans="1:10" ht="15" thickBot="1">
      <c r="A920" s="98">
        <v>45175</v>
      </c>
      <c r="B920" s="80" t="s">
        <v>2686</v>
      </c>
      <c r="C920" s="80" t="s">
        <v>2660</v>
      </c>
      <c r="D920" s="80" t="s">
        <v>2647</v>
      </c>
      <c r="E920" s="80" t="s">
        <v>2643</v>
      </c>
      <c r="F920" s="80" t="s">
        <v>2374</v>
      </c>
      <c r="G920" s="80" t="s">
        <v>2689</v>
      </c>
      <c r="H920" s="79">
        <v>14</v>
      </c>
      <c r="I920" s="79">
        <v>630.45000000000005</v>
      </c>
      <c r="J920" s="79">
        <v>8826.2999999999993</v>
      </c>
    </row>
    <row r="921" spans="1:10" ht="15" thickBot="1">
      <c r="A921" s="98" t="s">
        <v>2615</v>
      </c>
      <c r="B921" s="80" t="s">
        <v>2682</v>
      </c>
      <c r="C921" s="80" t="s">
        <v>2653</v>
      </c>
      <c r="D921" s="80" t="s">
        <v>2644</v>
      </c>
      <c r="E921" s="80" t="s">
        <v>2641</v>
      </c>
      <c r="F921" s="80" t="s">
        <v>2372</v>
      </c>
      <c r="G921" s="80" t="s">
        <v>2690</v>
      </c>
      <c r="H921" s="79">
        <v>14</v>
      </c>
      <c r="I921" s="79">
        <v>2713.47</v>
      </c>
      <c r="J921" s="79">
        <v>37988.58</v>
      </c>
    </row>
    <row r="922" spans="1:10" ht="15" thickBot="1">
      <c r="A922" s="98">
        <v>45173</v>
      </c>
      <c r="B922" s="80" t="s">
        <v>2678</v>
      </c>
      <c r="C922" s="80" t="s">
        <v>2660</v>
      </c>
      <c r="D922" s="80" t="s">
        <v>2647</v>
      </c>
      <c r="E922" s="80" t="s">
        <v>2643</v>
      </c>
      <c r="F922" s="80" t="s">
        <v>2373</v>
      </c>
      <c r="G922" s="80" t="s">
        <v>2705</v>
      </c>
      <c r="H922" s="79">
        <v>7</v>
      </c>
      <c r="I922" s="79">
        <v>3273.61</v>
      </c>
      <c r="J922" s="79">
        <v>22915.27</v>
      </c>
    </row>
    <row r="923" spans="1:10" ht="15" thickBot="1">
      <c r="A923" s="98" t="s">
        <v>2458</v>
      </c>
      <c r="B923" s="80" t="s">
        <v>2682</v>
      </c>
      <c r="C923" s="80" t="s">
        <v>2393</v>
      </c>
      <c r="D923" s="80" t="s">
        <v>2644</v>
      </c>
      <c r="E923" s="80" t="s">
        <v>2641</v>
      </c>
      <c r="F923" s="80" t="s">
        <v>2372</v>
      </c>
      <c r="G923" s="80" t="s">
        <v>2694</v>
      </c>
      <c r="H923" s="79">
        <v>9</v>
      </c>
      <c r="I923" s="79">
        <v>566.91999999999996</v>
      </c>
      <c r="J923" s="79">
        <v>5102.28</v>
      </c>
    </row>
    <row r="924" spans="1:10" ht="15" thickBot="1">
      <c r="A924" s="98" t="s">
        <v>2511</v>
      </c>
      <c r="B924" s="80" t="s">
        <v>2685</v>
      </c>
      <c r="C924" s="80" t="s">
        <v>2649</v>
      </c>
      <c r="D924" s="80" t="s">
        <v>2645</v>
      </c>
      <c r="E924" s="80" t="s">
        <v>2642</v>
      </c>
      <c r="F924" s="80" t="s">
        <v>2370</v>
      </c>
      <c r="G924" s="80" t="s">
        <v>1336</v>
      </c>
      <c r="H924" s="79">
        <v>2</v>
      </c>
      <c r="I924" s="79">
        <v>3830.39</v>
      </c>
      <c r="J924" s="79">
        <v>7660.78</v>
      </c>
    </row>
    <row r="925" spans="1:10" ht="15" thickBot="1">
      <c r="A925" s="98" t="s">
        <v>2437</v>
      </c>
      <c r="B925" s="80" t="s">
        <v>2681</v>
      </c>
      <c r="C925" s="80" t="s">
        <v>2393</v>
      </c>
      <c r="D925" s="80" t="s">
        <v>2644</v>
      </c>
      <c r="E925" s="80" t="s">
        <v>2641</v>
      </c>
      <c r="F925" s="80" t="s">
        <v>2370</v>
      </c>
      <c r="G925" s="80" t="s">
        <v>2701</v>
      </c>
      <c r="H925" s="79">
        <v>7</v>
      </c>
      <c r="I925" s="79">
        <v>4456.5</v>
      </c>
      <c r="J925" s="79">
        <v>31195.5</v>
      </c>
    </row>
    <row r="926" spans="1:10" ht="15" thickBot="1">
      <c r="A926" s="98" t="s">
        <v>2464</v>
      </c>
      <c r="B926" s="80" t="s">
        <v>2678</v>
      </c>
      <c r="C926" s="80" t="s">
        <v>2650</v>
      </c>
      <c r="D926" s="80" t="s">
        <v>2646</v>
      </c>
      <c r="E926" s="80" t="s">
        <v>2642</v>
      </c>
      <c r="F926" s="80" t="s">
        <v>2374</v>
      </c>
      <c r="G926" s="80" t="s">
        <v>2700</v>
      </c>
      <c r="H926" s="79">
        <v>15</v>
      </c>
      <c r="I926" s="79">
        <v>202.66</v>
      </c>
      <c r="J926" s="79">
        <v>3039.9</v>
      </c>
    </row>
    <row r="927" spans="1:10" ht="15" thickBot="1">
      <c r="A927" s="98" t="s">
        <v>2552</v>
      </c>
      <c r="B927" s="80" t="s">
        <v>2685</v>
      </c>
      <c r="C927" s="80" t="s">
        <v>2653</v>
      </c>
      <c r="D927" s="80" t="s">
        <v>2644</v>
      </c>
      <c r="E927" s="80" t="s">
        <v>2641</v>
      </c>
      <c r="F927" s="80" t="s">
        <v>2372</v>
      </c>
      <c r="G927" s="80" t="s">
        <v>2693</v>
      </c>
      <c r="H927" s="79">
        <v>10</v>
      </c>
      <c r="I927" s="79">
        <v>1018.19</v>
      </c>
      <c r="J927" s="79">
        <v>10181.9</v>
      </c>
    </row>
    <row r="928" spans="1:10" ht="15" thickBot="1">
      <c r="A928" s="98">
        <v>45050</v>
      </c>
      <c r="B928" s="80" t="s">
        <v>2678</v>
      </c>
      <c r="C928" s="80" t="s">
        <v>2656</v>
      </c>
      <c r="D928" s="80" t="s">
        <v>2648</v>
      </c>
      <c r="E928" s="80" t="s">
        <v>2641</v>
      </c>
      <c r="F928" s="80" t="s">
        <v>2372</v>
      </c>
      <c r="G928" s="80" t="s">
        <v>2693</v>
      </c>
      <c r="H928" s="79">
        <v>4</v>
      </c>
      <c r="I928" s="79">
        <v>3300.36</v>
      </c>
      <c r="J928" s="79">
        <v>13201.44</v>
      </c>
    </row>
    <row r="929" spans="1:10" ht="15" thickBot="1">
      <c r="A929" s="98" t="s">
        <v>2516</v>
      </c>
      <c r="B929" s="80" t="s">
        <v>2679</v>
      </c>
      <c r="C929" s="80" t="s">
        <v>2652</v>
      </c>
      <c r="D929" s="80" t="s">
        <v>2647</v>
      </c>
      <c r="E929" s="80" t="s">
        <v>2643</v>
      </c>
      <c r="F929" s="80" t="s">
        <v>2372</v>
      </c>
      <c r="G929" s="80" t="s">
        <v>2693</v>
      </c>
      <c r="H929" s="79">
        <v>12</v>
      </c>
      <c r="I929" s="79">
        <v>957.01</v>
      </c>
      <c r="J929" s="79">
        <v>11484.12</v>
      </c>
    </row>
    <row r="930" spans="1:10" ht="15" thickBot="1">
      <c r="A930" s="98" t="s">
        <v>2487</v>
      </c>
      <c r="B930" s="80" t="s">
        <v>2679</v>
      </c>
      <c r="C930" s="80" t="s">
        <v>2650</v>
      </c>
      <c r="D930" s="80" t="s">
        <v>2646</v>
      </c>
      <c r="E930" s="80" t="s">
        <v>2642</v>
      </c>
      <c r="F930" s="80" t="s">
        <v>2661</v>
      </c>
      <c r="G930" s="80" t="s">
        <v>2695</v>
      </c>
      <c r="H930" s="79">
        <v>19</v>
      </c>
      <c r="I930" s="79">
        <v>1933.19</v>
      </c>
      <c r="J930" s="79">
        <v>36730.61</v>
      </c>
    </row>
    <row r="931" spans="1:10" ht="15" thickBot="1">
      <c r="A931" s="98" t="s">
        <v>2447</v>
      </c>
      <c r="B931" s="80" t="s">
        <v>2680</v>
      </c>
      <c r="C931" s="80" t="s">
        <v>2660</v>
      </c>
      <c r="D931" s="80" t="s">
        <v>2647</v>
      </c>
      <c r="E931" s="80" t="s">
        <v>2643</v>
      </c>
      <c r="F931" s="80" t="s">
        <v>2373</v>
      </c>
      <c r="G931" s="80" t="s">
        <v>2705</v>
      </c>
      <c r="H931" s="79">
        <v>15</v>
      </c>
      <c r="I931" s="79">
        <v>834.13</v>
      </c>
      <c r="J931" s="79">
        <v>12511.95</v>
      </c>
    </row>
    <row r="932" spans="1:10" ht="15" thickBot="1">
      <c r="A932" s="98" t="s">
        <v>2446</v>
      </c>
      <c r="B932" s="80" t="s">
        <v>2683</v>
      </c>
      <c r="C932" s="80" t="s">
        <v>2649</v>
      </c>
      <c r="D932" s="80" t="s">
        <v>2645</v>
      </c>
      <c r="E932" s="80" t="s">
        <v>2642</v>
      </c>
      <c r="F932" s="80" t="s">
        <v>2374</v>
      </c>
      <c r="G932" s="80" t="s">
        <v>2700</v>
      </c>
      <c r="H932" s="79">
        <v>18</v>
      </c>
      <c r="I932" s="79">
        <v>2535.8200000000002</v>
      </c>
      <c r="J932" s="79">
        <v>45644.76</v>
      </c>
    </row>
    <row r="933" spans="1:10" ht="15" thickBot="1">
      <c r="A933" s="98">
        <v>45202</v>
      </c>
      <c r="B933" s="80" t="s">
        <v>2679</v>
      </c>
      <c r="C933" s="80" t="s">
        <v>2650</v>
      </c>
      <c r="D933" s="80" t="s">
        <v>2646</v>
      </c>
      <c r="E933" s="80" t="s">
        <v>2642</v>
      </c>
      <c r="F933" s="80" t="s">
        <v>2661</v>
      </c>
      <c r="G933" s="80" t="s">
        <v>2698</v>
      </c>
      <c r="H933" s="79">
        <v>18</v>
      </c>
      <c r="I933" s="79">
        <v>2299.9299999999998</v>
      </c>
      <c r="J933" s="79">
        <v>41398.74</v>
      </c>
    </row>
    <row r="934" spans="1:10" ht="15" thickBot="1">
      <c r="A934" s="98" t="s">
        <v>2499</v>
      </c>
      <c r="B934" s="80" t="s">
        <v>2683</v>
      </c>
      <c r="C934" s="80" t="s">
        <v>2656</v>
      </c>
      <c r="D934" s="80" t="s">
        <v>2648</v>
      </c>
      <c r="E934" s="80" t="s">
        <v>2641</v>
      </c>
      <c r="F934" s="80" t="s">
        <v>2373</v>
      </c>
      <c r="G934" s="80" t="s">
        <v>2697</v>
      </c>
      <c r="H934" s="79">
        <v>5</v>
      </c>
      <c r="I934" s="79">
        <v>606.49</v>
      </c>
      <c r="J934" s="79">
        <v>3032.45</v>
      </c>
    </row>
    <row r="935" spans="1:10" ht="15" thickBot="1">
      <c r="A935" s="98" t="s">
        <v>2469</v>
      </c>
      <c r="B935" s="80" t="s">
        <v>2682</v>
      </c>
      <c r="C935" s="80" t="s">
        <v>2655</v>
      </c>
      <c r="D935" s="80" t="s">
        <v>2645</v>
      </c>
      <c r="E935" s="80" t="s">
        <v>2642</v>
      </c>
      <c r="F935" s="80" t="s">
        <v>2374</v>
      </c>
      <c r="G935" s="80" t="s">
        <v>2692</v>
      </c>
      <c r="H935" s="79">
        <v>6</v>
      </c>
      <c r="I935" s="79">
        <v>1919.03</v>
      </c>
      <c r="J935" s="79">
        <v>11514.18</v>
      </c>
    </row>
    <row r="936" spans="1:10" ht="15" thickBot="1">
      <c r="A936" s="98">
        <v>44963</v>
      </c>
      <c r="B936" s="80" t="s">
        <v>2678</v>
      </c>
      <c r="C936" s="80" t="s">
        <v>2655</v>
      </c>
      <c r="D936" s="80" t="s">
        <v>2645</v>
      </c>
      <c r="E936" s="80" t="s">
        <v>2642</v>
      </c>
      <c r="F936" s="80" t="s">
        <v>2374</v>
      </c>
      <c r="G936" s="80" t="s">
        <v>2700</v>
      </c>
      <c r="H936" s="79">
        <v>9</v>
      </c>
      <c r="I936" s="79">
        <v>662.41</v>
      </c>
      <c r="J936" s="79">
        <v>5961.69</v>
      </c>
    </row>
    <row r="937" spans="1:10" ht="15" thickBot="1">
      <c r="A937" s="98">
        <v>45170</v>
      </c>
      <c r="B937" s="80" t="s">
        <v>2687</v>
      </c>
      <c r="C937" s="80" t="s">
        <v>2651</v>
      </c>
      <c r="D937" s="80" t="s">
        <v>2646</v>
      </c>
      <c r="E937" s="80" t="s">
        <v>2642</v>
      </c>
      <c r="F937" s="80" t="s">
        <v>2374</v>
      </c>
      <c r="G937" s="80" t="s">
        <v>2704</v>
      </c>
      <c r="H937" s="79">
        <v>18</v>
      </c>
      <c r="I937" s="79">
        <v>970.52</v>
      </c>
      <c r="J937" s="79">
        <v>17469.36</v>
      </c>
    </row>
    <row r="938" spans="1:10" ht="15" thickBot="1">
      <c r="A938" s="98">
        <v>45056</v>
      </c>
      <c r="B938" s="80" t="s">
        <v>2686</v>
      </c>
      <c r="C938" s="80" t="s">
        <v>2652</v>
      </c>
      <c r="D938" s="80" t="s">
        <v>2647</v>
      </c>
      <c r="E938" s="80" t="s">
        <v>2643</v>
      </c>
      <c r="F938" s="80" t="s">
        <v>2370</v>
      </c>
      <c r="G938" s="80" t="s">
        <v>2701</v>
      </c>
      <c r="H938" s="79">
        <v>2</v>
      </c>
      <c r="I938" s="79">
        <v>4112.53</v>
      </c>
      <c r="J938" s="79">
        <v>8225.06</v>
      </c>
    </row>
    <row r="939" spans="1:10" ht="15" thickBot="1">
      <c r="A939" s="98">
        <v>45021</v>
      </c>
      <c r="B939" s="80" t="s">
        <v>2683</v>
      </c>
      <c r="C939" s="80" t="s">
        <v>2649</v>
      </c>
      <c r="D939" s="80" t="s">
        <v>2645</v>
      </c>
      <c r="E939" s="80" t="s">
        <v>2642</v>
      </c>
      <c r="F939" s="80" t="s">
        <v>2370</v>
      </c>
      <c r="G939" s="80" t="s">
        <v>2701</v>
      </c>
      <c r="H939" s="79">
        <v>4</v>
      </c>
      <c r="I939" s="79">
        <v>4968.93</v>
      </c>
      <c r="J939" s="79">
        <v>19875.72</v>
      </c>
    </row>
    <row r="940" spans="1:10" ht="15" thickBot="1">
      <c r="A940" s="98" t="s">
        <v>2639</v>
      </c>
      <c r="B940" s="80" t="s">
        <v>2684</v>
      </c>
      <c r="C940" s="80" t="s">
        <v>2658</v>
      </c>
      <c r="D940" s="80" t="s">
        <v>2645</v>
      </c>
      <c r="E940" s="80" t="s">
        <v>2642</v>
      </c>
      <c r="F940" s="80" t="s">
        <v>2372</v>
      </c>
      <c r="G940" s="80" t="s">
        <v>2694</v>
      </c>
      <c r="H940" s="79">
        <v>2</v>
      </c>
      <c r="I940" s="79">
        <v>339.56</v>
      </c>
      <c r="J940" s="79">
        <v>679.12</v>
      </c>
    </row>
    <row r="941" spans="1:10" ht="15" thickBot="1">
      <c r="A941" s="98" t="s">
        <v>2463</v>
      </c>
      <c r="B941" s="80" t="s">
        <v>2679</v>
      </c>
      <c r="C941" s="80" t="s">
        <v>2649</v>
      </c>
      <c r="D941" s="80" t="s">
        <v>2645</v>
      </c>
      <c r="E941" s="80" t="s">
        <v>2642</v>
      </c>
      <c r="F941" s="80" t="s">
        <v>2374</v>
      </c>
      <c r="G941" s="80" t="s">
        <v>2689</v>
      </c>
      <c r="H941" s="79">
        <v>3</v>
      </c>
      <c r="I941" s="79">
        <v>3853.05</v>
      </c>
      <c r="J941" s="79">
        <v>11559.15</v>
      </c>
    </row>
    <row r="942" spans="1:10" ht="15" thickBot="1">
      <c r="A942" s="98" t="s">
        <v>2470</v>
      </c>
      <c r="B942" s="80" t="s">
        <v>2680</v>
      </c>
      <c r="C942" s="80" t="s">
        <v>2660</v>
      </c>
      <c r="D942" s="80" t="s">
        <v>2647</v>
      </c>
      <c r="E942" s="80" t="s">
        <v>2643</v>
      </c>
      <c r="F942" s="80" t="s">
        <v>2372</v>
      </c>
      <c r="G942" s="80" t="s">
        <v>2690</v>
      </c>
      <c r="H942" s="79">
        <v>11</v>
      </c>
      <c r="I942" s="79">
        <v>2212.9</v>
      </c>
      <c r="J942" s="79">
        <v>24341.9</v>
      </c>
    </row>
    <row r="943" spans="1:10" ht="15" thickBot="1">
      <c r="A943" s="98">
        <v>45113</v>
      </c>
      <c r="B943" s="80" t="s">
        <v>2685</v>
      </c>
      <c r="C943" s="80" t="s">
        <v>2650</v>
      </c>
      <c r="D943" s="80" t="s">
        <v>2646</v>
      </c>
      <c r="E943" s="80" t="s">
        <v>2642</v>
      </c>
      <c r="F943" s="80" t="s">
        <v>2374</v>
      </c>
      <c r="G943" s="80" t="s">
        <v>2704</v>
      </c>
      <c r="H943" s="79">
        <v>18</v>
      </c>
      <c r="I943" s="79">
        <v>509.79</v>
      </c>
      <c r="J943" s="79">
        <v>9176.2199999999993</v>
      </c>
    </row>
    <row r="944" spans="1:10" ht="15" thickBot="1">
      <c r="A944" s="98">
        <v>45052</v>
      </c>
      <c r="B944" s="80" t="s">
        <v>2687</v>
      </c>
      <c r="C944" s="80" t="s">
        <v>2658</v>
      </c>
      <c r="D944" s="80" t="s">
        <v>2645</v>
      </c>
      <c r="E944" s="80" t="s">
        <v>2642</v>
      </c>
      <c r="F944" s="80" t="s">
        <v>2373</v>
      </c>
      <c r="G944" s="80" t="s">
        <v>2697</v>
      </c>
      <c r="H944" s="79">
        <v>16</v>
      </c>
      <c r="I944" s="79">
        <v>2724.77</v>
      </c>
      <c r="J944" s="79">
        <v>43596.32</v>
      </c>
    </row>
    <row r="945" spans="1:10" ht="15" thickBot="1">
      <c r="A945" s="98" t="s">
        <v>2594</v>
      </c>
      <c r="B945" s="80" t="s">
        <v>2686</v>
      </c>
      <c r="C945" s="80" t="s">
        <v>2653</v>
      </c>
      <c r="D945" s="80" t="s">
        <v>2644</v>
      </c>
      <c r="E945" s="80" t="s">
        <v>2641</v>
      </c>
      <c r="F945" s="80" t="s">
        <v>2372</v>
      </c>
      <c r="G945" s="80" t="s">
        <v>2693</v>
      </c>
      <c r="H945" s="79">
        <v>18</v>
      </c>
      <c r="I945" s="79">
        <v>4718.22</v>
      </c>
      <c r="J945" s="79">
        <v>84927.96</v>
      </c>
    </row>
    <row r="946" spans="1:10" ht="15" thickBot="1">
      <c r="A946" s="98" t="s">
        <v>2549</v>
      </c>
      <c r="B946" s="80" t="s">
        <v>2686</v>
      </c>
      <c r="C946" s="80" t="s">
        <v>2651</v>
      </c>
      <c r="D946" s="80" t="s">
        <v>2646</v>
      </c>
      <c r="E946" s="80" t="s">
        <v>2642</v>
      </c>
      <c r="F946" s="80" t="s">
        <v>2370</v>
      </c>
      <c r="G946" s="80" t="s">
        <v>2702</v>
      </c>
      <c r="H946" s="79">
        <v>9</v>
      </c>
      <c r="I946" s="79">
        <v>4811.76</v>
      </c>
      <c r="J946" s="79">
        <v>43305.84</v>
      </c>
    </row>
    <row r="947" spans="1:10" ht="15" thickBot="1">
      <c r="A947" s="98">
        <v>45108</v>
      </c>
      <c r="B947" s="80" t="s">
        <v>2678</v>
      </c>
      <c r="C947" s="80" t="s">
        <v>2650</v>
      </c>
      <c r="D947" s="80" t="s">
        <v>2646</v>
      </c>
      <c r="E947" s="80" t="s">
        <v>2642</v>
      </c>
      <c r="F947" s="80" t="s">
        <v>2373</v>
      </c>
      <c r="G947" s="80" t="s">
        <v>2705</v>
      </c>
      <c r="H947" s="79">
        <v>8</v>
      </c>
      <c r="I947" s="79">
        <v>4021.86</v>
      </c>
      <c r="J947" s="79">
        <v>32174.880000000001</v>
      </c>
    </row>
    <row r="948" spans="1:10" ht="15" thickBot="1">
      <c r="A948" s="98" t="s">
        <v>2489</v>
      </c>
      <c r="B948" s="80" t="s">
        <v>2687</v>
      </c>
      <c r="C948" s="80" t="s">
        <v>2649</v>
      </c>
      <c r="D948" s="80" t="s">
        <v>2645</v>
      </c>
      <c r="E948" s="80" t="s">
        <v>2642</v>
      </c>
      <c r="F948" s="80" t="s">
        <v>2373</v>
      </c>
      <c r="G948" s="80" t="s">
        <v>2697</v>
      </c>
      <c r="H948" s="79">
        <v>16</v>
      </c>
      <c r="I948" s="79">
        <v>4008.72</v>
      </c>
      <c r="J948" s="79">
        <v>64139.519999999997</v>
      </c>
    </row>
    <row r="949" spans="1:10" ht="15" thickBot="1">
      <c r="A949" s="98" t="s">
        <v>2673</v>
      </c>
      <c r="B949" s="80" t="s">
        <v>2678</v>
      </c>
      <c r="C949" s="80" t="s">
        <v>2396</v>
      </c>
      <c r="D949" s="80" t="s">
        <v>2648</v>
      </c>
      <c r="E949" s="80" t="s">
        <v>2641</v>
      </c>
      <c r="F949" s="80" t="s">
        <v>2373</v>
      </c>
      <c r="G949" s="80" t="s">
        <v>2705</v>
      </c>
      <c r="H949" s="79">
        <v>14</v>
      </c>
      <c r="I949" s="79">
        <v>4793.38</v>
      </c>
      <c r="J949" s="79">
        <v>67107.320000000007</v>
      </c>
    </row>
    <row r="950" spans="1:10" ht="15" thickBot="1">
      <c r="A950" s="98" t="s">
        <v>2638</v>
      </c>
      <c r="B950" s="80" t="s">
        <v>2683</v>
      </c>
      <c r="C950" s="80" t="s">
        <v>2659</v>
      </c>
      <c r="D950" s="80" t="s">
        <v>2647</v>
      </c>
      <c r="E950" s="80" t="s">
        <v>2643</v>
      </c>
      <c r="F950" s="80" t="s">
        <v>2373</v>
      </c>
      <c r="G950" s="80" t="s">
        <v>2703</v>
      </c>
      <c r="H950" s="79">
        <v>14</v>
      </c>
      <c r="I950" s="79">
        <v>4816.3900000000003</v>
      </c>
      <c r="J950" s="79">
        <v>67429.460000000006</v>
      </c>
    </row>
    <row r="951" spans="1:10" ht="15" thickBot="1">
      <c r="A951" s="98" t="s">
        <v>2608</v>
      </c>
      <c r="B951" s="80" t="s">
        <v>2682</v>
      </c>
      <c r="C951" s="80" t="s">
        <v>2657</v>
      </c>
      <c r="D951" s="80" t="s">
        <v>2648</v>
      </c>
      <c r="E951" s="80" t="s">
        <v>2641</v>
      </c>
      <c r="F951" s="80" t="s">
        <v>2373</v>
      </c>
      <c r="G951" s="80" t="s">
        <v>2688</v>
      </c>
      <c r="H951" s="79">
        <v>6</v>
      </c>
      <c r="I951" s="79">
        <v>4072.51</v>
      </c>
      <c r="J951" s="79">
        <v>24435.06</v>
      </c>
    </row>
    <row r="952" spans="1:10" ht="15" thickBot="1">
      <c r="A952" s="98">
        <v>45263</v>
      </c>
      <c r="B952" s="80" t="s">
        <v>2684</v>
      </c>
      <c r="C952" s="80" t="s">
        <v>2392</v>
      </c>
      <c r="D952" s="80" t="s">
        <v>2644</v>
      </c>
      <c r="E952" s="80" t="s">
        <v>2641</v>
      </c>
      <c r="F952" s="80" t="s">
        <v>2661</v>
      </c>
      <c r="G952" s="80" t="s">
        <v>2698</v>
      </c>
      <c r="H952" s="79">
        <v>2</v>
      </c>
      <c r="I952" s="79">
        <v>1269.81</v>
      </c>
      <c r="J952" s="79">
        <v>2539.62</v>
      </c>
    </row>
    <row r="953" spans="1:10" ht="15" thickBot="1">
      <c r="A953" s="98" t="s">
        <v>2615</v>
      </c>
      <c r="B953" s="80" t="s">
        <v>2685</v>
      </c>
      <c r="C953" s="80" t="s">
        <v>2657</v>
      </c>
      <c r="D953" s="80" t="s">
        <v>2648</v>
      </c>
      <c r="E953" s="80" t="s">
        <v>2641</v>
      </c>
      <c r="F953" s="80" t="s">
        <v>2661</v>
      </c>
      <c r="G953" s="80" t="s">
        <v>2696</v>
      </c>
      <c r="H953" s="79">
        <v>13</v>
      </c>
      <c r="I953" s="79">
        <v>3071.93</v>
      </c>
      <c r="J953" s="79">
        <v>39935.089999999997</v>
      </c>
    </row>
    <row r="954" spans="1:10" ht="15" thickBot="1">
      <c r="A954" s="98" t="s">
        <v>2507</v>
      </c>
      <c r="B954" s="80" t="s">
        <v>2681</v>
      </c>
      <c r="C954" s="80" t="s">
        <v>2656</v>
      </c>
      <c r="D954" s="80" t="s">
        <v>2648</v>
      </c>
      <c r="E954" s="80" t="s">
        <v>2641</v>
      </c>
      <c r="F954" s="80" t="s">
        <v>2372</v>
      </c>
      <c r="G954" s="80" t="s">
        <v>2690</v>
      </c>
      <c r="H954" s="79">
        <v>5</v>
      </c>
      <c r="I954" s="79">
        <v>4686.67</v>
      </c>
      <c r="J954" s="79">
        <v>23433.35</v>
      </c>
    </row>
    <row r="955" spans="1:10" ht="15" thickBot="1">
      <c r="A955" s="98" t="s">
        <v>2550</v>
      </c>
      <c r="B955" s="80" t="s">
        <v>2687</v>
      </c>
      <c r="C955" s="80" t="s">
        <v>2653</v>
      </c>
      <c r="D955" s="80" t="s">
        <v>2644</v>
      </c>
      <c r="E955" s="80" t="s">
        <v>2641</v>
      </c>
      <c r="F955" s="80" t="s">
        <v>2373</v>
      </c>
      <c r="G955" s="80" t="s">
        <v>2703</v>
      </c>
      <c r="H955" s="79">
        <v>5</v>
      </c>
      <c r="I955" s="79">
        <v>4504.17</v>
      </c>
      <c r="J955" s="79">
        <v>22520.85</v>
      </c>
    </row>
    <row r="956" spans="1:10" ht="15" thickBot="1">
      <c r="A956" s="98" t="s">
        <v>2631</v>
      </c>
      <c r="B956" s="80" t="s">
        <v>2678</v>
      </c>
      <c r="C956" s="80" t="s">
        <v>2658</v>
      </c>
      <c r="D956" s="80" t="s">
        <v>2645</v>
      </c>
      <c r="E956" s="80" t="s">
        <v>2642</v>
      </c>
      <c r="F956" s="80" t="s">
        <v>2373</v>
      </c>
      <c r="G956" s="80" t="s">
        <v>2688</v>
      </c>
      <c r="H956" s="79">
        <v>3</v>
      </c>
      <c r="I956" s="79">
        <v>559.70000000000005</v>
      </c>
      <c r="J956" s="79">
        <v>1679.1</v>
      </c>
    </row>
    <row r="957" spans="1:10" ht="15" thickBot="1">
      <c r="A957" s="98" t="s">
        <v>2450</v>
      </c>
      <c r="B957" s="80" t="s">
        <v>2680</v>
      </c>
      <c r="C957" s="80" t="s">
        <v>2649</v>
      </c>
      <c r="D957" s="80" t="s">
        <v>2645</v>
      </c>
      <c r="E957" s="80" t="s">
        <v>2642</v>
      </c>
      <c r="F957" s="80" t="s">
        <v>2661</v>
      </c>
      <c r="G957" s="80" t="s">
        <v>2695</v>
      </c>
      <c r="H957" s="79">
        <v>17</v>
      </c>
      <c r="I957" s="79">
        <v>1975.71</v>
      </c>
      <c r="J957" s="79">
        <v>33587.07</v>
      </c>
    </row>
    <row r="958" spans="1:10" ht="15" thickBot="1">
      <c r="A958" s="98">
        <v>45180</v>
      </c>
      <c r="B958" s="80" t="s">
        <v>2681</v>
      </c>
      <c r="C958" s="80" t="s">
        <v>2659</v>
      </c>
      <c r="D958" s="80" t="s">
        <v>2647</v>
      </c>
      <c r="E958" s="80" t="s">
        <v>2643</v>
      </c>
      <c r="F958" s="80" t="s">
        <v>2373</v>
      </c>
      <c r="G958" s="80" t="s">
        <v>2688</v>
      </c>
      <c r="H958" s="79">
        <v>8</v>
      </c>
      <c r="I958" s="79">
        <v>4175.5600000000004</v>
      </c>
      <c r="J958" s="79">
        <v>33404.480000000003</v>
      </c>
    </row>
    <row r="959" spans="1:10" ht="15" thickBot="1">
      <c r="A959" s="98" t="s">
        <v>2584</v>
      </c>
      <c r="B959" s="80" t="s">
        <v>2678</v>
      </c>
      <c r="C959" s="80" t="s">
        <v>2649</v>
      </c>
      <c r="D959" s="80" t="s">
        <v>2645</v>
      </c>
      <c r="E959" s="80" t="s">
        <v>2642</v>
      </c>
      <c r="F959" s="80" t="s">
        <v>2370</v>
      </c>
      <c r="G959" s="80" t="s">
        <v>2701</v>
      </c>
      <c r="H959" s="79">
        <v>14</v>
      </c>
      <c r="I959" s="79">
        <v>2535.08</v>
      </c>
      <c r="J959" s="79">
        <v>35491.120000000003</v>
      </c>
    </row>
    <row r="960" spans="1:10" ht="15" thickBot="1">
      <c r="A960" s="98">
        <v>45023</v>
      </c>
      <c r="B960" s="80" t="s">
        <v>2682</v>
      </c>
      <c r="C960" s="80" t="s">
        <v>2650</v>
      </c>
      <c r="D960" s="80" t="s">
        <v>2646</v>
      </c>
      <c r="E960" s="80" t="s">
        <v>2642</v>
      </c>
      <c r="F960" s="80" t="s">
        <v>2370</v>
      </c>
      <c r="G960" s="80" t="s">
        <v>1335</v>
      </c>
      <c r="H960" s="79">
        <v>14</v>
      </c>
      <c r="I960" s="79">
        <v>2161.65</v>
      </c>
      <c r="J960" s="79">
        <v>30263.1</v>
      </c>
    </row>
    <row r="961" spans="1:10" ht="15" thickBot="1">
      <c r="A961" s="98">
        <v>45087</v>
      </c>
      <c r="B961" s="80" t="s">
        <v>2682</v>
      </c>
      <c r="C961" s="80" t="s">
        <v>2659</v>
      </c>
      <c r="D961" s="80" t="s">
        <v>2647</v>
      </c>
      <c r="E961" s="80" t="s">
        <v>2643</v>
      </c>
      <c r="F961" s="80" t="s">
        <v>2370</v>
      </c>
      <c r="G961" s="80" t="s">
        <v>2702</v>
      </c>
      <c r="H961" s="79">
        <v>11</v>
      </c>
      <c r="I961" s="79">
        <v>3424.45</v>
      </c>
      <c r="J961" s="79">
        <v>37668.949999999997</v>
      </c>
    </row>
    <row r="962" spans="1:10" ht="15" thickBot="1">
      <c r="A962" s="98" t="s">
        <v>2524</v>
      </c>
      <c r="B962" s="80" t="s">
        <v>2684</v>
      </c>
      <c r="C962" s="80" t="s">
        <v>2657</v>
      </c>
      <c r="D962" s="80" t="s">
        <v>2648</v>
      </c>
      <c r="E962" s="80" t="s">
        <v>2641</v>
      </c>
      <c r="F962" s="80" t="s">
        <v>2661</v>
      </c>
      <c r="G962" s="80" t="s">
        <v>2691</v>
      </c>
      <c r="H962" s="79">
        <v>10</v>
      </c>
      <c r="I962" s="79">
        <v>1167.21</v>
      </c>
      <c r="J962" s="79">
        <v>11672.1</v>
      </c>
    </row>
    <row r="963" spans="1:10" ht="15" thickBot="1">
      <c r="A963" s="98" t="s">
        <v>2671</v>
      </c>
      <c r="B963" s="80" t="s">
        <v>2685</v>
      </c>
      <c r="C963" s="80" t="s">
        <v>2657</v>
      </c>
      <c r="D963" s="80" t="s">
        <v>2648</v>
      </c>
      <c r="E963" s="80" t="s">
        <v>2641</v>
      </c>
      <c r="F963" s="80" t="s">
        <v>2374</v>
      </c>
      <c r="G963" s="80" t="s">
        <v>2689</v>
      </c>
      <c r="H963" s="79">
        <v>7</v>
      </c>
      <c r="I963" s="79">
        <v>500.63</v>
      </c>
      <c r="J963" s="79">
        <v>3504.41</v>
      </c>
    </row>
    <row r="964" spans="1:10" ht="15" thickBot="1">
      <c r="A964" s="98">
        <v>45027</v>
      </c>
      <c r="B964" s="80" t="s">
        <v>2683</v>
      </c>
      <c r="C964" s="80" t="s">
        <v>2660</v>
      </c>
      <c r="D964" s="80" t="s">
        <v>2647</v>
      </c>
      <c r="E964" s="80" t="s">
        <v>2643</v>
      </c>
      <c r="F964" s="80" t="s">
        <v>2373</v>
      </c>
      <c r="G964" s="80" t="s">
        <v>2705</v>
      </c>
      <c r="H964" s="79">
        <v>10</v>
      </c>
      <c r="I964" s="79">
        <v>1050.8399999999999</v>
      </c>
      <c r="J964" s="79">
        <v>10508.4</v>
      </c>
    </row>
    <row r="965" spans="1:10" ht="15" thickBot="1">
      <c r="A965" s="98" t="s">
        <v>2596</v>
      </c>
      <c r="B965" s="80" t="s">
        <v>2687</v>
      </c>
      <c r="C965" s="80" t="s">
        <v>2655</v>
      </c>
      <c r="D965" s="80" t="s">
        <v>2645</v>
      </c>
      <c r="E965" s="80" t="s">
        <v>2642</v>
      </c>
      <c r="F965" s="80" t="s">
        <v>2373</v>
      </c>
      <c r="G965" s="80" t="s">
        <v>2703</v>
      </c>
      <c r="H965" s="79">
        <v>14</v>
      </c>
      <c r="I965" s="79">
        <v>3726.3</v>
      </c>
      <c r="J965" s="79">
        <v>52168.2</v>
      </c>
    </row>
    <row r="966" spans="1:10" ht="15" thickBot="1">
      <c r="A966" s="98" t="s">
        <v>2499</v>
      </c>
      <c r="B966" s="80" t="s">
        <v>2681</v>
      </c>
      <c r="C966" s="80" t="s">
        <v>2650</v>
      </c>
      <c r="D966" s="80" t="s">
        <v>2646</v>
      </c>
      <c r="E966" s="80" t="s">
        <v>2642</v>
      </c>
      <c r="F966" s="80" t="s">
        <v>2372</v>
      </c>
      <c r="G966" s="80" t="s">
        <v>2693</v>
      </c>
      <c r="H966" s="79">
        <v>10</v>
      </c>
      <c r="I966" s="79">
        <v>651.83000000000004</v>
      </c>
      <c r="J966" s="79">
        <v>6518.3</v>
      </c>
    </row>
    <row r="967" spans="1:10" ht="15" thickBot="1">
      <c r="A967" s="98" t="s">
        <v>2566</v>
      </c>
      <c r="B967" s="80" t="s">
        <v>2684</v>
      </c>
      <c r="C967" s="80" t="s">
        <v>2393</v>
      </c>
      <c r="D967" s="80" t="s">
        <v>2644</v>
      </c>
      <c r="E967" s="80" t="s">
        <v>2641</v>
      </c>
      <c r="F967" s="80" t="s">
        <v>2373</v>
      </c>
      <c r="G967" s="80" t="s">
        <v>2705</v>
      </c>
      <c r="H967" s="79">
        <v>4</v>
      </c>
      <c r="I967" s="79">
        <v>1077.23</v>
      </c>
      <c r="J967" s="79">
        <v>4308.92</v>
      </c>
    </row>
    <row r="968" spans="1:10" ht="15" thickBot="1">
      <c r="A968" s="98" t="s">
        <v>2570</v>
      </c>
      <c r="B968" s="80" t="s">
        <v>2687</v>
      </c>
      <c r="C968" s="80" t="s">
        <v>2660</v>
      </c>
      <c r="D968" s="80" t="s">
        <v>2647</v>
      </c>
      <c r="E968" s="80" t="s">
        <v>2643</v>
      </c>
      <c r="F968" s="80" t="s">
        <v>2370</v>
      </c>
      <c r="G968" s="80" t="s">
        <v>1336</v>
      </c>
      <c r="H968" s="79">
        <v>15</v>
      </c>
      <c r="I968" s="79">
        <v>4554.78</v>
      </c>
      <c r="J968" s="79">
        <v>68321.7</v>
      </c>
    </row>
    <row r="969" spans="1:10" ht="15" thickBot="1">
      <c r="A969" s="98" t="s">
        <v>2621</v>
      </c>
      <c r="B969" s="80" t="s">
        <v>2682</v>
      </c>
      <c r="C969" s="80" t="s">
        <v>2396</v>
      </c>
      <c r="D969" s="80" t="s">
        <v>2648</v>
      </c>
      <c r="E969" s="80" t="s">
        <v>2641</v>
      </c>
      <c r="F969" s="80" t="s">
        <v>2374</v>
      </c>
      <c r="G969" s="80" t="s">
        <v>2700</v>
      </c>
      <c r="H969" s="79">
        <v>19</v>
      </c>
      <c r="I969" s="79">
        <v>1003.13</v>
      </c>
      <c r="J969" s="79">
        <v>19059.47</v>
      </c>
    </row>
    <row r="970" spans="1:10" ht="15" thickBot="1">
      <c r="A970" s="98" t="s">
        <v>2572</v>
      </c>
      <c r="B970" s="80" t="s">
        <v>2678</v>
      </c>
      <c r="C970" s="80" t="s">
        <v>2655</v>
      </c>
      <c r="D970" s="80" t="s">
        <v>2645</v>
      </c>
      <c r="E970" s="80" t="s">
        <v>2642</v>
      </c>
      <c r="F970" s="80" t="s">
        <v>2661</v>
      </c>
      <c r="G970" s="80" t="s">
        <v>2695</v>
      </c>
      <c r="H970" s="79">
        <v>7</v>
      </c>
      <c r="I970" s="79">
        <v>3168.77</v>
      </c>
      <c r="J970" s="79">
        <v>22181.39</v>
      </c>
    </row>
    <row r="971" spans="1:10" ht="15" thickBot="1">
      <c r="A971" s="98" t="s">
        <v>2449</v>
      </c>
      <c r="B971" s="80" t="s">
        <v>2682</v>
      </c>
      <c r="C971" s="80" t="s">
        <v>2660</v>
      </c>
      <c r="D971" s="80" t="s">
        <v>2647</v>
      </c>
      <c r="E971" s="80" t="s">
        <v>2643</v>
      </c>
      <c r="F971" s="80" t="s">
        <v>2374</v>
      </c>
      <c r="G971" s="80" t="s">
        <v>2692</v>
      </c>
      <c r="H971" s="79">
        <v>19</v>
      </c>
      <c r="I971" s="79">
        <v>4528.95</v>
      </c>
      <c r="J971" s="79">
        <v>86050.05</v>
      </c>
    </row>
    <row r="972" spans="1:10" ht="15" thickBot="1">
      <c r="A972" s="98" t="s">
        <v>2567</v>
      </c>
      <c r="B972" s="80" t="s">
        <v>2680</v>
      </c>
      <c r="C972" s="80" t="s">
        <v>2655</v>
      </c>
      <c r="D972" s="80" t="s">
        <v>2645</v>
      </c>
      <c r="E972" s="80" t="s">
        <v>2642</v>
      </c>
      <c r="F972" s="80" t="s">
        <v>2370</v>
      </c>
      <c r="G972" s="80" t="s">
        <v>1336</v>
      </c>
      <c r="H972" s="79">
        <v>5</v>
      </c>
      <c r="I972" s="79">
        <v>2480.84</v>
      </c>
      <c r="J972" s="79">
        <v>12404.2</v>
      </c>
    </row>
    <row r="973" spans="1:10" ht="15" thickBot="1">
      <c r="A973" s="98">
        <v>45051</v>
      </c>
      <c r="B973" s="80" t="s">
        <v>2685</v>
      </c>
      <c r="C973" s="80" t="s">
        <v>2652</v>
      </c>
      <c r="D973" s="80" t="s">
        <v>2647</v>
      </c>
      <c r="E973" s="80" t="s">
        <v>2643</v>
      </c>
      <c r="F973" s="80" t="s">
        <v>2372</v>
      </c>
      <c r="G973" s="80" t="s">
        <v>2699</v>
      </c>
      <c r="H973" s="79">
        <v>11</v>
      </c>
      <c r="I973" s="79">
        <v>4740.79</v>
      </c>
      <c r="J973" s="79">
        <v>52148.69</v>
      </c>
    </row>
    <row r="974" spans="1:10" ht="15" thickBot="1">
      <c r="A974" s="98" t="s">
        <v>2485</v>
      </c>
      <c r="B974" s="80" t="s">
        <v>2683</v>
      </c>
      <c r="C974" s="80" t="s">
        <v>2652</v>
      </c>
      <c r="D974" s="80" t="s">
        <v>2647</v>
      </c>
      <c r="E974" s="80" t="s">
        <v>2643</v>
      </c>
      <c r="F974" s="80" t="s">
        <v>2661</v>
      </c>
      <c r="G974" s="80" t="s">
        <v>2691</v>
      </c>
      <c r="H974" s="79">
        <v>16</v>
      </c>
      <c r="I974" s="79">
        <v>2687.77</v>
      </c>
      <c r="J974" s="79">
        <v>43004.32</v>
      </c>
    </row>
    <row r="975" spans="1:10" ht="15" thickBot="1">
      <c r="A975" s="98">
        <v>45024</v>
      </c>
      <c r="B975" s="80" t="s">
        <v>2682</v>
      </c>
      <c r="C975" s="80" t="s">
        <v>2651</v>
      </c>
      <c r="D975" s="80" t="s">
        <v>2646</v>
      </c>
      <c r="E975" s="80" t="s">
        <v>2642</v>
      </c>
      <c r="F975" s="80" t="s">
        <v>2661</v>
      </c>
      <c r="G975" s="80" t="s">
        <v>2695</v>
      </c>
      <c r="H975" s="79">
        <v>15</v>
      </c>
      <c r="I975" s="79">
        <v>2472.8000000000002</v>
      </c>
      <c r="J975" s="79">
        <v>37092</v>
      </c>
    </row>
    <row r="976" spans="1:10" ht="15" thickBot="1">
      <c r="A976" s="98" t="s">
        <v>2444</v>
      </c>
      <c r="B976" s="80" t="s">
        <v>2687</v>
      </c>
      <c r="C976" s="80" t="s">
        <v>2652</v>
      </c>
      <c r="D976" s="80" t="s">
        <v>2647</v>
      </c>
      <c r="E976" s="80" t="s">
        <v>2643</v>
      </c>
      <c r="F976" s="80" t="s">
        <v>2373</v>
      </c>
      <c r="G976" s="80" t="s">
        <v>2688</v>
      </c>
      <c r="H976" s="79">
        <v>3</v>
      </c>
      <c r="I976" s="79">
        <v>3814.12</v>
      </c>
      <c r="J976" s="79">
        <v>11442.36</v>
      </c>
    </row>
    <row r="977" spans="1:10" ht="15" thickBot="1">
      <c r="A977" s="98" t="s">
        <v>2467</v>
      </c>
      <c r="B977" s="80" t="s">
        <v>2687</v>
      </c>
      <c r="C977" s="80" t="s">
        <v>2656</v>
      </c>
      <c r="D977" s="80" t="s">
        <v>2648</v>
      </c>
      <c r="E977" s="80" t="s">
        <v>2641</v>
      </c>
      <c r="F977" s="80" t="s">
        <v>2373</v>
      </c>
      <c r="G977" s="80" t="s">
        <v>2697</v>
      </c>
      <c r="H977" s="79">
        <v>1</v>
      </c>
      <c r="I977" s="79">
        <v>2333.7800000000002</v>
      </c>
      <c r="J977" s="79">
        <v>2333.7800000000002</v>
      </c>
    </row>
    <row r="978" spans="1:10" ht="15" thickBot="1">
      <c r="A978" s="98" t="s">
        <v>2489</v>
      </c>
      <c r="B978" s="80" t="s">
        <v>2681</v>
      </c>
      <c r="C978" s="80" t="s">
        <v>2653</v>
      </c>
      <c r="D978" s="80" t="s">
        <v>2644</v>
      </c>
      <c r="E978" s="80" t="s">
        <v>2641</v>
      </c>
      <c r="F978" s="80" t="s">
        <v>2661</v>
      </c>
      <c r="G978" s="80" t="s">
        <v>2691</v>
      </c>
      <c r="H978" s="79">
        <v>10</v>
      </c>
      <c r="I978" s="79">
        <v>2628.56</v>
      </c>
      <c r="J978" s="79">
        <v>26285.599999999999</v>
      </c>
    </row>
    <row r="979" spans="1:10" ht="15" thickBot="1">
      <c r="A979" s="98" t="s">
        <v>2474</v>
      </c>
      <c r="B979" s="80" t="s">
        <v>2680</v>
      </c>
      <c r="C979" s="80" t="s">
        <v>2651</v>
      </c>
      <c r="D979" s="80" t="s">
        <v>2646</v>
      </c>
      <c r="E979" s="80" t="s">
        <v>2642</v>
      </c>
      <c r="F979" s="80" t="s">
        <v>2370</v>
      </c>
      <c r="G979" s="80" t="s">
        <v>1335</v>
      </c>
      <c r="H979" s="79">
        <v>16</v>
      </c>
      <c r="I979" s="79">
        <v>284.02</v>
      </c>
      <c r="J979" s="79">
        <v>4544.32</v>
      </c>
    </row>
    <row r="980" spans="1:10" ht="15" thickBot="1">
      <c r="A980" s="98" t="s">
        <v>2503</v>
      </c>
      <c r="B980" s="80" t="s">
        <v>2684</v>
      </c>
      <c r="C980" s="80" t="s">
        <v>2658</v>
      </c>
      <c r="D980" s="80" t="s">
        <v>2645</v>
      </c>
      <c r="E980" s="80" t="s">
        <v>2642</v>
      </c>
      <c r="F980" s="80" t="s">
        <v>2661</v>
      </c>
      <c r="G980" s="80" t="s">
        <v>2695</v>
      </c>
      <c r="H980" s="79">
        <v>8</v>
      </c>
      <c r="I980" s="79">
        <v>1011.67</v>
      </c>
      <c r="J980" s="79">
        <v>8093.36</v>
      </c>
    </row>
    <row r="981" spans="1:10" ht="15" thickBot="1">
      <c r="A981" s="98">
        <v>45141</v>
      </c>
      <c r="B981" s="80" t="s">
        <v>2685</v>
      </c>
      <c r="C981" s="80" t="s">
        <v>2659</v>
      </c>
      <c r="D981" s="80" t="s">
        <v>2647</v>
      </c>
      <c r="E981" s="80" t="s">
        <v>2643</v>
      </c>
      <c r="F981" s="80" t="s">
        <v>2661</v>
      </c>
      <c r="G981" s="80" t="s">
        <v>2696</v>
      </c>
      <c r="H981" s="79">
        <v>6</v>
      </c>
      <c r="I981" s="79">
        <v>3918.07</v>
      </c>
      <c r="J981" s="79">
        <v>23508.42</v>
      </c>
    </row>
    <row r="982" spans="1:10" ht="15" thickBot="1">
      <c r="A982" s="98" t="s">
        <v>2557</v>
      </c>
      <c r="B982" s="80" t="s">
        <v>2684</v>
      </c>
      <c r="C982" s="80" t="s">
        <v>2649</v>
      </c>
      <c r="D982" s="80" t="s">
        <v>2645</v>
      </c>
      <c r="E982" s="80" t="s">
        <v>2642</v>
      </c>
      <c r="F982" s="80" t="s">
        <v>2372</v>
      </c>
      <c r="G982" s="80" t="s">
        <v>2694</v>
      </c>
      <c r="H982" s="79">
        <v>2</v>
      </c>
      <c r="I982" s="79">
        <v>3313.63</v>
      </c>
      <c r="J982" s="79">
        <v>6627.26</v>
      </c>
    </row>
    <row r="983" spans="1:10" ht="15" thickBot="1">
      <c r="A983" s="98" t="s">
        <v>2610</v>
      </c>
      <c r="B983" s="80" t="s">
        <v>2686</v>
      </c>
      <c r="C983" s="80" t="s">
        <v>2654</v>
      </c>
      <c r="D983" s="80" t="s">
        <v>2646</v>
      </c>
      <c r="E983" s="80" t="s">
        <v>2642</v>
      </c>
      <c r="F983" s="80" t="s">
        <v>2372</v>
      </c>
      <c r="G983" s="80" t="s">
        <v>2693</v>
      </c>
      <c r="H983" s="79">
        <v>18</v>
      </c>
      <c r="I983" s="79">
        <v>809.24</v>
      </c>
      <c r="J983" s="79">
        <v>14566.32</v>
      </c>
    </row>
    <row r="984" spans="1:10" ht="15" thickBot="1">
      <c r="A984" s="98" t="s">
        <v>2589</v>
      </c>
      <c r="B984" s="80" t="s">
        <v>2680</v>
      </c>
      <c r="C984" s="80" t="s">
        <v>2660</v>
      </c>
      <c r="D984" s="80" t="s">
        <v>2647</v>
      </c>
      <c r="E984" s="80" t="s">
        <v>2643</v>
      </c>
      <c r="F984" s="80" t="s">
        <v>2661</v>
      </c>
      <c r="G984" s="80" t="s">
        <v>2698</v>
      </c>
      <c r="H984" s="79">
        <v>2</v>
      </c>
      <c r="I984" s="79">
        <v>2338.61</v>
      </c>
      <c r="J984" s="79">
        <v>4677.22</v>
      </c>
    </row>
    <row r="985" spans="1:10" ht="15" thickBot="1">
      <c r="A985" s="98" t="s">
        <v>2500</v>
      </c>
      <c r="B985" s="80" t="s">
        <v>2687</v>
      </c>
      <c r="C985" s="80" t="s">
        <v>2655</v>
      </c>
      <c r="D985" s="80" t="s">
        <v>2645</v>
      </c>
      <c r="E985" s="80" t="s">
        <v>2642</v>
      </c>
      <c r="F985" s="80" t="s">
        <v>2661</v>
      </c>
      <c r="G985" s="80" t="s">
        <v>2698</v>
      </c>
      <c r="H985" s="79">
        <v>18</v>
      </c>
      <c r="I985" s="79">
        <v>2773.93</v>
      </c>
      <c r="J985" s="79">
        <v>49930.74</v>
      </c>
    </row>
    <row r="986" spans="1:10" ht="15" thickBot="1">
      <c r="A986" s="98">
        <v>45172</v>
      </c>
      <c r="B986" s="80" t="s">
        <v>2681</v>
      </c>
      <c r="C986" s="80" t="s">
        <v>2393</v>
      </c>
      <c r="D986" s="80" t="s">
        <v>2644</v>
      </c>
      <c r="E986" s="80" t="s">
        <v>2641</v>
      </c>
      <c r="F986" s="80" t="s">
        <v>2661</v>
      </c>
      <c r="G986" s="80" t="s">
        <v>2696</v>
      </c>
      <c r="H986" s="79">
        <v>15</v>
      </c>
      <c r="I986" s="79">
        <v>2540.06</v>
      </c>
      <c r="J986" s="79">
        <v>38100.9</v>
      </c>
    </row>
    <row r="987" spans="1:10" ht="15" thickBot="1">
      <c r="A987" s="98" t="s">
        <v>2621</v>
      </c>
      <c r="B987" s="80" t="s">
        <v>2678</v>
      </c>
      <c r="C987" s="80" t="s">
        <v>2659</v>
      </c>
      <c r="D987" s="80" t="s">
        <v>2647</v>
      </c>
      <c r="E987" s="80" t="s">
        <v>2643</v>
      </c>
      <c r="F987" s="80" t="s">
        <v>2372</v>
      </c>
      <c r="G987" s="80" t="s">
        <v>2690</v>
      </c>
      <c r="H987" s="79">
        <v>4</v>
      </c>
      <c r="I987" s="79">
        <v>1178.71</v>
      </c>
      <c r="J987" s="79">
        <v>4714.84</v>
      </c>
    </row>
    <row r="988" spans="1:10" ht="15" thickBot="1">
      <c r="A988" s="98" t="s">
        <v>2602</v>
      </c>
      <c r="B988" s="80" t="s">
        <v>2685</v>
      </c>
      <c r="C988" s="80" t="s">
        <v>2654</v>
      </c>
      <c r="D988" s="80" t="s">
        <v>2646</v>
      </c>
      <c r="E988" s="80" t="s">
        <v>2642</v>
      </c>
      <c r="F988" s="80" t="s">
        <v>2661</v>
      </c>
      <c r="G988" s="80" t="s">
        <v>2691</v>
      </c>
      <c r="H988" s="79">
        <v>4</v>
      </c>
      <c r="I988" s="79">
        <v>4724.33</v>
      </c>
      <c r="J988" s="79">
        <v>18897.32</v>
      </c>
    </row>
    <row r="989" spans="1:10" ht="15" thickBot="1">
      <c r="A989" s="98" t="s">
        <v>2576</v>
      </c>
      <c r="B989" s="80" t="s">
        <v>2685</v>
      </c>
      <c r="C989" s="80" t="s">
        <v>2652</v>
      </c>
      <c r="D989" s="80" t="s">
        <v>2647</v>
      </c>
      <c r="E989" s="80" t="s">
        <v>2643</v>
      </c>
      <c r="F989" s="80" t="s">
        <v>2370</v>
      </c>
      <c r="G989" s="80" t="s">
        <v>2701</v>
      </c>
      <c r="H989" s="79">
        <v>7</v>
      </c>
      <c r="I989" s="79">
        <v>3481</v>
      </c>
      <c r="J989" s="79">
        <v>24367</v>
      </c>
    </row>
    <row r="990" spans="1:10" ht="15" thickBot="1">
      <c r="A990" s="98" t="s">
        <v>2553</v>
      </c>
      <c r="B990" s="80" t="s">
        <v>2687</v>
      </c>
      <c r="C990" s="80" t="s">
        <v>2656</v>
      </c>
      <c r="D990" s="80" t="s">
        <v>2648</v>
      </c>
      <c r="E990" s="80" t="s">
        <v>2641</v>
      </c>
      <c r="F990" s="80" t="s">
        <v>2373</v>
      </c>
      <c r="G990" s="80" t="s">
        <v>2688</v>
      </c>
      <c r="H990" s="79">
        <v>16</v>
      </c>
      <c r="I990" s="79">
        <v>4608.55</v>
      </c>
      <c r="J990" s="79">
        <v>73736.800000000003</v>
      </c>
    </row>
    <row r="991" spans="1:10" ht="15" thickBot="1">
      <c r="A991" s="98" t="s">
        <v>2595</v>
      </c>
      <c r="B991" s="80" t="s">
        <v>2686</v>
      </c>
      <c r="C991" s="80" t="s">
        <v>2393</v>
      </c>
      <c r="D991" s="80" t="s">
        <v>2644</v>
      </c>
      <c r="E991" s="80" t="s">
        <v>2641</v>
      </c>
      <c r="F991" s="80" t="s">
        <v>2370</v>
      </c>
      <c r="G991" s="80" t="s">
        <v>2702</v>
      </c>
      <c r="H991" s="79">
        <v>10</v>
      </c>
      <c r="I991" s="79">
        <v>2336.88</v>
      </c>
      <c r="J991" s="79">
        <v>23368.799999999999</v>
      </c>
    </row>
    <row r="992" spans="1:10" ht="15" thickBot="1">
      <c r="A992" s="98" t="s">
        <v>2547</v>
      </c>
      <c r="B992" s="80" t="s">
        <v>2678</v>
      </c>
      <c r="C992" s="80" t="s">
        <v>2650</v>
      </c>
      <c r="D992" s="80" t="s">
        <v>2646</v>
      </c>
      <c r="E992" s="80" t="s">
        <v>2642</v>
      </c>
      <c r="F992" s="80" t="s">
        <v>2374</v>
      </c>
      <c r="G992" s="80" t="s">
        <v>2704</v>
      </c>
      <c r="H992" s="79">
        <v>1</v>
      </c>
      <c r="I992" s="79">
        <v>2993.55</v>
      </c>
      <c r="J992" s="79">
        <v>2993.55</v>
      </c>
    </row>
    <row r="993" spans="1:10" ht="15" thickBot="1">
      <c r="A993" s="98" t="s">
        <v>2674</v>
      </c>
      <c r="B993" s="80" t="s">
        <v>2684</v>
      </c>
      <c r="C993" s="80" t="s">
        <v>2651</v>
      </c>
      <c r="D993" s="80" t="s">
        <v>2646</v>
      </c>
      <c r="E993" s="80" t="s">
        <v>2642</v>
      </c>
      <c r="F993" s="80" t="s">
        <v>2372</v>
      </c>
      <c r="G993" s="80" t="s">
        <v>2694</v>
      </c>
      <c r="H993" s="79">
        <v>19</v>
      </c>
      <c r="I993" s="79">
        <v>4080.77</v>
      </c>
      <c r="J993" s="79">
        <v>77534.63</v>
      </c>
    </row>
    <row r="994" spans="1:10" ht="15" thickBot="1">
      <c r="A994" s="98" t="s">
        <v>2635</v>
      </c>
      <c r="B994" s="80" t="s">
        <v>2679</v>
      </c>
      <c r="C994" s="80" t="s">
        <v>2655</v>
      </c>
      <c r="D994" s="80" t="s">
        <v>2645</v>
      </c>
      <c r="E994" s="80" t="s">
        <v>2642</v>
      </c>
      <c r="F994" s="80" t="s">
        <v>2372</v>
      </c>
      <c r="G994" s="80" t="s">
        <v>2699</v>
      </c>
      <c r="H994" s="79">
        <v>4</v>
      </c>
      <c r="I994" s="79">
        <v>3659.61</v>
      </c>
      <c r="J994" s="79">
        <v>14638.44</v>
      </c>
    </row>
    <row r="995" spans="1:10" ht="15" thickBot="1">
      <c r="A995" s="98">
        <v>45109</v>
      </c>
      <c r="B995" s="80" t="s">
        <v>2682</v>
      </c>
      <c r="C995" s="80" t="s">
        <v>2652</v>
      </c>
      <c r="D995" s="80" t="s">
        <v>2647</v>
      </c>
      <c r="E995" s="80" t="s">
        <v>2643</v>
      </c>
      <c r="F995" s="80" t="s">
        <v>2372</v>
      </c>
      <c r="G995" s="80" t="s">
        <v>2699</v>
      </c>
      <c r="H995" s="79">
        <v>12</v>
      </c>
      <c r="I995" s="79">
        <v>1819.46</v>
      </c>
      <c r="J995" s="79">
        <v>21833.52</v>
      </c>
    </row>
    <row r="996" spans="1:10" ht="15" thickBot="1">
      <c r="A996" s="98" t="s">
        <v>2636</v>
      </c>
      <c r="B996" s="80" t="s">
        <v>2681</v>
      </c>
      <c r="C996" s="80" t="s">
        <v>2650</v>
      </c>
      <c r="D996" s="80" t="s">
        <v>2646</v>
      </c>
      <c r="E996" s="80" t="s">
        <v>2642</v>
      </c>
      <c r="F996" s="80" t="s">
        <v>2370</v>
      </c>
      <c r="G996" s="80" t="s">
        <v>2701</v>
      </c>
      <c r="H996" s="79">
        <v>13</v>
      </c>
      <c r="I996" s="79">
        <v>3520.87</v>
      </c>
      <c r="J996" s="79">
        <v>45771.31</v>
      </c>
    </row>
    <row r="997" spans="1:10" ht="15" thickBot="1">
      <c r="A997" s="98" t="s">
        <v>2510</v>
      </c>
      <c r="B997" s="80" t="s">
        <v>2684</v>
      </c>
      <c r="C997" s="80" t="s">
        <v>2654</v>
      </c>
      <c r="D997" s="80" t="s">
        <v>2646</v>
      </c>
      <c r="E997" s="80" t="s">
        <v>2642</v>
      </c>
      <c r="F997" s="80" t="s">
        <v>2661</v>
      </c>
      <c r="G997" s="80" t="s">
        <v>2698</v>
      </c>
      <c r="H997" s="79">
        <v>14</v>
      </c>
      <c r="I997" s="79">
        <v>4532.88</v>
      </c>
      <c r="J997" s="79">
        <v>63460.32</v>
      </c>
    </row>
    <row r="998" spans="1:10" ht="15" thickBot="1">
      <c r="A998" s="98" t="s">
        <v>2497</v>
      </c>
      <c r="B998" s="80" t="s">
        <v>2682</v>
      </c>
      <c r="C998" s="80" t="s">
        <v>2653</v>
      </c>
      <c r="D998" s="80" t="s">
        <v>2644</v>
      </c>
      <c r="E998" s="80" t="s">
        <v>2641</v>
      </c>
      <c r="F998" s="80" t="s">
        <v>2373</v>
      </c>
      <c r="G998" s="80" t="s">
        <v>2697</v>
      </c>
      <c r="H998" s="79">
        <v>6</v>
      </c>
      <c r="I998" s="79">
        <v>1709.52</v>
      </c>
      <c r="J998" s="79">
        <v>10257.120000000001</v>
      </c>
    </row>
    <row r="999" spans="1:10" ht="15" thickBot="1">
      <c r="A999" s="98" t="s">
        <v>2669</v>
      </c>
      <c r="B999" s="80" t="s">
        <v>2687</v>
      </c>
      <c r="C999" s="80" t="s">
        <v>2658</v>
      </c>
      <c r="D999" s="80" t="s">
        <v>2645</v>
      </c>
      <c r="E999" s="80" t="s">
        <v>2642</v>
      </c>
      <c r="F999" s="80" t="s">
        <v>2372</v>
      </c>
      <c r="G999" s="80" t="s">
        <v>2690</v>
      </c>
      <c r="H999" s="79">
        <v>10</v>
      </c>
      <c r="I999" s="79">
        <v>3803.22</v>
      </c>
      <c r="J999" s="79">
        <v>38032.199999999997</v>
      </c>
    </row>
    <row r="1000" spans="1:10" ht="15" thickBot="1">
      <c r="A1000" s="98">
        <v>44958</v>
      </c>
      <c r="B1000" s="80" t="s">
        <v>2686</v>
      </c>
      <c r="C1000" s="80" t="s">
        <v>2658</v>
      </c>
      <c r="D1000" s="80" t="s">
        <v>2645</v>
      </c>
      <c r="E1000" s="80" t="s">
        <v>2642</v>
      </c>
      <c r="F1000" s="80" t="s">
        <v>2374</v>
      </c>
      <c r="G1000" s="80" t="s">
        <v>2704</v>
      </c>
      <c r="H1000" s="79">
        <v>15</v>
      </c>
      <c r="I1000" s="79">
        <v>1853</v>
      </c>
      <c r="J1000" s="79">
        <v>27795</v>
      </c>
    </row>
    <row r="1001" spans="1:10" ht="15" thickBot="1">
      <c r="A1001" s="98">
        <v>45018</v>
      </c>
      <c r="B1001" s="80" t="s">
        <v>2687</v>
      </c>
      <c r="C1001" s="80" t="s">
        <v>2392</v>
      </c>
      <c r="D1001" s="80" t="s">
        <v>2644</v>
      </c>
      <c r="E1001" s="80" t="s">
        <v>2641</v>
      </c>
      <c r="F1001" s="80" t="s">
        <v>2372</v>
      </c>
      <c r="G1001" s="80" t="s">
        <v>2693</v>
      </c>
      <c r="H1001" s="79">
        <v>2</v>
      </c>
      <c r="I1001" s="79">
        <v>2623.43</v>
      </c>
      <c r="J1001" s="79">
        <v>5246.86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B8729-FCF8-420D-964A-95D08739CD26}">
  <sheetPr codeName="Sheet17"/>
  <dimension ref="A1:J9"/>
  <sheetViews>
    <sheetView topLeftCell="G1" workbookViewId="0">
      <selection activeCell="F1" sqref="F1"/>
    </sheetView>
  </sheetViews>
  <sheetFormatPr defaultRowHeight="14.5"/>
  <cols>
    <col min="1" max="1" width="13.7265625" customWidth="1"/>
    <col min="2" max="3" width="15.6328125" customWidth="1"/>
    <col min="4" max="4" width="15.453125" customWidth="1"/>
    <col min="5" max="5" width="15" customWidth="1"/>
    <col min="10" max="10" width="15.453125" customWidth="1"/>
  </cols>
  <sheetData>
    <row r="1" spans="1:10" ht="15" thickBot="1">
      <c r="A1" s="115" t="s">
        <v>2799</v>
      </c>
      <c r="B1" s="114" t="s">
        <v>2805</v>
      </c>
      <c r="C1" s="114"/>
      <c r="D1" s="114" t="s">
        <v>2806</v>
      </c>
      <c r="E1" s="118" t="s">
        <v>2807</v>
      </c>
    </row>
    <row r="2" spans="1:10" ht="15" thickBot="1">
      <c r="A2" s="116" t="s">
        <v>2800</v>
      </c>
      <c r="B2" s="117">
        <v>45292</v>
      </c>
      <c r="C2" s="117"/>
      <c r="D2" s="117">
        <v>45382</v>
      </c>
      <c r="E2">
        <f>D2-B2</f>
        <v>90</v>
      </c>
    </row>
    <row r="3" spans="1:10" ht="15" thickBot="1">
      <c r="A3" s="116" t="s">
        <v>2801</v>
      </c>
      <c r="B3" s="117">
        <v>45337</v>
      </c>
      <c r="C3" s="117"/>
      <c r="D3" s="117">
        <v>45442</v>
      </c>
      <c r="E3">
        <f t="shared" ref="E3:E6" si="0">D3-B3</f>
        <v>105</v>
      </c>
    </row>
    <row r="4" spans="1:10" ht="15" thickBot="1">
      <c r="A4" s="116" t="s">
        <v>2802</v>
      </c>
      <c r="B4" s="117">
        <v>45352</v>
      </c>
      <c r="C4" s="117"/>
      <c r="D4" s="117">
        <v>45458</v>
      </c>
      <c r="E4">
        <f t="shared" si="0"/>
        <v>106</v>
      </c>
      <c r="G4">
        <v>2026</v>
      </c>
      <c r="H4">
        <v>3</v>
      </c>
      <c r="I4">
        <v>16</v>
      </c>
      <c r="J4" s="62">
        <f>DATE(G4,H4,I4)</f>
        <v>46097</v>
      </c>
    </row>
    <row r="5" spans="1:10" ht="15" thickBot="1">
      <c r="A5" s="116" t="s">
        <v>2803</v>
      </c>
      <c r="B5" s="117">
        <v>45392</v>
      </c>
      <c r="C5" s="117"/>
      <c r="D5" s="117">
        <v>45498</v>
      </c>
      <c r="E5">
        <f t="shared" si="0"/>
        <v>106</v>
      </c>
    </row>
    <row r="6" spans="1:10" ht="15" thickBot="1">
      <c r="A6" s="116" t="s">
        <v>2804</v>
      </c>
      <c r="B6" s="117">
        <v>45417</v>
      </c>
      <c r="C6" s="117"/>
      <c r="D6" s="117">
        <v>45514</v>
      </c>
      <c r="E6">
        <f t="shared" si="0"/>
        <v>97</v>
      </c>
    </row>
    <row r="9" spans="1:10">
      <c r="B9" s="11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AD7C0-031E-48DD-B1D3-51E8CAA4BBF1}">
  <sheetPr codeName="Sheet18"/>
  <dimension ref="A1:G14"/>
  <sheetViews>
    <sheetView topLeftCell="B1" workbookViewId="0">
      <selection activeCell="G2" sqref="G2"/>
    </sheetView>
  </sheetViews>
  <sheetFormatPr defaultRowHeight="14.5"/>
  <cols>
    <col min="1" max="1" width="14" customWidth="1"/>
    <col min="2" max="2" width="17" customWidth="1"/>
    <col min="3" max="3" width="15.90625" customWidth="1"/>
    <col min="4" max="4" width="17.54296875" customWidth="1"/>
    <col min="5" max="5" width="22.26953125" customWidth="1"/>
  </cols>
  <sheetData>
    <row r="1" spans="1:7" ht="15" thickBot="1">
      <c r="A1" s="114" t="s">
        <v>0</v>
      </c>
      <c r="B1" s="114" t="s">
        <v>2808</v>
      </c>
      <c r="C1" s="114" t="s">
        <v>2814</v>
      </c>
      <c r="D1" s="114" t="s">
        <v>2815</v>
      </c>
    </row>
    <row r="2" spans="1:7" ht="15" thickBot="1">
      <c r="A2" s="16">
        <v>101</v>
      </c>
      <c r="B2" s="18" t="s">
        <v>2809</v>
      </c>
      <c r="C2" s="117">
        <v>43845</v>
      </c>
      <c r="D2" s="117">
        <v>33066</v>
      </c>
      <c r="E2">
        <f ca="1">DATEDIF(D2,TODAY(),"Y")</f>
        <v>35</v>
      </c>
      <c r="G2" s="48"/>
    </row>
    <row r="3" spans="1:7" ht="15" thickBot="1">
      <c r="A3" s="16">
        <v>102</v>
      </c>
      <c r="B3" s="18" t="s">
        <v>2810</v>
      </c>
      <c r="C3" s="117">
        <v>43617</v>
      </c>
      <c r="D3" s="117">
        <v>31374</v>
      </c>
      <c r="E3">
        <f t="shared" ref="E3:E6" ca="1" si="0">DATEDIF(D3,TODAY(),"Y")</f>
        <v>40</v>
      </c>
    </row>
    <row r="4" spans="1:7" ht="15" thickBot="1">
      <c r="A4" s="16">
        <v>103</v>
      </c>
      <c r="B4" s="18" t="s">
        <v>2811</v>
      </c>
      <c r="C4" s="117">
        <v>44459</v>
      </c>
      <c r="D4" s="117">
        <v>33738</v>
      </c>
      <c r="E4">
        <f t="shared" ca="1" si="0"/>
        <v>33</v>
      </c>
    </row>
    <row r="5" spans="1:7" ht="15" thickBot="1">
      <c r="A5" s="16">
        <v>104</v>
      </c>
      <c r="B5" s="18" t="s">
        <v>2812</v>
      </c>
      <c r="C5" s="117">
        <v>44140</v>
      </c>
      <c r="D5" s="117">
        <v>34972</v>
      </c>
      <c r="E5">
        <f t="shared" ca="1" si="0"/>
        <v>30</v>
      </c>
    </row>
    <row r="6" spans="1:7" ht="15" thickBot="1">
      <c r="A6" s="16">
        <v>105</v>
      </c>
      <c r="B6" s="18" t="s">
        <v>2813</v>
      </c>
      <c r="C6" s="117">
        <v>43181</v>
      </c>
      <c r="D6" s="117">
        <v>32191</v>
      </c>
      <c r="E6">
        <f t="shared" ca="1" si="0"/>
        <v>38</v>
      </c>
    </row>
    <row r="9" spans="1:7" ht="15" thickBot="1"/>
    <row r="10" spans="1:7" ht="15" thickBot="1">
      <c r="C10" s="117">
        <v>43845</v>
      </c>
      <c r="D10" s="62">
        <f>EOMONTH(C10,2)</f>
        <v>43921</v>
      </c>
    </row>
    <row r="11" spans="1:7" ht="15" thickBot="1">
      <c r="C11" s="117">
        <v>43617</v>
      </c>
      <c r="D11" s="62">
        <f t="shared" ref="D11:D14" si="1">EOMONTH(C11,2)</f>
        <v>43708</v>
      </c>
    </row>
    <row r="12" spans="1:7" ht="15" thickBot="1">
      <c r="C12" s="117">
        <v>44459</v>
      </c>
      <c r="D12" s="62">
        <f t="shared" si="1"/>
        <v>44530</v>
      </c>
    </row>
    <row r="13" spans="1:7" ht="15" thickBot="1">
      <c r="C13" s="117">
        <v>44140</v>
      </c>
      <c r="D13" s="62">
        <f t="shared" si="1"/>
        <v>44227</v>
      </c>
    </row>
    <row r="14" spans="1:7" ht="15" thickBot="1">
      <c r="C14" s="117">
        <v>43181</v>
      </c>
      <c r="D14" s="62">
        <f t="shared" si="1"/>
        <v>43251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81566-DEA3-4ED4-BFC5-85A767DE4AE4}">
  <sheetPr codeName="Sheet19"/>
  <dimension ref="A1:F32"/>
  <sheetViews>
    <sheetView workbookViewId="0">
      <selection activeCell="B4" sqref="B4"/>
    </sheetView>
  </sheetViews>
  <sheetFormatPr defaultRowHeight="14.5"/>
  <cols>
    <col min="1" max="1" width="22.08984375" customWidth="1"/>
    <col min="2" max="2" width="18.453125" customWidth="1"/>
    <col min="6" max="6" width="16.6328125" customWidth="1"/>
  </cols>
  <sheetData>
    <row r="1" spans="1:6" ht="15" thickBot="1">
      <c r="B1" s="121" t="s">
        <v>2816</v>
      </c>
      <c r="F1" s="121" t="s">
        <v>2817</v>
      </c>
    </row>
    <row r="2" spans="1:6" ht="15" thickBot="1">
      <c r="A2" s="120">
        <v>45303</v>
      </c>
      <c r="F2" s="63">
        <v>45455</v>
      </c>
    </row>
    <row r="3" spans="1:6" ht="15" thickBot="1">
      <c r="A3" s="63">
        <v>45334</v>
      </c>
      <c r="B3" t="e">
        <f>NETWORKDAYS(A2,A32,F2:F3)</f>
        <v>#VALUE!</v>
      </c>
      <c r="F3" s="63" t="s">
        <v>2819</v>
      </c>
    </row>
    <row r="4" spans="1:6" ht="15" thickBot="1">
      <c r="A4" s="63">
        <v>45363</v>
      </c>
    </row>
    <row r="5" spans="1:6" ht="15" thickBot="1">
      <c r="A5" s="63">
        <v>45394</v>
      </c>
    </row>
    <row r="6" spans="1:6" ht="15" thickBot="1">
      <c r="A6" s="63">
        <v>45424</v>
      </c>
    </row>
    <row r="7" spans="1:6" ht="15" thickBot="1">
      <c r="A7" s="63">
        <v>45455</v>
      </c>
    </row>
    <row r="8" spans="1:6" ht="15" thickBot="1">
      <c r="A8" s="63">
        <v>45485</v>
      </c>
    </row>
    <row r="9" spans="1:6" ht="15" thickBot="1">
      <c r="A9" s="63">
        <v>45516</v>
      </c>
    </row>
    <row r="10" spans="1:6" ht="15" thickBot="1">
      <c r="A10" s="63">
        <v>45547</v>
      </c>
    </row>
    <row r="11" spans="1:6" ht="15" thickBot="1">
      <c r="A11" s="63">
        <v>45577</v>
      </c>
    </row>
    <row r="12" spans="1:6" ht="15" thickBot="1">
      <c r="A12" s="63">
        <v>45608</v>
      </c>
    </row>
    <row r="13" spans="1:6" ht="15" thickBot="1">
      <c r="A13" s="63">
        <v>45638</v>
      </c>
    </row>
    <row r="14" spans="1:6" ht="15" thickBot="1">
      <c r="A14" s="63" t="s">
        <v>2821</v>
      </c>
    </row>
    <row r="15" spans="1:6" ht="15" thickBot="1">
      <c r="A15" s="63" t="s">
        <v>2822</v>
      </c>
    </row>
    <row r="16" spans="1:6" ht="15" thickBot="1">
      <c r="A16" s="63" t="s">
        <v>2823</v>
      </c>
    </row>
    <row r="17" spans="1:1" ht="15" thickBot="1">
      <c r="A17" s="63" t="s">
        <v>2824</v>
      </c>
    </row>
    <row r="18" spans="1:1" ht="15" thickBot="1">
      <c r="A18" s="63" t="s">
        <v>2825</v>
      </c>
    </row>
    <row r="19" spans="1:1" ht="15" thickBot="1">
      <c r="A19" s="63" t="s">
        <v>2826</v>
      </c>
    </row>
    <row r="20" spans="1:1" ht="15" thickBot="1">
      <c r="A20" s="63" t="s">
        <v>2827</v>
      </c>
    </row>
    <row r="21" spans="1:1" ht="15" thickBot="1">
      <c r="A21" s="63" t="s">
        <v>2828</v>
      </c>
    </row>
    <row r="22" spans="1:1" ht="15" thickBot="1">
      <c r="A22" s="63" t="s">
        <v>2829</v>
      </c>
    </row>
    <row r="23" spans="1:1" ht="15" thickBot="1">
      <c r="A23" s="63" t="s">
        <v>2830</v>
      </c>
    </row>
    <row r="24" spans="1:1" ht="15" thickBot="1">
      <c r="A24" s="63" t="s">
        <v>2831</v>
      </c>
    </row>
    <row r="25" spans="1:1" ht="15" thickBot="1">
      <c r="A25" s="63" t="s">
        <v>2832</v>
      </c>
    </row>
    <row r="26" spans="1:1" ht="15" thickBot="1">
      <c r="A26" s="63" t="s">
        <v>2819</v>
      </c>
    </row>
    <row r="27" spans="1:1" ht="15" thickBot="1">
      <c r="A27" s="63" t="s">
        <v>2833</v>
      </c>
    </row>
    <row r="28" spans="1:1" ht="15" thickBot="1">
      <c r="A28" s="63" t="s">
        <v>2834</v>
      </c>
    </row>
    <row r="29" spans="1:1" ht="15" thickBot="1">
      <c r="A29" s="16" t="s">
        <v>2835</v>
      </c>
    </row>
    <row r="30" spans="1:1" ht="15" thickBot="1">
      <c r="A30" s="16" t="s">
        <v>2836</v>
      </c>
    </row>
    <row r="31" spans="1:1" ht="15" thickBot="1">
      <c r="A31" s="16" t="s">
        <v>2820</v>
      </c>
    </row>
    <row r="32" spans="1:1" ht="15" thickBot="1">
      <c r="A32" s="122" t="s">
        <v>2818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2A2E1-062F-45D3-B8ED-80357C0160DF}">
  <sheetPr codeName="Sheet20"/>
  <dimension ref="A1:L22"/>
  <sheetViews>
    <sheetView showGridLines="0" showRowColHeaders="0" tabSelected="1" workbookViewId="0">
      <selection activeCell="K2" sqref="K2"/>
    </sheetView>
  </sheetViews>
  <sheetFormatPr defaultRowHeight="14.5"/>
  <cols>
    <col min="1" max="1" width="15.6328125" customWidth="1"/>
    <col min="2" max="2" width="10.90625" customWidth="1"/>
    <col min="3" max="3" width="2.453125" customWidth="1"/>
    <col min="4" max="4" width="15.6328125" customWidth="1"/>
    <col min="5" max="5" width="10.6328125" customWidth="1"/>
    <col min="6" max="6" width="2.453125" customWidth="1"/>
    <col min="7" max="7" width="15.90625" customWidth="1"/>
    <col min="8" max="8" width="15.26953125" bestFit="1" customWidth="1"/>
    <col min="9" max="9" width="2.90625" customWidth="1"/>
    <col min="10" max="10" width="17.81640625" customWidth="1"/>
    <col min="11" max="11" width="23.90625" customWidth="1"/>
  </cols>
  <sheetData>
    <row r="1" spans="1:12" ht="42" customHeight="1">
      <c r="A1" s="139" t="b">
        <v>1</v>
      </c>
      <c r="B1" s="139"/>
      <c r="C1" s="139"/>
      <c r="D1" s="139" t="b">
        <v>0</v>
      </c>
      <c r="E1" s="139"/>
      <c r="F1" s="139"/>
      <c r="G1" s="139" t="b">
        <v>0</v>
      </c>
      <c r="H1" s="139"/>
      <c r="I1" s="139"/>
      <c r="J1" s="139" t="b">
        <v>1</v>
      </c>
      <c r="K1" s="139"/>
      <c r="L1" s="139"/>
    </row>
    <row r="2" spans="1:12" ht="45.5" customHeight="1">
      <c r="A2" s="139"/>
      <c r="B2" s="139"/>
      <c r="C2" s="139"/>
      <c r="D2" s="139"/>
      <c r="E2" s="139"/>
      <c r="F2" s="139"/>
      <c r="G2" s="139"/>
      <c r="H2" s="139"/>
      <c r="I2" s="139"/>
      <c r="J2" s="139"/>
      <c r="K2" s="139"/>
      <c r="L2" s="139"/>
    </row>
    <row r="3" spans="1:12">
      <c r="A3" s="124" t="s">
        <v>2841</v>
      </c>
      <c r="B3" t="s">
        <v>3135</v>
      </c>
      <c r="C3" s="139"/>
      <c r="D3" s="124" t="s">
        <v>2841</v>
      </c>
      <c r="E3" t="s">
        <v>3135</v>
      </c>
      <c r="F3" s="139"/>
      <c r="G3" s="124" t="s">
        <v>2841</v>
      </c>
      <c r="H3" t="s">
        <v>3136</v>
      </c>
      <c r="I3" s="139"/>
      <c r="J3" s="124" t="s">
        <v>2841</v>
      </c>
      <c r="K3" t="s">
        <v>3137</v>
      </c>
      <c r="L3" s="139"/>
    </row>
    <row r="4" spans="1:12">
      <c r="A4" s="125" t="s">
        <v>3096</v>
      </c>
      <c r="B4" s="126">
        <v>351</v>
      </c>
      <c r="C4" s="139"/>
      <c r="D4" s="125" t="s">
        <v>3108</v>
      </c>
      <c r="E4" s="126">
        <v>166</v>
      </c>
      <c r="F4" s="139"/>
      <c r="G4" s="125" t="s">
        <v>3129</v>
      </c>
      <c r="H4" s="136">
        <v>0.76400000000000001</v>
      </c>
      <c r="I4" s="139"/>
      <c r="J4" s="125" t="s">
        <v>3088</v>
      </c>
      <c r="K4" s="136">
        <v>0.51</v>
      </c>
      <c r="L4" s="139"/>
    </row>
    <row r="5" spans="1:12">
      <c r="A5" s="125" t="s">
        <v>3072</v>
      </c>
      <c r="B5" s="126">
        <v>351</v>
      </c>
      <c r="C5" s="139"/>
      <c r="D5" s="125" t="s">
        <v>3064</v>
      </c>
      <c r="E5" s="126">
        <v>143</v>
      </c>
      <c r="F5" s="139"/>
      <c r="G5" s="125" t="s">
        <v>2994</v>
      </c>
      <c r="H5" s="136">
        <v>0.75800000000000001</v>
      </c>
      <c r="I5" s="139"/>
      <c r="J5" s="125" t="s">
        <v>3080</v>
      </c>
      <c r="K5" s="136">
        <v>0.438</v>
      </c>
      <c r="L5" s="139"/>
    </row>
    <row r="6" spans="1:12">
      <c r="A6" s="125" t="s">
        <v>2992</v>
      </c>
      <c r="B6" s="126">
        <v>339</v>
      </c>
      <c r="C6" s="139"/>
      <c r="D6" s="125" t="s">
        <v>3062</v>
      </c>
      <c r="E6" s="126">
        <v>156</v>
      </c>
      <c r="F6" s="139"/>
      <c r="G6" s="125" t="s">
        <v>3103</v>
      </c>
      <c r="H6" s="136">
        <v>0.77800000000000002</v>
      </c>
      <c r="I6" s="139"/>
      <c r="J6" s="125" t="s">
        <v>3064</v>
      </c>
      <c r="K6" s="136">
        <v>0.71399999999999997</v>
      </c>
      <c r="L6" s="139"/>
    </row>
    <row r="7" spans="1:12">
      <c r="A7" s="125" t="s">
        <v>3024</v>
      </c>
      <c r="B7" s="126">
        <v>332</v>
      </c>
      <c r="C7" s="139"/>
      <c r="D7" s="125" t="s">
        <v>3060</v>
      </c>
      <c r="E7" s="126">
        <v>171</v>
      </c>
      <c r="F7" s="139"/>
      <c r="G7" s="125" t="s">
        <v>3075</v>
      </c>
      <c r="H7" s="136">
        <v>0.76800000000000002</v>
      </c>
      <c r="I7" s="139"/>
      <c r="J7" s="125" t="s">
        <v>3032</v>
      </c>
      <c r="K7" s="136">
        <v>0.58599999999999997</v>
      </c>
      <c r="L7" s="139"/>
    </row>
    <row r="8" spans="1:12">
      <c r="A8" s="125" t="s">
        <v>3016</v>
      </c>
      <c r="B8" s="126">
        <v>344</v>
      </c>
      <c r="C8" s="139"/>
      <c r="D8" s="125" t="s">
        <v>3057</v>
      </c>
      <c r="E8" s="126">
        <v>166</v>
      </c>
      <c r="F8" s="139"/>
      <c r="G8" s="125" t="s">
        <v>3055</v>
      </c>
      <c r="H8" s="136">
        <v>0.77</v>
      </c>
      <c r="I8" s="139"/>
      <c r="J8" s="125" t="s">
        <v>3000</v>
      </c>
      <c r="K8" s="136">
        <v>0.622</v>
      </c>
      <c r="L8" s="139"/>
    </row>
    <row r="9" spans="1:12">
      <c r="A9" s="139"/>
      <c r="B9" s="139"/>
      <c r="C9" s="139"/>
      <c r="D9" s="139"/>
      <c r="E9" s="139"/>
      <c r="F9" s="139"/>
      <c r="G9" s="139"/>
      <c r="H9" s="139"/>
      <c r="I9" s="139"/>
      <c r="J9" s="139"/>
      <c r="K9" s="139"/>
      <c r="L9" s="139"/>
    </row>
    <row r="10" spans="1:12">
      <c r="A10" s="139"/>
      <c r="B10" s="139"/>
      <c r="C10" s="139"/>
      <c r="D10" s="139"/>
      <c r="E10" s="139"/>
      <c r="F10" s="139"/>
      <c r="G10" s="139"/>
      <c r="H10" s="139"/>
      <c r="I10" s="139"/>
      <c r="J10" s="139"/>
      <c r="K10" s="139"/>
      <c r="L10" s="139"/>
    </row>
    <row r="11" spans="1:12">
      <c r="A11" s="139"/>
      <c r="B11" s="139"/>
      <c r="C11" s="139"/>
      <c r="D11" s="139"/>
      <c r="E11" s="139"/>
      <c r="F11" s="139"/>
      <c r="G11" s="139"/>
      <c r="H11" s="139"/>
      <c r="I11" s="139"/>
      <c r="J11" s="139"/>
      <c r="K11" s="139"/>
      <c r="L11" s="139"/>
    </row>
    <row r="12" spans="1:12">
      <c r="A12" s="139"/>
      <c r="B12" s="139"/>
      <c r="C12" s="139"/>
      <c r="D12" s="139"/>
      <c r="E12" s="139"/>
      <c r="F12" s="139"/>
      <c r="G12" s="139"/>
      <c r="H12" s="139"/>
      <c r="I12" s="139"/>
      <c r="J12" s="139"/>
      <c r="K12" s="139"/>
      <c r="L12" s="139"/>
    </row>
    <row r="13" spans="1:12">
      <c r="A13" s="139"/>
      <c r="B13" s="139"/>
      <c r="C13" s="139"/>
      <c r="D13" s="139"/>
      <c r="E13" s="139"/>
      <c r="F13" s="139"/>
      <c r="G13" s="139"/>
      <c r="H13" s="139"/>
      <c r="I13" s="139"/>
      <c r="J13" s="139"/>
      <c r="K13" s="139"/>
      <c r="L13" s="139"/>
    </row>
    <row r="14" spans="1:12">
      <c r="A14" s="139"/>
      <c r="B14" s="139"/>
      <c r="C14" s="139"/>
      <c r="D14" s="139"/>
      <c r="E14" s="139"/>
      <c r="F14" s="139"/>
      <c r="G14" s="139"/>
      <c r="H14" s="139"/>
      <c r="I14" s="139"/>
      <c r="J14" s="139"/>
      <c r="K14" s="139"/>
      <c r="L14" s="139"/>
    </row>
    <row r="15" spans="1:12">
      <c r="A15" s="139"/>
      <c r="B15" s="139"/>
      <c r="C15" s="139"/>
      <c r="D15" s="139"/>
      <c r="E15" s="139"/>
      <c r="F15" s="139"/>
      <c r="G15" s="139"/>
      <c r="H15" s="139"/>
      <c r="I15" s="139"/>
      <c r="J15" s="139"/>
      <c r="K15" s="139"/>
      <c r="L15" s="139"/>
    </row>
    <row r="16" spans="1:12">
      <c r="A16" s="139"/>
      <c r="B16" s="139"/>
      <c r="C16" s="139"/>
      <c r="D16" s="139"/>
      <c r="E16" s="139"/>
      <c r="F16" s="139"/>
      <c r="G16" s="139"/>
      <c r="H16" s="139"/>
      <c r="I16" s="139"/>
      <c r="J16" s="139"/>
      <c r="K16" s="139"/>
      <c r="L16" s="139"/>
    </row>
    <row r="17" spans="1:12">
      <c r="A17" s="139"/>
      <c r="B17" s="139"/>
      <c r="C17" s="139"/>
      <c r="D17" s="139"/>
      <c r="E17" s="139"/>
      <c r="F17" s="139"/>
      <c r="G17" s="139"/>
      <c r="H17" s="139"/>
      <c r="I17" s="139"/>
      <c r="J17" s="139"/>
      <c r="K17" s="139"/>
      <c r="L17" s="139"/>
    </row>
    <row r="18" spans="1:12">
      <c r="A18" s="139"/>
      <c r="B18" s="139"/>
      <c r="C18" s="139"/>
      <c r="D18" s="139"/>
      <c r="E18" s="139"/>
      <c r="F18" s="139"/>
      <c r="G18" s="139"/>
      <c r="H18" s="139"/>
      <c r="I18" s="139"/>
      <c r="J18" s="139"/>
      <c r="K18" s="139"/>
      <c r="L18" s="139"/>
    </row>
    <row r="19" spans="1:12">
      <c r="A19" s="139"/>
      <c r="B19" s="139"/>
      <c r="C19" s="139"/>
      <c r="D19" s="139"/>
      <c r="E19" s="139"/>
      <c r="F19" s="139"/>
      <c r="G19" s="139"/>
      <c r="H19" s="139"/>
      <c r="I19" s="139"/>
      <c r="J19" s="139"/>
      <c r="K19" s="139"/>
      <c r="L19" s="139"/>
    </row>
    <row r="20" spans="1:12">
      <c r="A20" s="139"/>
      <c r="B20" s="139"/>
      <c r="C20" s="139"/>
      <c r="D20" s="139"/>
      <c r="E20" s="139"/>
      <c r="F20" s="139"/>
      <c r="G20" s="139"/>
      <c r="H20" s="139"/>
      <c r="I20" s="139"/>
      <c r="J20" s="139"/>
      <c r="K20" s="139"/>
      <c r="L20" s="139"/>
    </row>
    <row r="21" spans="1:12">
      <c r="A21" s="139"/>
      <c r="B21" s="139"/>
      <c r="C21" s="139"/>
      <c r="D21" s="139"/>
      <c r="E21" s="139"/>
      <c r="F21" s="139"/>
      <c r="G21" s="139"/>
      <c r="H21" s="139"/>
      <c r="I21" s="139"/>
      <c r="J21" s="139"/>
      <c r="K21" s="139"/>
      <c r="L21" s="139"/>
    </row>
    <row r="22" spans="1:12">
      <c r="A22" s="139"/>
      <c r="B22" s="139"/>
      <c r="C22" s="139"/>
      <c r="D22" s="139"/>
      <c r="E22" s="139"/>
      <c r="F22" s="139"/>
      <c r="G22" s="139"/>
      <c r="H22" s="139"/>
      <c r="I22" s="139"/>
      <c r="J22" s="139"/>
      <c r="K22" s="139"/>
      <c r="L22" s="13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1505" r:id="rId7" name="Check Box 1">
              <controlPr defaultSize="0" autoFill="0" autoLine="0" autoPict="0" macro="[0]!Slicerconnection">
                <anchor moveWithCells="1">
                  <from>
                    <xdr:col>0</xdr:col>
                    <xdr:colOff>457200</xdr:colOff>
                    <xdr:row>1</xdr:row>
                    <xdr:rowOff>0</xdr:rowOff>
                  </from>
                  <to>
                    <xdr:col>1</xdr:col>
                    <xdr:colOff>457200</xdr:colOff>
                    <xdr:row>1</xdr:row>
                    <xdr:rowOff>469900</xdr:rowOff>
                  </to>
                </anchor>
              </controlPr>
            </control>
          </mc:Choice>
        </mc:AlternateContent>
        <mc:AlternateContent xmlns:mc="http://schemas.openxmlformats.org/markup-compatibility/2006">
          <mc:Choice Requires="x14">
            <control shapeId="21508" r:id="rId8" name="Check Box 4">
              <controlPr defaultSize="0" autoFill="0" autoLine="0" autoPict="0" macro="[0]!Slicerconnection">
                <anchor moveWithCells="1">
                  <from>
                    <xdr:col>3</xdr:col>
                    <xdr:colOff>311150</xdr:colOff>
                    <xdr:row>0</xdr:row>
                    <xdr:rowOff>444500</xdr:rowOff>
                  </from>
                  <to>
                    <xdr:col>4</xdr:col>
                    <xdr:colOff>311150</xdr:colOff>
                    <xdr:row>1</xdr:row>
                    <xdr:rowOff>488950</xdr:rowOff>
                  </to>
                </anchor>
              </controlPr>
            </control>
          </mc:Choice>
        </mc:AlternateContent>
        <mc:AlternateContent xmlns:mc="http://schemas.openxmlformats.org/markup-compatibility/2006">
          <mc:Choice Requires="x14">
            <control shapeId="21509" r:id="rId9" name="Check Box 5">
              <controlPr defaultSize="0" autoFill="0" autoLine="0" autoPict="0" macro="[0]!Slicerconnection">
                <anchor moveWithCells="1">
                  <from>
                    <xdr:col>6</xdr:col>
                    <xdr:colOff>450850</xdr:colOff>
                    <xdr:row>0</xdr:row>
                    <xdr:rowOff>457200</xdr:rowOff>
                  </from>
                  <to>
                    <xdr:col>7</xdr:col>
                    <xdr:colOff>450850</xdr:colOff>
                    <xdr:row>1</xdr:row>
                    <xdr:rowOff>520700</xdr:rowOff>
                  </to>
                </anchor>
              </controlPr>
            </control>
          </mc:Choice>
        </mc:AlternateContent>
        <mc:AlternateContent xmlns:mc="http://schemas.openxmlformats.org/markup-compatibility/2006">
          <mc:Choice Requires="x14">
            <control shapeId="21510" r:id="rId10" name="Check Box 6">
              <controlPr defaultSize="0" autoFill="0" autoLine="0" autoPict="0" macro="[0]!Slicerconnection">
                <anchor moveWithCells="1">
                  <from>
                    <xdr:col>9</xdr:col>
                    <xdr:colOff>952500</xdr:colOff>
                    <xdr:row>0</xdr:row>
                    <xdr:rowOff>457200</xdr:rowOff>
                  </from>
                  <to>
                    <xdr:col>10</xdr:col>
                    <xdr:colOff>1377950</xdr:colOff>
                    <xdr:row>1</xdr:row>
                    <xdr:rowOff>501650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3BA5-67A5-4478-B814-90395788AC2D}">
  <sheetPr codeName="Sheet21"/>
  <dimension ref="A1:L142"/>
  <sheetViews>
    <sheetView workbookViewId="0">
      <selection activeCell="L1" sqref="A1:L142"/>
    </sheetView>
  </sheetViews>
  <sheetFormatPr defaultRowHeight="14.5"/>
  <cols>
    <col min="1" max="1" width="13.54296875" customWidth="1"/>
    <col min="2" max="2" width="23" customWidth="1"/>
    <col min="3" max="3" width="12.7265625" customWidth="1"/>
    <col min="4" max="4" width="7.26953125" customWidth="1"/>
    <col min="5" max="5" width="7.08984375" customWidth="1"/>
    <col min="6" max="6" width="7.6328125" customWidth="1"/>
    <col min="7" max="7" width="7.36328125" customWidth="1"/>
    <col min="8" max="8" width="7.08984375" customWidth="1"/>
    <col min="9" max="9" width="14.6328125" customWidth="1"/>
    <col min="11" max="11" width="12.26953125" customWidth="1"/>
    <col min="12" max="12" width="17" customWidth="1"/>
  </cols>
  <sheetData>
    <row r="1" spans="1:12" ht="15" thickBot="1">
      <c r="A1" s="127" t="s">
        <v>2840</v>
      </c>
      <c r="B1" s="128" t="s">
        <v>2841</v>
      </c>
      <c r="C1" s="128" t="s">
        <v>2426</v>
      </c>
      <c r="D1" s="128" t="s">
        <v>2842</v>
      </c>
      <c r="E1" s="128" t="s">
        <v>2843</v>
      </c>
      <c r="F1" s="128" t="s">
        <v>2844</v>
      </c>
      <c r="G1" s="128" t="s">
        <v>2845</v>
      </c>
      <c r="H1" s="128" t="s">
        <v>2846</v>
      </c>
      <c r="I1" s="128" t="s">
        <v>2847</v>
      </c>
      <c r="J1" s="128" t="s">
        <v>2848</v>
      </c>
      <c r="K1" s="128" t="s">
        <v>2849</v>
      </c>
      <c r="L1" s="128" t="s">
        <v>2850</v>
      </c>
    </row>
    <row r="2" spans="1:12" ht="15" thickBot="1">
      <c r="A2" s="129" t="s">
        <v>2851</v>
      </c>
      <c r="B2" s="133" t="s">
        <v>2992</v>
      </c>
      <c r="C2" s="131" t="s">
        <v>2392</v>
      </c>
      <c r="D2" s="129">
        <v>49</v>
      </c>
      <c r="E2" s="129">
        <v>84</v>
      </c>
      <c r="F2" s="129">
        <v>98</v>
      </c>
      <c r="G2" s="129">
        <v>67</v>
      </c>
      <c r="H2" s="129">
        <v>41</v>
      </c>
      <c r="I2" s="129">
        <v>339</v>
      </c>
      <c r="J2" s="129">
        <v>500</v>
      </c>
      <c r="K2" s="137">
        <v>0.67800000000000005</v>
      </c>
      <c r="L2" s="137">
        <v>0.32200000000000001</v>
      </c>
    </row>
    <row r="3" spans="1:12" ht="15" thickBot="1">
      <c r="A3" s="130" t="s">
        <v>2852</v>
      </c>
      <c r="B3" s="134" t="s">
        <v>2993</v>
      </c>
      <c r="C3" s="132" t="s">
        <v>2647</v>
      </c>
      <c r="D3" s="130">
        <v>44</v>
      </c>
      <c r="E3" s="130">
        <v>85</v>
      </c>
      <c r="F3" s="130">
        <v>47</v>
      </c>
      <c r="G3" s="130">
        <v>15</v>
      </c>
      <c r="H3" s="130">
        <v>48</v>
      </c>
      <c r="I3" s="130">
        <v>239</v>
      </c>
      <c r="J3" s="130">
        <v>500</v>
      </c>
      <c r="K3" s="138">
        <v>0.47799999999999998</v>
      </c>
      <c r="L3" s="138">
        <v>0.52200000000000002</v>
      </c>
    </row>
    <row r="4" spans="1:12" ht="15" thickBot="1">
      <c r="A4" s="130" t="s">
        <v>2853</v>
      </c>
      <c r="B4" s="134" t="s">
        <v>2994</v>
      </c>
      <c r="C4" s="132" t="s">
        <v>2653</v>
      </c>
      <c r="D4" s="130">
        <v>45</v>
      </c>
      <c r="E4" s="130">
        <v>79</v>
      </c>
      <c r="F4" s="130">
        <v>88</v>
      </c>
      <c r="G4" s="130">
        <v>73</v>
      </c>
      <c r="H4" s="130">
        <v>94</v>
      </c>
      <c r="I4" s="130">
        <v>379</v>
      </c>
      <c r="J4" s="130">
        <v>500</v>
      </c>
      <c r="K4" s="138">
        <v>0.75800000000000001</v>
      </c>
      <c r="L4" s="138">
        <v>0.24199999999999999</v>
      </c>
    </row>
    <row r="5" spans="1:12" ht="15" thickBot="1">
      <c r="A5" s="130" t="s">
        <v>2854</v>
      </c>
      <c r="B5" s="134" t="s">
        <v>2995</v>
      </c>
      <c r="C5" s="132" t="s">
        <v>2650</v>
      </c>
      <c r="D5" s="130">
        <v>52</v>
      </c>
      <c r="E5" s="130">
        <v>99</v>
      </c>
      <c r="F5" s="130">
        <v>13</v>
      </c>
      <c r="G5" s="130">
        <v>95</v>
      </c>
      <c r="H5" s="130">
        <v>29</v>
      </c>
      <c r="I5" s="130">
        <v>288</v>
      </c>
      <c r="J5" s="130">
        <v>500</v>
      </c>
      <c r="K5" s="138">
        <v>0.57599999999999996</v>
      </c>
      <c r="L5" s="138">
        <v>0.42399999999999999</v>
      </c>
    </row>
    <row r="6" spans="1:12" ht="15" thickBot="1">
      <c r="A6" s="130" t="s">
        <v>2855</v>
      </c>
      <c r="B6" s="134" t="s">
        <v>2996</v>
      </c>
      <c r="C6" s="132" t="s">
        <v>2393</v>
      </c>
      <c r="D6" s="130">
        <v>35</v>
      </c>
      <c r="E6" s="130">
        <v>54</v>
      </c>
      <c r="F6" s="130">
        <v>49</v>
      </c>
      <c r="G6" s="130">
        <v>26</v>
      </c>
      <c r="H6" s="130">
        <v>49</v>
      </c>
      <c r="I6" s="130">
        <v>213</v>
      </c>
      <c r="J6" s="130">
        <v>500</v>
      </c>
      <c r="K6" s="138">
        <v>0.42599999999999999</v>
      </c>
      <c r="L6" s="138">
        <v>0.57399999999999995</v>
      </c>
    </row>
    <row r="7" spans="1:12" ht="15" thickBot="1">
      <c r="A7" s="130" t="s">
        <v>2856</v>
      </c>
      <c r="B7" s="134" t="s">
        <v>2997</v>
      </c>
      <c r="C7" s="132" t="s">
        <v>3133</v>
      </c>
      <c r="D7" s="130">
        <v>86</v>
      </c>
      <c r="E7" s="130">
        <v>31</v>
      </c>
      <c r="F7" s="130">
        <v>23</v>
      </c>
      <c r="G7" s="130">
        <v>48</v>
      </c>
      <c r="H7" s="130">
        <v>77</v>
      </c>
      <c r="I7" s="130">
        <v>265</v>
      </c>
      <c r="J7" s="130">
        <v>500</v>
      </c>
      <c r="K7" s="138">
        <v>0.53</v>
      </c>
      <c r="L7" s="138">
        <v>0.47</v>
      </c>
    </row>
    <row r="8" spans="1:12" ht="15" thickBot="1">
      <c r="A8" s="130" t="s">
        <v>2857</v>
      </c>
      <c r="B8" s="134" t="s">
        <v>2998</v>
      </c>
      <c r="C8" s="132" t="s">
        <v>3134</v>
      </c>
      <c r="D8" s="130">
        <v>84</v>
      </c>
      <c r="E8" s="130">
        <v>28</v>
      </c>
      <c r="F8" s="130">
        <v>98</v>
      </c>
      <c r="G8" s="130">
        <v>80</v>
      </c>
      <c r="H8" s="130">
        <v>79</v>
      </c>
      <c r="I8" s="130">
        <v>369</v>
      </c>
      <c r="J8" s="130">
        <v>500</v>
      </c>
      <c r="K8" s="138">
        <v>0.73799999999999999</v>
      </c>
      <c r="L8" s="138">
        <v>0.26200000000000001</v>
      </c>
    </row>
    <row r="9" spans="1:12" ht="15" thickBot="1">
      <c r="A9" s="130" t="s">
        <v>2858</v>
      </c>
      <c r="B9" s="134" t="s">
        <v>2999</v>
      </c>
      <c r="C9" s="132" t="s">
        <v>2396</v>
      </c>
      <c r="D9" s="130">
        <v>73</v>
      </c>
      <c r="E9" s="130">
        <v>97</v>
      </c>
      <c r="F9" s="130">
        <v>38</v>
      </c>
      <c r="G9" s="130">
        <v>24</v>
      </c>
      <c r="H9" s="130">
        <v>53</v>
      </c>
      <c r="I9" s="130">
        <v>285</v>
      </c>
      <c r="J9" s="130">
        <v>500</v>
      </c>
      <c r="K9" s="138">
        <v>0.56999999999999995</v>
      </c>
      <c r="L9" s="138">
        <v>0.43</v>
      </c>
    </row>
    <row r="10" spans="1:12" ht="15" thickBot="1">
      <c r="A10" s="130" t="s">
        <v>2859</v>
      </c>
      <c r="B10" s="134" t="s">
        <v>3000</v>
      </c>
      <c r="C10" s="132" t="s">
        <v>2392</v>
      </c>
      <c r="D10" s="130">
        <v>54</v>
      </c>
      <c r="E10" s="130">
        <v>26</v>
      </c>
      <c r="F10" s="130">
        <v>53</v>
      </c>
      <c r="G10" s="130">
        <v>36</v>
      </c>
      <c r="H10" s="130">
        <v>20</v>
      </c>
      <c r="I10" s="130">
        <v>189</v>
      </c>
      <c r="J10" s="130">
        <v>500</v>
      </c>
      <c r="K10" s="138">
        <v>0.378</v>
      </c>
      <c r="L10" s="138">
        <v>0.622</v>
      </c>
    </row>
    <row r="11" spans="1:12" ht="15" thickBot="1">
      <c r="A11" s="130" t="s">
        <v>2860</v>
      </c>
      <c r="B11" s="134" t="s">
        <v>3001</v>
      </c>
      <c r="C11" s="132" t="s">
        <v>2647</v>
      </c>
      <c r="D11" s="130">
        <v>52</v>
      </c>
      <c r="E11" s="130">
        <v>52</v>
      </c>
      <c r="F11" s="130">
        <v>19</v>
      </c>
      <c r="G11" s="130">
        <v>53</v>
      </c>
      <c r="H11" s="130">
        <v>37</v>
      </c>
      <c r="I11" s="130">
        <v>213</v>
      </c>
      <c r="J11" s="130">
        <v>500</v>
      </c>
      <c r="K11" s="138">
        <v>0.42599999999999999</v>
      </c>
      <c r="L11" s="138">
        <v>0.57399999999999995</v>
      </c>
    </row>
    <row r="12" spans="1:12" ht="15" thickBot="1">
      <c r="A12" s="130" t="s">
        <v>2861</v>
      </c>
      <c r="B12" s="134" t="s">
        <v>3002</v>
      </c>
      <c r="C12" s="132" t="s">
        <v>2653</v>
      </c>
      <c r="D12" s="130">
        <v>63</v>
      </c>
      <c r="E12" s="130">
        <v>17</v>
      </c>
      <c r="F12" s="130">
        <v>40</v>
      </c>
      <c r="G12" s="130">
        <v>48</v>
      </c>
      <c r="H12" s="130">
        <v>51</v>
      </c>
      <c r="I12" s="130">
        <v>219</v>
      </c>
      <c r="J12" s="130">
        <v>500</v>
      </c>
      <c r="K12" s="138">
        <v>0.438</v>
      </c>
      <c r="L12" s="138">
        <v>0.56200000000000006</v>
      </c>
    </row>
    <row r="13" spans="1:12" ht="15" thickBot="1">
      <c r="A13" s="130" t="s">
        <v>2862</v>
      </c>
      <c r="B13" s="134" t="s">
        <v>3003</v>
      </c>
      <c r="C13" s="132" t="s">
        <v>2650</v>
      </c>
      <c r="D13" s="130">
        <v>79</v>
      </c>
      <c r="E13" s="130">
        <v>99</v>
      </c>
      <c r="F13" s="130">
        <v>95</v>
      </c>
      <c r="G13" s="130">
        <v>12</v>
      </c>
      <c r="H13" s="130">
        <v>91</v>
      </c>
      <c r="I13" s="130">
        <v>376</v>
      </c>
      <c r="J13" s="130">
        <v>500</v>
      </c>
      <c r="K13" s="138">
        <v>0.752</v>
      </c>
      <c r="L13" s="138">
        <v>0.248</v>
      </c>
    </row>
    <row r="14" spans="1:12" ht="15" thickBot="1">
      <c r="A14" s="130" t="s">
        <v>2863</v>
      </c>
      <c r="B14" s="134" t="s">
        <v>3004</v>
      </c>
      <c r="C14" s="132" t="s">
        <v>2393</v>
      </c>
      <c r="D14" s="135">
        <v>95</v>
      </c>
      <c r="E14" s="130">
        <v>88</v>
      </c>
      <c r="F14" s="130">
        <v>11</v>
      </c>
      <c r="G14" s="130">
        <v>78</v>
      </c>
      <c r="H14" s="130">
        <v>60</v>
      </c>
      <c r="I14" s="130">
        <v>332</v>
      </c>
      <c r="J14" s="130">
        <v>500</v>
      </c>
      <c r="K14" s="138">
        <v>0.66400000000000003</v>
      </c>
      <c r="L14" s="138">
        <v>0.33600000000000002</v>
      </c>
    </row>
    <row r="15" spans="1:12" ht="15" thickBot="1">
      <c r="A15" s="130" t="s">
        <v>2864</v>
      </c>
      <c r="B15" s="134" t="s">
        <v>3005</v>
      </c>
      <c r="C15" s="132" t="s">
        <v>3133</v>
      </c>
      <c r="D15" s="130">
        <v>83</v>
      </c>
      <c r="E15" s="130">
        <v>77</v>
      </c>
      <c r="F15" s="130">
        <v>66</v>
      </c>
      <c r="G15" s="130">
        <v>22</v>
      </c>
      <c r="H15" s="130">
        <v>40</v>
      </c>
      <c r="I15" s="130">
        <v>288</v>
      </c>
      <c r="J15" s="130">
        <v>500</v>
      </c>
      <c r="K15" s="138">
        <v>0.57599999999999996</v>
      </c>
      <c r="L15" s="138">
        <v>0.42399999999999999</v>
      </c>
    </row>
    <row r="16" spans="1:12" ht="15" thickBot="1">
      <c r="A16" s="130" t="s">
        <v>2865</v>
      </c>
      <c r="B16" s="134" t="s">
        <v>3006</v>
      </c>
      <c r="C16" s="132" t="s">
        <v>3134</v>
      </c>
      <c r="D16" s="130">
        <v>78</v>
      </c>
      <c r="E16" s="130">
        <v>58</v>
      </c>
      <c r="F16" s="130">
        <v>34</v>
      </c>
      <c r="G16" s="130">
        <v>84</v>
      </c>
      <c r="H16" s="130">
        <v>31</v>
      </c>
      <c r="I16" s="130">
        <v>285</v>
      </c>
      <c r="J16" s="130">
        <v>500</v>
      </c>
      <c r="K16" s="138">
        <v>0.56999999999999995</v>
      </c>
      <c r="L16" s="138">
        <v>0.43</v>
      </c>
    </row>
    <row r="17" spans="1:12" ht="15" thickBot="1">
      <c r="A17" s="130" t="s">
        <v>2866</v>
      </c>
      <c r="B17" s="134" t="s">
        <v>3007</v>
      </c>
      <c r="C17" s="132" t="s">
        <v>2396</v>
      </c>
      <c r="D17" s="130">
        <v>14</v>
      </c>
      <c r="E17" s="130">
        <v>25</v>
      </c>
      <c r="F17" s="130">
        <v>45</v>
      </c>
      <c r="G17" s="130">
        <v>70</v>
      </c>
      <c r="H17" s="130">
        <v>45</v>
      </c>
      <c r="I17" s="130">
        <v>199</v>
      </c>
      <c r="J17" s="130">
        <v>500</v>
      </c>
      <c r="K17" s="138">
        <v>0.39800000000000002</v>
      </c>
      <c r="L17" s="138">
        <v>0.60199999999999998</v>
      </c>
    </row>
    <row r="18" spans="1:12" ht="15" thickBot="1">
      <c r="A18" s="130" t="s">
        <v>2867</v>
      </c>
      <c r="B18" s="134" t="s">
        <v>3008</v>
      </c>
      <c r="C18" s="132" t="s">
        <v>2392</v>
      </c>
      <c r="D18" s="130">
        <v>37</v>
      </c>
      <c r="E18" s="130">
        <v>69</v>
      </c>
      <c r="F18" s="130">
        <v>96</v>
      </c>
      <c r="G18" s="130">
        <v>66</v>
      </c>
      <c r="H18" s="130">
        <v>38</v>
      </c>
      <c r="I18" s="130">
        <v>306</v>
      </c>
      <c r="J18" s="130">
        <v>500</v>
      </c>
      <c r="K18" s="138">
        <v>0.61199999999999999</v>
      </c>
      <c r="L18" s="138">
        <v>0.38800000000000001</v>
      </c>
    </row>
    <row r="19" spans="1:12" ht="15" thickBot="1">
      <c r="A19" s="130" t="s">
        <v>2868</v>
      </c>
      <c r="B19" s="134" t="s">
        <v>3009</v>
      </c>
      <c r="C19" s="132" t="s">
        <v>2647</v>
      </c>
      <c r="D19" s="130">
        <v>11</v>
      </c>
      <c r="E19" s="130">
        <v>46</v>
      </c>
      <c r="F19" s="130">
        <v>91</v>
      </c>
      <c r="G19" s="130">
        <v>98</v>
      </c>
      <c r="H19" s="130">
        <v>45</v>
      </c>
      <c r="I19" s="130">
        <v>291</v>
      </c>
      <c r="J19" s="130">
        <v>500</v>
      </c>
      <c r="K19" s="138">
        <v>0.58199999999999996</v>
      </c>
      <c r="L19" s="138">
        <v>0.41799999999999998</v>
      </c>
    </row>
    <row r="20" spans="1:12" ht="15" thickBot="1">
      <c r="A20" s="130" t="s">
        <v>2869</v>
      </c>
      <c r="B20" s="134" t="s">
        <v>3010</v>
      </c>
      <c r="C20" s="132" t="s">
        <v>2653</v>
      </c>
      <c r="D20" s="130">
        <v>19</v>
      </c>
      <c r="E20" s="130">
        <v>34</v>
      </c>
      <c r="F20" s="130">
        <v>64</v>
      </c>
      <c r="G20" s="130">
        <v>65</v>
      </c>
      <c r="H20" s="130">
        <v>70</v>
      </c>
      <c r="I20" s="130">
        <v>252</v>
      </c>
      <c r="J20" s="130">
        <v>500</v>
      </c>
      <c r="K20" s="138">
        <v>0.504</v>
      </c>
      <c r="L20" s="138">
        <v>0.496</v>
      </c>
    </row>
    <row r="21" spans="1:12" ht="15" thickBot="1">
      <c r="A21" s="130" t="s">
        <v>2870</v>
      </c>
      <c r="B21" s="134" t="s">
        <v>3011</v>
      </c>
      <c r="C21" s="132" t="s">
        <v>2650</v>
      </c>
      <c r="D21" s="130">
        <v>93</v>
      </c>
      <c r="E21" s="130">
        <v>84</v>
      </c>
      <c r="F21" s="130">
        <v>13</v>
      </c>
      <c r="G21" s="130">
        <v>45</v>
      </c>
      <c r="H21" s="130">
        <v>18</v>
      </c>
      <c r="I21" s="130">
        <v>253</v>
      </c>
      <c r="J21" s="130">
        <v>500</v>
      </c>
      <c r="K21" s="138">
        <v>0.50600000000000001</v>
      </c>
      <c r="L21" s="138">
        <v>0.49399999999999999</v>
      </c>
    </row>
    <row r="22" spans="1:12" ht="15" thickBot="1">
      <c r="A22" s="130" t="s">
        <v>2871</v>
      </c>
      <c r="B22" s="134" t="s">
        <v>3012</v>
      </c>
      <c r="C22" s="132" t="s">
        <v>2393</v>
      </c>
      <c r="D22" s="130">
        <v>68</v>
      </c>
      <c r="E22" s="130">
        <v>73</v>
      </c>
      <c r="F22" s="130">
        <v>97</v>
      </c>
      <c r="G22" s="130">
        <v>76</v>
      </c>
      <c r="H22" s="130">
        <v>53</v>
      </c>
      <c r="I22" s="130">
        <v>367</v>
      </c>
      <c r="J22" s="130">
        <v>500</v>
      </c>
      <c r="K22" s="138">
        <v>0.73399999999999999</v>
      </c>
      <c r="L22" s="138">
        <v>0.26600000000000001</v>
      </c>
    </row>
    <row r="23" spans="1:12" ht="15" thickBot="1">
      <c r="A23" s="130" t="s">
        <v>2872</v>
      </c>
      <c r="B23" s="134" t="s">
        <v>3013</v>
      </c>
      <c r="C23" s="132" t="s">
        <v>3133</v>
      </c>
      <c r="D23" s="130">
        <v>99</v>
      </c>
      <c r="E23" s="130">
        <v>17</v>
      </c>
      <c r="F23" s="130">
        <v>48</v>
      </c>
      <c r="G23" s="130">
        <v>44</v>
      </c>
      <c r="H23" s="130">
        <v>93</v>
      </c>
      <c r="I23" s="130">
        <v>301</v>
      </c>
      <c r="J23" s="130">
        <v>500</v>
      </c>
      <c r="K23" s="138">
        <v>0.60199999999999998</v>
      </c>
      <c r="L23" s="138">
        <v>0.39800000000000002</v>
      </c>
    </row>
    <row r="24" spans="1:12" ht="15" thickBot="1">
      <c r="A24" s="130" t="s">
        <v>2873</v>
      </c>
      <c r="B24" s="134" t="s">
        <v>3014</v>
      </c>
      <c r="C24" s="132" t="s">
        <v>3134</v>
      </c>
      <c r="D24" s="130">
        <v>57</v>
      </c>
      <c r="E24" s="130">
        <v>28</v>
      </c>
      <c r="F24" s="130">
        <v>31</v>
      </c>
      <c r="G24" s="130">
        <v>34</v>
      </c>
      <c r="H24" s="130">
        <v>52</v>
      </c>
      <c r="I24" s="130">
        <v>202</v>
      </c>
      <c r="J24" s="130">
        <v>500</v>
      </c>
      <c r="K24" s="138">
        <v>0.40400000000000003</v>
      </c>
      <c r="L24" s="138">
        <v>0.59599999999999997</v>
      </c>
    </row>
    <row r="25" spans="1:12" ht="15" thickBot="1">
      <c r="A25" s="130" t="s">
        <v>2874</v>
      </c>
      <c r="B25" s="134" t="s">
        <v>3015</v>
      </c>
      <c r="C25" s="132" t="s">
        <v>2396</v>
      </c>
      <c r="D25" s="130">
        <v>40</v>
      </c>
      <c r="E25" s="130">
        <v>22</v>
      </c>
      <c r="F25" s="130">
        <v>18</v>
      </c>
      <c r="G25" s="130">
        <v>11</v>
      </c>
      <c r="H25" s="130">
        <v>92</v>
      </c>
      <c r="I25" s="130">
        <v>183</v>
      </c>
      <c r="J25" s="130">
        <v>500</v>
      </c>
      <c r="K25" s="138">
        <v>0.36599999999999999</v>
      </c>
      <c r="L25" s="138">
        <v>0.63400000000000001</v>
      </c>
    </row>
    <row r="26" spans="1:12" ht="15" thickBot="1">
      <c r="A26" s="130" t="s">
        <v>2875</v>
      </c>
      <c r="B26" s="134" t="s">
        <v>3016</v>
      </c>
      <c r="C26" s="132" t="s">
        <v>2392</v>
      </c>
      <c r="D26" s="130">
        <v>47</v>
      </c>
      <c r="E26" s="130">
        <v>99</v>
      </c>
      <c r="F26" s="130">
        <v>94</v>
      </c>
      <c r="G26" s="130">
        <v>75</v>
      </c>
      <c r="H26" s="130">
        <v>29</v>
      </c>
      <c r="I26" s="130">
        <v>344</v>
      </c>
      <c r="J26" s="130">
        <v>500</v>
      </c>
      <c r="K26" s="138">
        <v>0.68799999999999994</v>
      </c>
      <c r="L26" s="138">
        <v>0.312</v>
      </c>
    </row>
    <row r="27" spans="1:12" ht="15" thickBot="1">
      <c r="A27" s="130" t="s">
        <v>2876</v>
      </c>
      <c r="B27" s="134" t="s">
        <v>3017</v>
      </c>
      <c r="C27" s="132" t="s">
        <v>2647</v>
      </c>
      <c r="D27" s="130">
        <v>16</v>
      </c>
      <c r="E27" s="130">
        <v>71</v>
      </c>
      <c r="F27" s="130">
        <v>80</v>
      </c>
      <c r="G27" s="130">
        <v>76</v>
      </c>
      <c r="H27" s="130">
        <v>33</v>
      </c>
      <c r="I27" s="130">
        <v>276</v>
      </c>
      <c r="J27" s="130">
        <v>500</v>
      </c>
      <c r="K27" s="138">
        <v>0.55200000000000005</v>
      </c>
      <c r="L27" s="138">
        <v>0.44800000000000001</v>
      </c>
    </row>
    <row r="28" spans="1:12" ht="15" thickBot="1">
      <c r="A28" s="130" t="s">
        <v>2877</v>
      </c>
      <c r="B28" s="134" t="s">
        <v>3018</v>
      </c>
      <c r="C28" s="132" t="s">
        <v>2653</v>
      </c>
      <c r="D28" s="130">
        <v>72</v>
      </c>
      <c r="E28" s="130">
        <v>87</v>
      </c>
      <c r="F28" s="130">
        <v>92</v>
      </c>
      <c r="G28" s="130">
        <v>72</v>
      </c>
      <c r="H28" s="130">
        <v>34</v>
      </c>
      <c r="I28" s="130">
        <v>357</v>
      </c>
      <c r="J28" s="130">
        <v>500</v>
      </c>
      <c r="K28" s="138">
        <v>0.71399999999999997</v>
      </c>
      <c r="L28" s="138">
        <v>0.28599999999999998</v>
      </c>
    </row>
    <row r="29" spans="1:12" ht="15" thickBot="1">
      <c r="A29" s="130" t="s">
        <v>2878</v>
      </c>
      <c r="B29" s="134" t="s">
        <v>3019</v>
      </c>
      <c r="C29" s="132" t="s">
        <v>2650</v>
      </c>
      <c r="D29" s="130">
        <v>30</v>
      </c>
      <c r="E29" s="130">
        <v>38</v>
      </c>
      <c r="F29" s="130">
        <v>70</v>
      </c>
      <c r="G29" s="130">
        <v>89</v>
      </c>
      <c r="H29" s="130">
        <v>97</v>
      </c>
      <c r="I29" s="130">
        <v>324</v>
      </c>
      <c r="J29" s="130">
        <v>500</v>
      </c>
      <c r="K29" s="138">
        <v>0.64800000000000002</v>
      </c>
      <c r="L29" s="138">
        <v>0.35199999999999998</v>
      </c>
    </row>
    <row r="30" spans="1:12" ht="15" thickBot="1">
      <c r="A30" s="130" t="s">
        <v>2879</v>
      </c>
      <c r="B30" s="134" t="s">
        <v>3020</v>
      </c>
      <c r="C30" s="132" t="s">
        <v>2393</v>
      </c>
      <c r="D30" s="130">
        <v>65</v>
      </c>
      <c r="E30" s="130">
        <v>90</v>
      </c>
      <c r="F30" s="130">
        <v>91</v>
      </c>
      <c r="G30" s="130">
        <v>85</v>
      </c>
      <c r="H30" s="130">
        <v>10</v>
      </c>
      <c r="I30" s="130">
        <v>341</v>
      </c>
      <c r="J30" s="130">
        <v>500</v>
      </c>
      <c r="K30" s="138">
        <v>0.68200000000000005</v>
      </c>
      <c r="L30" s="138">
        <v>0.318</v>
      </c>
    </row>
    <row r="31" spans="1:12" ht="15" thickBot="1">
      <c r="A31" s="130" t="s">
        <v>2880</v>
      </c>
      <c r="B31" s="134" t="s">
        <v>3021</v>
      </c>
      <c r="C31" s="132" t="s">
        <v>3133</v>
      </c>
      <c r="D31" s="130">
        <v>83</v>
      </c>
      <c r="E31" s="130">
        <v>46</v>
      </c>
      <c r="F31" s="130">
        <v>99</v>
      </c>
      <c r="G31" s="130">
        <v>36</v>
      </c>
      <c r="H31" s="130">
        <v>89</v>
      </c>
      <c r="I31" s="130">
        <v>353</v>
      </c>
      <c r="J31" s="130">
        <v>500</v>
      </c>
      <c r="K31" s="138">
        <v>0.70599999999999996</v>
      </c>
      <c r="L31" s="138">
        <v>0.29399999999999998</v>
      </c>
    </row>
    <row r="32" spans="1:12" ht="15" thickBot="1">
      <c r="A32" s="130" t="s">
        <v>2881</v>
      </c>
      <c r="B32" s="134" t="s">
        <v>3022</v>
      </c>
      <c r="C32" s="132" t="s">
        <v>3134</v>
      </c>
      <c r="D32" s="130">
        <v>10</v>
      </c>
      <c r="E32" s="130">
        <v>66</v>
      </c>
      <c r="F32" s="130">
        <v>40</v>
      </c>
      <c r="G32" s="130">
        <v>22</v>
      </c>
      <c r="H32" s="130">
        <v>38</v>
      </c>
      <c r="I32" s="130">
        <v>176</v>
      </c>
      <c r="J32" s="130">
        <v>500</v>
      </c>
      <c r="K32" s="138">
        <v>0.35199999999999998</v>
      </c>
      <c r="L32" s="138">
        <v>0.64800000000000002</v>
      </c>
    </row>
    <row r="33" spans="1:12" ht="15" thickBot="1">
      <c r="A33" s="130" t="s">
        <v>2882</v>
      </c>
      <c r="B33" s="134" t="s">
        <v>3023</v>
      </c>
      <c r="C33" s="132" t="s">
        <v>2396</v>
      </c>
      <c r="D33" s="130">
        <v>37</v>
      </c>
      <c r="E33" s="130">
        <v>30</v>
      </c>
      <c r="F33" s="130">
        <v>19</v>
      </c>
      <c r="G33" s="130">
        <v>77</v>
      </c>
      <c r="H33" s="130">
        <v>67</v>
      </c>
      <c r="I33" s="130">
        <v>230</v>
      </c>
      <c r="J33" s="130">
        <v>500</v>
      </c>
      <c r="K33" s="138">
        <v>0.46</v>
      </c>
      <c r="L33" s="138">
        <v>0.54</v>
      </c>
    </row>
    <row r="34" spans="1:12" ht="15" thickBot="1">
      <c r="A34" s="130" t="s">
        <v>2883</v>
      </c>
      <c r="B34" s="134" t="s">
        <v>3024</v>
      </c>
      <c r="C34" s="132" t="s">
        <v>2392</v>
      </c>
      <c r="D34" s="130">
        <v>83</v>
      </c>
      <c r="E34" s="130">
        <v>46</v>
      </c>
      <c r="F34" s="130">
        <v>17</v>
      </c>
      <c r="G34" s="130">
        <v>94</v>
      </c>
      <c r="H34" s="130">
        <v>92</v>
      </c>
      <c r="I34" s="130">
        <v>332</v>
      </c>
      <c r="J34" s="130">
        <v>500</v>
      </c>
      <c r="K34" s="138">
        <v>0.66400000000000003</v>
      </c>
      <c r="L34" s="138">
        <v>0.33600000000000002</v>
      </c>
    </row>
    <row r="35" spans="1:12" ht="15" thickBot="1">
      <c r="A35" s="130" t="s">
        <v>2884</v>
      </c>
      <c r="B35" s="134" t="s">
        <v>3025</v>
      </c>
      <c r="C35" s="132" t="s">
        <v>2647</v>
      </c>
      <c r="D35" s="130">
        <v>84</v>
      </c>
      <c r="E35" s="130">
        <v>59</v>
      </c>
      <c r="F35" s="130">
        <v>41</v>
      </c>
      <c r="G35" s="130">
        <v>17</v>
      </c>
      <c r="H35" s="130">
        <v>22</v>
      </c>
      <c r="I35" s="130">
        <v>223</v>
      </c>
      <c r="J35" s="130">
        <v>500</v>
      </c>
      <c r="K35" s="138">
        <v>0.44600000000000001</v>
      </c>
      <c r="L35" s="138">
        <v>0.55400000000000005</v>
      </c>
    </row>
    <row r="36" spans="1:12" ht="15" thickBot="1">
      <c r="A36" s="130" t="s">
        <v>2885</v>
      </c>
      <c r="B36" s="134" t="s">
        <v>3026</v>
      </c>
      <c r="C36" s="132" t="s">
        <v>2653</v>
      </c>
      <c r="D36" s="130">
        <v>82</v>
      </c>
      <c r="E36" s="130">
        <v>54</v>
      </c>
      <c r="F36" s="130">
        <v>79</v>
      </c>
      <c r="G36" s="130">
        <v>61</v>
      </c>
      <c r="H36" s="130">
        <v>47</v>
      </c>
      <c r="I36" s="130">
        <v>323</v>
      </c>
      <c r="J36" s="130">
        <v>500</v>
      </c>
      <c r="K36" s="138">
        <v>0.64600000000000002</v>
      </c>
      <c r="L36" s="138">
        <v>0.35399999999999998</v>
      </c>
    </row>
    <row r="37" spans="1:12" ht="15" thickBot="1">
      <c r="A37" s="130" t="s">
        <v>2886</v>
      </c>
      <c r="B37" s="134" t="s">
        <v>3027</v>
      </c>
      <c r="C37" s="132" t="s">
        <v>2650</v>
      </c>
      <c r="D37" s="130">
        <v>47</v>
      </c>
      <c r="E37" s="130">
        <v>23</v>
      </c>
      <c r="F37" s="130">
        <v>19</v>
      </c>
      <c r="G37" s="130">
        <v>64</v>
      </c>
      <c r="H37" s="130">
        <v>61</v>
      </c>
      <c r="I37" s="130">
        <v>214</v>
      </c>
      <c r="J37" s="130">
        <v>500</v>
      </c>
      <c r="K37" s="138">
        <v>0.42799999999999999</v>
      </c>
      <c r="L37" s="138">
        <v>0.57199999999999995</v>
      </c>
    </row>
    <row r="38" spans="1:12" ht="15" thickBot="1">
      <c r="A38" s="130" t="s">
        <v>2887</v>
      </c>
      <c r="B38" s="134" t="s">
        <v>3028</v>
      </c>
      <c r="C38" s="132" t="s">
        <v>2393</v>
      </c>
      <c r="D38" s="130">
        <v>91</v>
      </c>
      <c r="E38" s="130">
        <v>13</v>
      </c>
      <c r="F38" s="130">
        <v>79</v>
      </c>
      <c r="G38" s="130">
        <v>85</v>
      </c>
      <c r="H38" s="130">
        <v>67</v>
      </c>
      <c r="I38" s="130">
        <v>335</v>
      </c>
      <c r="J38" s="130">
        <v>500</v>
      </c>
      <c r="K38" s="138">
        <v>0.67</v>
      </c>
      <c r="L38" s="138">
        <v>0.33</v>
      </c>
    </row>
    <row r="39" spans="1:12" ht="15" thickBot="1">
      <c r="A39" s="130" t="s">
        <v>2888</v>
      </c>
      <c r="B39" s="134" t="s">
        <v>3029</v>
      </c>
      <c r="C39" s="132" t="s">
        <v>3133</v>
      </c>
      <c r="D39" s="130">
        <v>66</v>
      </c>
      <c r="E39" s="130">
        <v>59</v>
      </c>
      <c r="F39" s="130">
        <v>25</v>
      </c>
      <c r="G39" s="130">
        <v>55</v>
      </c>
      <c r="H39" s="130">
        <v>59</v>
      </c>
      <c r="I39" s="130">
        <v>264</v>
      </c>
      <c r="J39" s="130">
        <v>500</v>
      </c>
      <c r="K39" s="138">
        <v>0.52800000000000002</v>
      </c>
      <c r="L39" s="138">
        <v>0.47199999999999998</v>
      </c>
    </row>
    <row r="40" spans="1:12" ht="15" thickBot="1">
      <c r="A40" s="130" t="s">
        <v>2889</v>
      </c>
      <c r="B40" s="134" t="s">
        <v>3030</v>
      </c>
      <c r="C40" s="132" t="s">
        <v>3134</v>
      </c>
      <c r="D40" s="130">
        <v>70</v>
      </c>
      <c r="E40" s="130">
        <v>18</v>
      </c>
      <c r="F40" s="130">
        <v>88</v>
      </c>
      <c r="G40" s="130">
        <v>46</v>
      </c>
      <c r="H40" s="130">
        <v>52</v>
      </c>
      <c r="I40" s="130">
        <v>274</v>
      </c>
      <c r="J40" s="130">
        <v>500</v>
      </c>
      <c r="K40" s="138">
        <v>0.54800000000000004</v>
      </c>
      <c r="L40" s="138">
        <v>0.45200000000000001</v>
      </c>
    </row>
    <row r="41" spans="1:12" ht="15" thickBot="1">
      <c r="A41" s="130" t="s">
        <v>2890</v>
      </c>
      <c r="B41" s="134" t="s">
        <v>3031</v>
      </c>
      <c r="C41" s="132" t="s">
        <v>2396</v>
      </c>
      <c r="D41" s="130">
        <v>37</v>
      </c>
      <c r="E41" s="130">
        <v>60</v>
      </c>
      <c r="F41" s="130">
        <v>44</v>
      </c>
      <c r="G41" s="130">
        <v>61</v>
      </c>
      <c r="H41" s="130">
        <v>30</v>
      </c>
      <c r="I41" s="130">
        <v>232</v>
      </c>
      <c r="J41" s="130">
        <v>500</v>
      </c>
      <c r="K41" s="138">
        <v>0.46400000000000002</v>
      </c>
      <c r="L41" s="138">
        <v>0.53600000000000003</v>
      </c>
    </row>
    <row r="42" spans="1:12" ht="15" thickBot="1">
      <c r="A42" s="130" t="s">
        <v>2891</v>
      </c>
      <c r="B42" s="134" t="s">
        <v>3032</v>
      </c>
      <c r="C42" s="132" t="s">
        <v>2392</v>
      </c>
      <c r="D42" s="130">
        <v>16</v>
      </c>
      <c r="E42" s="130">
        <v>46</v>
      </c>
      <c r="F42" s="130">
        <v>33</v>
      </c>
      <c r="G42" s="130">
        <v>54</v>
      </c>
      <c r="H42" s="130">
        <v>58</v>
      </c>
      <c r="I42" s="130">
        <v>207</v>
      </c>
      <c r="J42" s="130">
        <v>500</v>
      </c>
      <c r="K42" s="138">
        <v>0.41399999999999998</v>
      </c>
      <c r="L42" s="138">
        <v>0.58599999999999997</v>
      </c>
    </row>
    <row r="43" spans="1:12" ht="15" thickBot="1">
      <c r="A43" s="130" t="s">
        <v>2892</v>
      </c>
      <c r="B43" s="134" t="s">
        <v>3033</v>
      </c>
      <c r="C43" s="132" t="s">
        <v>2647</v>
      </c>
      <c r="D43" s="130">
        <v>47</v>
      </c>
      <c r="E43" s="130">
        <v>97</v>
      </c>
      <c r="F43" s="130">
        <v>74</v>
      </c>
      <c r="G43" s="130">
        <v>97</v>
      </c>
      <c r="H43" s="130">
        <v>56</v>
      </c>
      <c r="I43" s="130">
        <v>371</v>
      </c>
      <c r="J43" s="130">
        <v>500</v>
      </c>
      <c r="K43" s="138">
        <v>0.74199999999999999</v>
      </c>
      <c r="L43" s="138">
        <v>0.25800000000000001</v>
      </c>
    </row>
    <row r="44" spans="1:12" ht="15" thickBot="1">
      <c r="A44" s="130" t="s">
        <v>2893</v>
      </c>
      <c r="B44" s="134" t="s">
        <v>3034</v>
      </c>
      <c r="C44" s="132" t="s">
        <v>2653</v>
      </c>
      <c r="D44" s="130">
        <v>86</v>
      </c>
      <c r="E44" s="130">
        <v>22</v>
      </c>
      <c r="F44" s="130">
        <v>10</v>
      </c>
      <c r="G44" s="130">
        <v>60</v>
      </c>
      <c r="H44" s="130">
        <v>28</v>
      </c>
      <c r="I44" s="130">
        <v>206</v>
      </c>
      <c r="J44" s="130">
        <v>500</v>
      </c>
      <c r="K44" s="138">
        <v>0.41199999999999998</v>
      </c>
      <c r="L44" s="138">
        <v>0.58799999999999997</v>
      </c>
    </row>
    <row r="45" spans="1:12" ht="15" thickBot="1">
      <c r="A45" s="130" t="s">
        <v>2894</v>
      </c>
      <c r="B45" s="134" t="s">
        <v>3035</v>
      </c>
      <c r="C45" s="132" t="s">
        <v>2650</v>
      </c>
      <c r="D45" s="130">
        <v>74</v>
      </c>
      <c r="E45" s="130">
        <v>17</v>
      </c>
      <c r="F45" s="130">
        <v>45</v>
      </c>
      <c r="G45" s="130">
        <v>64</v>
      </c>
      <c r="H45" s="130">
        <v>13</v>
      </c>
      <c r="I45" s="130">
        <v>213</v>
      </c>
      <c r="J45" s="130">
        <v>500</v>
      </c>
      <c r="K45" s="138">
        <v>0.42599999999999999</v>
      </c>
      <c r="L45" s="138">
        <v>0.57399999999999995</v>
      </c>
    </row>
    <row r="46" spans="1:12" ht="15" thickBot="1">
      <c r="A46" s="130" t="s">
        <v>2895</v>
      </c>
      <c r="B46" s="134" t="s">
        <v>3036</v>
      </c>
      <c r="C46" s="132" t="s">
        <v>2393</v>
      </c>
      <c r="D46" s="130">
        <v>80</v>
      </c>
      <c r="E46" s="130">
        <v>51</v>
      </c>
      <c r="F46" s="130">
        <v>15</v>
      </c>
      <c r="G46" s="130">
        <v>97</v>
      </c>
      <c r="H46" s="130">
        <v>42</v>
      </c>
      <c r="I46" s="130">
        <v>285</v>
      </c>
      <c r="J46" s="130">
        <v>500</v>
      </c>
      <c r="K46" s="138">
        <v>0.56999999999999995</v>
      </c>
      <c r="L46" s="138">
        <v>0.43</v>
      </c>
    </row>
    <row r="47" spans="1:12" ht="15" thickBot="1">
      <c r="A47" s="130" t="s">
        <v>2896</v>
      </c>
      <c r="B47" s="134" t="s">
        <v>3037</v>
      </c>
      <c r="C47" s="132" t="s">
        <v>3133</v>
      </c>
      <c r="D47" s="130">
        <v>49</v>
      </c>
      <c r="E47" s="130">
        <v>82</v>
      </c>
      <c r="F47" s="130">
        <v>95</v>
      </c>
      <c r="G47" s="130">
        <v>46</v>
      </c>
      <c r="H47" s="130">
        <v>78</v>
      </c>
      <c r="I47" s="130">
        <v>350</v>
      </c>
      <c r="J47" s="130">
        <v>500</v>
      </c>
      <c r="K47" s="138">
        <v>0.7</v>
      </c>
      <c r="L47" s="138">
        <v>0.3</v>
      </c>
    </row>
    <row r="48" spans="1:12" ht="15" thickBot="1">
      <c r="A48" s="130" t="s">
        <v>2897</v>
      </c>
      <c r="B48" s="134" t="s">
        <v>3038</v>
      </c>
      <c r="C48" s="132" t="s">
        <v>3134</v>
      </c>
      <c r="D48" s="130">
        <v>17</v>
      </c>
      <c r="E48" s="130">
        <v>88</v>
      </c>
      <c r="F48" s="130">
        <v>12</v>
      </c>
      <c r="G48" s="130">
        <v>54</v>
      </c>
      <c r="H48" s="130">
        <v>21</v>
      </c>
      <c r="I48" s="130">
        <v>192</v>
      </c>
      <c r="J48" s="130">
        <v>500</v>
      </c>
      <c r="K48" s="138">
        <v>0.38400000000000001</v>
      </c>
      <c r="L48" s="138">
        <v>0.61599999999999999</v>
      </c>
    </row>
    <row r="49" spans="1:12" ht="15" thickBot="1">
      <c r="A49" s="130" t="s">
        <v>2898</v>
      </c>
      <c r="B49" s="134" t="s">
        <v>3039</v>
      </c>
      <c r="C49" s="132" t="s">
        <v>2396</v>
      </c>
      <c r="D49" s="130">
        <v>74</v>
      </c>
      <c r="E49" s="130">
        <v>16</v>
      </c>
      <c r="F49" s="130">
        <v>74</v>
      </c>
      <c r="G49" s="130">
        <v>36</v>
      </c>
      <c r="H49" s="130">
        <v>33</v>
      </c>
      <c r="I49" s="130">
        <v>233</v>
      </c>
      <c r="J49" s="130">
        <v>500</v>
      </c>
      <c r="K49" s="138">
        <v>0.46600000000000003</v>
      </c>
      <c r="L49" s="138">
        <v>0.53400000000000003</v>
      </c>
    </row>
    <row r="50" spans="1:12" ht="15" thickBot="1">
      <c r="A50" s="130" t="s">
        <v>2899</v>
      </c>
      <c r="B50" s="134" t="s">
        <v>3040</v>
      </c>
      <c r="C50" s="132" t="s">
        <v>2392</v>
      </c>
      <c r="D50" s="130">
        <v>73</v>
      </c>
      <c r="E50" s="130">
        <v>72</v>
      </c>
      <c r="F50" s="130">
        <v>38</v>
      </c>
      <c r="G50" s="130">
        <v>19</v>
      </c>
      <c r="H50" s="130">
        <v>90</v>
      </c>
      <c r="I50" s="130">
        <v>292</v>
      </c>
      <c r="J50" s="130">
        <v>500</v>
      </c>
      <c r="K50" s="138">
        <v>0.58399999999999996</v>
      </c>
      <c r="L50" s="138">
        <v>0.41599999999999998</v>
      </c>
    </row>
    <row r="51" spans="1:12" ht="15" thickBot="1">
      <c r="A51" s="130" t="s">
        <v>2900</v>
      </c>
      <c r="B51" s="134" t="s">
        <v>3041</v>
      </c>
      <c r="C51" s="132" t="s">
        <v>2647</v>
      </c>
      <c r="D51" s="130">
        <v>17</v>
      </c>
      <c r="E51" s="130">
        <v>84</v>
      </c>
      <c r="F51" s="130">
        <v>90</v>
      </c>
      <c r="G51" s="130">
        <v>77</v>
      </c>
      <c r="H51" s="130">
        <v>72</v>
      </c>
      <c r="I51" s="130">
        <v>340</v>
      </c>
      <c r="J51" s="130">
        <v>500</v>
      </c>
      <c r="K51" s="138">
        <v>0.68</v>
      </c>
      <c r="L51" s="138">
        <v>0.32</v>
      </c>
    </row>
    <row r="52" spans="1:12" ht="15" thickBot="1">
      <c r="A52" s="130" t="s">
        <v>2901</v>
      </c>
      <c r="B52" s="134" t="s">
        <v>3042</v>
      </c>
      <c r="C52" s="132" t="s">
        <v>2653</v>
      </c>
      <c r="D52" s="130">
        <v>52</v>
      </c>
      <c r="E52" s="130">
        <v>36</v>
      </c>
      <c r="F52" s="130">
        <v>84</v>
      </c>
      <c r="G52" s="130">
        <v>41</v>
      </c>
      <c r="H52" s="130">
        <v>57</v>
      </c>
      <c r="I52" s="130">
        <v>270</v>
      </c>
      <c r="J52" s="130">
        <v>500</v>
      </c>
      <c r="K52" s="138">
        <v>0.54</v>
      </c>
      <c r="L52" s="138">
        <v>0.46</v>
      </c>
    </row>
    <row r="53" spans="1:12" ht="15" thickBot="1">
      <c r="A53" s="130" t="s">
        <v>2902</v>
      </c>
      <c r="B53" s="134" t="s">
        <v>3043</v>
      </c>
      <c r="C53" s="132" t="s">
        <v>2650</v>
      </c>
      <c r="D53" s="130">
        <v>65</v>
      </c>
      <c r="E53" s="130">
        <v>67</v>
      </c>
      <c r="F53" s="130">
        <v>72</v>
      </c>
      <c r="G53" s="130">
        <v>22</v>
      </c>
      <c r="H53" s="130">
        <v>23</v>
      </c>
      <c r="I53" s="130">
        <v>249</v>
      </c>
      <c r="J53" s="130">
        <v>500</v>
      </c>
      <c r="K53" s="138">
        <v>0.498</v>
      </c>
      <c r="L53" s="138">
        <v>0.502</v>
      </c>
    </row>
    <row r="54" spans="1:12" ht="15" thickBot="1">
      <c r="A54" s="130" t="s">
        <v>2903</v>
      </c>
      <c r="B54" s="134" t="s">
        <v>3044</v>
      </c>
      <c r="C54" s="132" t="s">
        <v>2393</v>
      </c>
      <c r="D54" s="130">
        <v>88</v>
      </c>
      <c r="E54" s="130">
        <v>39</v>
      </c>
      <c r="F54" s="130">
        <v>25</v>
      </c>
      <c r="G54" s="130">
        <v>99</v>
      </c>
      <c r="H54" s="130">
        <v>71</v>
      </c>
      <c r="I54" s="130">
        <v>322</v>
      </c>
      <c r="J54" s="130">
        <v>500</v>
      </c>
      <c r="K54" s="138">
        <v>0.64400000000000002</v>
      </c>
      <c r="L54" s="138">
        <v>0.35599999999999998</v>
      </c>
    </row>
    <row r="55" spans="1:12" ht="15" thickBot="1">
      <c r="A55" s="130" t="s">
        <v>2904</v>
      </c>
      <c r="B55" s="134" t="s">
        <v>3045</v>
      </c>
      <c r="C55" s="132" t="s">
        <v>3133</v>
      </c>
      <c r="D55" s="130">
        <v>23</v>
      </c>
      <c r="E55" s="130">
        <v>14</v>
      </c>
      <c r="F55" s="130">
        <v>15</v>
      </c>
      <c r="G55" s="130">
        <v>58</v>
      </c>
      <c r="H55" s="130">
        <v>79</v>
      </c>
      <c r="I55" s="130">
        <v>189</v>
      </c>
      <c r="J55" s="130">
        <v>500</v>
      </c>
      <c r="K55" s="138">
        <v>0.378</v>
      </c>
      <c r="L55" s="138">
        <v>0.622</v>
      </c>
    </row>
    <row r="56" spans="1:12" ht="15" thickBot="1">
      <c r="A56" s="130" t="s">
        <v>2905</v>
      </c>
      <c r="B56" s="134" t="s">
        <v>3046</v>
      </c>
      <c r="C56" s="132" t="s">
        <v>3134</v>
      </c>
      <c r="D56" s="130">
        <v>15</v>
      </c>
      <c r="E56" s="130">
        <v>67</v>
      </c>
      <c r="F56" s="130">
        <v>48</v>
      </c>
      <c r="G56" s="130">
        <v>95</v>
      </c>
      <c r="H56" s="130">
        <v>35</v>
      </c>
      <c r="I56" s="130">
        <v>260</v>
      </c>
      <c r="J56" s="130">
        <v>500</v>
      </c>
      <c r="K56" s="138">
        <v>0.52</v>
      </c>
      <c r="L56" s="138">
        <v>0.48</v>
      </c>
    </row>
    <row r="57" spans="1:12" ht="15" thickBot="1">
      <c r="A57" s="130" t="s">
        <v>2906</v>
      </c>
      <c r="B57" s="134" t="s">
        <v>3047</v>
      </c>
      <c r="C57" s="132" t="s">
        <v>2396</v>
      </c>
      <c r="D57" s="130">
        <v>18</v>
      </c>
      <c r="E57" s="130">
        <v>35</v>
      </c>
      <c r="F57" s="130">
        <v>82</v>
      </c>
      <c r="G57" s="130">
        <v>31</v>
      </c>
      <c r="H57" s="130">
        <v>26</v>
      </c>
      <c r="I57" s="130">
        <v>192</v>
      </c>
      <c r="J57" s="130">
        <v>500</v>
      </c>
      <c r="K57" s="138">
        <v>0.38400000000000001</v>
      </c>
      <c r="L57" s="138">
        <v>0.61599999999999999</v>
      </c>
    </row>
    <row r="58" spans="1:12" ht="15" thickBot="1">
      <c r="A58" s="130" t="s">
        <v>2907</v>
      </c>
      <c r="B58" s="134" t="s">
        <v>3048</v>
      </c>
      <c r="C58" s="132" t="s">
        <v>2392</v>
      </c>
      <c r="D58" s="130">
        <v>57</v>
      </c>
      <c r="E58" s="130">
        <v>60</v>
      </c>
      <c r="F58" s="130">
        <v>42</v>
      </c>
      <c r="G58" s="130">
        <v>81</v>
      </c>
      <c r="H58" s="130">
        <v>44</v>
      </c>
      <c r="I58" s="130">
        <v>284</v>
      </c>
      <c r="J58" s="130">
        <v>500</v>
      </c>
      <c r="K58" s="138">
        <v>0.56799999999999995</v>
      </c>
      <c r="L58" s="138">
        <v>0.432</v>
      </c>
    </row>
    <row r="59" spans="1:12" ht="15" thickBot="1">
      <c r="A59" s="130" t="s">
        <v>2908</v>
      </c>
      <c r="B59" s="134" t="s">
        <v>3049</v>
      </c>
      <c r="C59" s="132" t="s">
        <v>2647</v>
      </c>
      <c r="D59" s="130">
        <v>34</v>
      </c>
      <c r="E59" s="130">
        <v>97</v>
      </c>
      <c r="F59" s="130">
        <v>66</v>
      </c>
      <c r="G59" s="130">
        <v>45</v>
      </c>
      <c r="H59" s="130">
        <v>50</v>
      </c>
      <c r="I59" s="130">
        <v>292</v>
      </c>
      <c r="J59" s="130">
        <v>500</v>
      </c>
      <c r="K59" s="138">
        <v>0.58399999999999996</v>
      </c>
      <c r="L59" s="138">
        <v>0.41599999999999998</v>
      </c>
    </row>
    <row r="60" spans="1:12" ht="15" thickBot="1">
      <c r="A60" s="130" t="s">
        <v>2909</v>
      </c>
      <c r="B60" s="134" t="s">
        <v>3050</v>
      </c>
      <c r="C60" s="132" t="s">
        <v>2653</v>
      </c>
      <c r="D60" s="130">
        <v>83</v>
      </c>
      <c r="E60" s="130">
        <v>12</v>
      </c>
      <c r="F60" s="130">
        <v>70</v>
      </c>
      <c r="G60" s="130">
        <v>83</v>
      </c>
      <c r="H60" s="130">
        <v>52</v>
      </c>
      <c r="I60" s="130">
        <v>300</v>
      </c>
      <c r="J60" s="130">
        <v>500</v>
      </c>
      <c r="K60" s="138">
        <v>0.6</v>
      </c>
      <c r="L60" s="138">
        <v>0.4</v>
      </c>
    </row>
    <row r="61" spans="1:12" ht="15" thickBot="1">
      <c r="A61" s="130" t="s">
        <v>2910</v>
      </c>
      <c r="B61" s="134" t="s">
        <v>3051</v>
      </c>
      <c r="C61" s="132" t="s">
        <v>2650</v>
      </c>
      <c r="D61" s="130">
        <v>76</v>
      </c>
      <c r="E61" s="130">
        <v>55</v>
      </c>
      <c r="F61" s="130">
        <v>56</v>
      </c>
      <c r="G61" s="130">
        <v>16</v>
      </c>
      <c r="H61" s="130">
        <v>61</v>
      </c>
      <c r="I61" s="130">
        <v>264</v>
      </c>
      <c r="J61" s="130">
        <v>500</v>
      </c>
      <c r="K61" s="138">
        <v>0.52800000000000002</v>
      </c>
      <c r="L61" s="138">
        <v>0.47199999999999998</v>
      </c>
    </row>
    <row r="62" spans="1:12" ht="15" thickBot="1">
      <c r="A62" s="130" t="s">
        <v>2911</v>
      </c>
      <c r="B62" s="134" t="s">
        <v>3052</v>
      </c>
      <c r="C62" s="132" t="s">
        <v>2393</v>
      </c>
      <c r="D62" s="130">
        <v>40</v>
      </c>
      <c r="E62" s="130">
        <v>70</v>
      </c>
      <c r="F62" s="130">
        <v>19</v>
      </c>
      <c r="G62" s="130">
        <v>36</v>
      </c>
      <c r="H62" s="130">
        <v>52</v>
      </c>
      <c r="I62" s="130">
        <v>217</v>
      </c>
      <c r="J62" s="130">
        <v>500</v>
      </c>
      <c r="K62" s="138">
        <v>0.434</v>
      </c>
      <c r="L62" s="138">
        <v>0.56599999999999995</v>
      </c>
    </row>
    <row r="63" spans="1:12" ht="15" thickBot="1">
      <c r="A63" s="130" t="s">
        <v>2912</v>
      </c>
      <c r="B63" s="134" t="s">
        <v>3053</v>
      </c>
      <c r="C63" s="132" t="s">
        <v>3133</v>
      </c>
      <c r="D63" s="130">
        <v>44</v>
      </c>
      <c r="E63" s="130">
        <v>60</v>
      </c>
      <c r="F63" s="130">
        <v>71</v>
      </c>
      <c r="G63" s="130">
        <v>34</v>
      </c>
      <c r="H63" s="130">
        <v>37</v>
      </c>
      <c r="I63" s="130">
        <v>246</v>
      </c>
      <c r="J63" s="130">
        <v>500</v>
      </c>
      <c r="K63" s="138">
        <v>0.49199999999999999</v>
      </c>
      <c r="L63" s="138">
        <v>0.50800000000000001</v>
      </c>
    </row>
    <row r="64" spans="1:12" ht="15" thickBot="1">
      <c r="A64" s="130" t="s">
        <v>2913</v>
      </c>
      <c r="B64" s="134" t="s">
        <v>3054</v>
      </c>
      <c r="C64" s="132" t="s">
        <v>3134</v>
      </c>
      <c r="D64" s="130">
        <v>43</v>
      </c>
      <c r="E64" s="130">
        <v>78</v>
      </c>
      <c r="F64" s="130">
        <v>15</v>
      </c>
      <c r="G64" s="130">
        <v>98</v>
      </c>
      <c r="H64" s="130">
        <v>33</v>
      </c>
      <c r="I64" s="130">
        <v>267</v>
      </c>
      <c r="J64" s="130">
        <v>500</v>
      </c>
      <c r="K64" s="138">
        <v>0.53400000000000003</v>
      </c>
      <c r="L64" s="138">
        <v>0.46600000000000003</v>
      </c>
    </row>
    <row r="65" spans="1:12" ht="15" thickBot="1">
      <c r="A65" s="130" t="s">
        <v>2914</v>
      </c>
      <c r="B65" s="134" t="s">
        <v>3055</v>
      </c>
      <c r="C65" s="132" t="s">
        <v>2396</v>
      </c>
      <c r="D65" s="130">
        <v>75</v>
      </c>
      <c r="E65" s="130">
        <v>75</v>
      </c>
      <c r="F65" s="130">
        <v>89</v>
      </c>
      <c r="G65" s="130">
        <v>97</v>
      </c>
      <c r="H65" s="130">
        <v>49</v>
      </c>
      <c r="I65" s="130">
        <v>385</v>
      </c>
      <c r="J65" s="130">
        <v>500</v>
      </c>
      <c r="K65" s="138">
        <v>0.77</v>
      </c>
      <c r="L65" s="138">
        <v>0.23</v>
      </c>
    </row>
    <row r="66" spans="1:12" ht="15" thickBot="1">
      <c r="A66" s="130" t="s">
        <v>2915</v>
      </c>
      <c r="B66" s="134" t="s">
        <v>3056</v>
      </c>
      <c r="C66" s="132" t="s">
        <v>2392</v>
      </c>
      <c r="D66" s="130">
        <v>74</v>
      </c>
      <c r="E66" s="130">
        <v>51</v>
      </c>
      <c r="F66" s="130">
        <v>97</v>
      </c>
      <c r="G66" s="130">
        <v>73</v>
      </c>
      <c r="H66" s="130">
        <v>33</v>
      </c>
      <c r="I66" s="130">
        <v>328</v>
      </c>
      <c r="J66" s="130">
        <v>500</v>
      </c>
      <c r="K66" s="138">
        <v>0.65600000000000003</v>
      </c>
      <c r="L66" s="138">
        <v>0.34399999999999997</v>
      </c>
    </row>
    <row r="67" spans="1:12" ht="15" thickBot="1">
      <c r="A67" s="130" t="s">
        <v>2916</v>
      </c>
      <c r="B67" s="134" t="s">
        <v>3057</v>
      </c>
      <c r="C67" s="132" t="s">
        <v>2647</v>
      </c>
      <c r="D67" s="130">
        <v>44</v>
      </c>
      <c r="E67" s="130">
        <v>36</v>
      </c>
      <c r="F67" s="130">
        <v>11</v>
      </c>
      <c r="G67" s="130">
        <v>45</v>
      </c>
      <c r="H67" s="130">
        <v>30</v>
      </c>
      <c r="I67" s="130">
        <v>166</v>
      </c>
      <c r="J67" s="130">
        <v>500</v>
      </c>
      <c r="K67" s="138">
        <v>0.33200000000000002</v>
      </c>
      <c r="L67" s="138">
        <v>0.66800000000000004</v>
      </c>
    </row>
    <row r="68" spans="1:12" ht="15" thickBot="1">
      <c r="A68" s="130" t="s">
        <v>2917</v>
      </c>
      <c r="B68" s="134" t="s">
        <v>3058</v>
      </c>
      <c r="C68" s="132" t="s">
        <v>2653</v>
      </c>
      <c r="D68" s="130">
        <v>87</v>
      </c>
      <c r="E68" s="130">
        <v>79</v>
      </c>
      <c r="F68" s="130">
        <v>46</v>
      </c>
      <c r="G68" s="130">
        <v>65</v>
      </c>
      <c r="H68" s="130">
        <v>65</v>
      </c>
      <c r="I68" s="130">
        <v>342</v>
      </c>
      <c r="J68" s="130">
        <v>500</v>
      </c>
      <c r="K68" s="138">
        <v>0.68400000000000005</v>
      </c>
      <c r="L68" s="138">
        <v>0.316</v>
      </c>
    </row>
    <row r="69" spans="1:12" ht="15" thickBot="1">
      <c r="A69" s="130" t="s">
        <v>2918</v>
      </c>
      <c r="B69" s="134" t="s">
        <v>3059</v>
      </c>
      <c r="C69" s="132" t="s">
        <v>2650</v>
      </c>
      <c r="D69" s="130">
        <v>70</v>
      </c>
      <c r="E69" s="130">
        <v>52</v>
      </c>
      <c r="F69" s="130">
        <v>80</v>
      </c>
      <c r="G69" s="130">
        <v>43</v>
      </c>
      <c r="H69" s="130">
        <v>48</v>
      </c>
      <c r="I69" s="130">
        <v>293</v>
      </c>
      <c r="J69" s="130">
        <v>500</v>
      </c>
      <c r="K69" s="138">
        <v>0.58599999999999997</v>
      </c>
      <c r="L69" s="138">
        <v>0.41399999999999998</v>
      </c>
    </row>
    <row r="70" spans="1:12" ht="15" thickBot="1">
      <c r="A70" s="130" t="s">
        <v>2919</v>
      </c>
      <c r="B70" s="134" t="s">
        <v>3060</v>
      </c>
      <c r="C70" s="132" t="s">
        <v>2393</v>
      </c>
      <c r="D70" s="130">
        <v>45</v>
      </c>
      <c r="E70" s="130">
        <v>26</v>
      </c>
      <c r="F70" s="130">
        <v>27</v>
      </c>
      <c r="G70" s="130">
        <v>14</v>
      </c>
      <c r="H70" s="130">
        <v>59</v>
      </c>
      <c r="I70" s="130">
        <v>171</v>
      </c>
      <c r="J70" s="130">
        <v>500</v>
      </c>
      <c r="K70" s="138">
        <v>0.34200000000000003</v>
      </c>
      <c r="L70" s="138">
        <v>0.65800000000000003</v>
      </c>
    </row>
    <row r="71" spans="1:12" ht="15" thickBot="1">
      <c r="A71" s="130" t="s">
        <v>2920</v>
      </c>
      <c r="B71" s="134" t="s">
        <v>3061</v>
      </c>
      <c r="C71" s="132" t="s">
        <v>3133</v>
      </c>
      <c r="D71" s="130">
        <v>51</v>
      </c>
      <c r="E71" s="130">
        <v>26</v>
      </c>
      <c r="F71" s="130">
        <v>58</v>
      </c>
      <c r="G71" s="130">
        <v>83</v>
      </c>
      <c r="H71" s="130">
        <v>11</v>
      </c>
      <c r="I71" s="130">
        <v>229</v>
      </c>
      <c r="J71" s="130">
        <v>500</v>
      </c>
      <c r="K71" s="138">
        <v>0.45800000000000002</v>
      </c>
      <c r="L71" s="138">
        <v>0.54200000000000004</v>
      </c>
    </row>
    <row r="72" spans="1:12" ht="15" thickBot="1">
      <c r="A72" s="130" t="s">
        <v>2921</v>
      </c>
      <c r="B72" s="134" t="s">
        <v>3062</v>
      </c>
      <c r="C72" s="132" t="s">
        <v>3134</v>
      </c>
      <c r="D72" s="130">
        <v>68</v>
      </c>
      <c r="E72" s="130">
        <v>36</v>
      </c>
      <c r="F72" s="130">
        <v>15</v>
      </c>
      <c r="G72" s="130">
        <v>20</v>
      </c>
      <c r="H72" s="130">
        <v>17</v>
      </c>
      <c r="I72" s="130">
        <v>156</v>
      </c>
      <c r="J72" s="130">
        <v>500</v>
      </c>
      <c r="K72" s="138">
        <v>0.312</v>
      </c>
      <c r="L72" s="138">
        <v>0.68799999999999994</v>
      </c>
    </row>
    <row r="73" spans="1:12" ht="15" thickBot="1">
      <c r="A73" s="130" t="s">
        <v>2922</v>
      </c>
      <c r="B73" s="134" t="s">
        <v>3063</v>
      </c>
      <c r="C73" s="132" t="s">
        <v>2396</v>
      </c>
      <c r="D73" s="130">
        <v>32</v>
      </c>
      <c r="E73" s="130">
        <v>74</v>
      </c>
      <c r="F73" s="130">
        <v>18</v>
      </c>
      <c r="G73" s="130">
        <v>33</v>
      </c>
      <c r="H73" s="130">
        <v>51</v>
      </c>
      <c r="I73" s="130">
        <v>208</v>
      </c>
      <c r="J73" s="130">
        <v>500</v>
      </c>
      <c r="K73" s="138">
        <v>0.41599999999999998</v>
      </c>
      <c r="L73" s="138">
        <v>0.58399999999999996</v>
      </c>
    </row>
    <row r="74" spans="1:12" ht="15" thickBot="1">
      <c r="A74" s="130" t="s">
        <v>2923</v>
      </c>
      <c r="B74" s="134" t="s">
        <v>3064</v>
      </c>
      <c r="C74" s="132" t="s">
        <v>2392</v>
      </c>
      <c r="D74" s="130">
        <v>41</v>
      </c>
      <c r="E74" s="130">
        <v>11</v>
      </c>
      <c r="F74" s="130">
        <v>46</v>
      </c>
      <c r="G74" s="130">
        <v>35</v>
      </c>
      <c r="H74" s="130">
        <v>10</v>
      </c>
      <c r="I74" s="130">
        <v>143</v>
      </c>
      <c r="J74" s="130">
        <v>500</v>
      </c>
      <c r="K74" s="138">
        <v>0.28599999999999998</v>
      </c>
      <c r="L74" s="138">
        <v>0.71399999999999997</v>
      </c>
    </row>
    <row r="75" spans="1:12" ht="15" thickBot="1">
      <c r="A75" s="130" t="s">
        <v>2924</v>
      </c>
      <c r="B75" s="134" t="s">
        <v>3065</v>
      </c>
      <c r="C75" s="132" t="s">
        <v>2647</v>
      </c>
      <c r="D75" s="130">
        <v>41</v>
      </c>
      <c r="E75" s="130">
        <v>17</v>
      </c>
      <c r="F75" s="130">
        <v>82</v>
      </c>
      <c r="G75" s="130">
        <v>75</v>
      </c>
      <c r="H75" s="130">
        <v>39</v>
      </c>
      <c r="I75" s="130">
        <v>254</v>
      </c>
      <c r="J75" s="130">
        <v>500</v>
      </c>
      <c r="K75" s="138">
        <v>0.50800000000000001</v>
      </c>
      <c r="L75" s="138">
        <v>0.49199999999999999</v>
      </c>
    </row>
    <row r="76" spans="1:12" ht="15" thickBot="1">
      <c r="A76" s="130" t="s">
        <v>2925</v>
      </c>
      <c r="B76" s="134" t="s">
        <v>3066</v>
      </c>
      <c r="C76" s="132" t="s">
        <v>2653</v>
      </c>
      <c r="D76" s="130">
        <v>12</v>
      </c>
      <c r="E76" s="130">
        <v>97</v>
      </c>
      <c r="F76" s="130">
        <v>45</v>
      </c>
      <c r="G76" s="130">
        <v>29</v>
      </c>
      <c r="H76" s="130">
        <v>41</v>
      </c>
      <c r="I76" s="130">
        <v>224</v>
      </c>
      <c r="J76" s="130">
        <v>500</v>
      </c>
      <c r="K76" s="138">
        <v>0.44800000000000001</v>
      </c>
      <c r="L76" s="138">
        <v>0.55200000000000005</v>
      </c>
    </row>
    <row r="77" spans="1:12" ht="15" thickBot="1">
      <c r="A77" s="130" t="s">
        <v>2926</v>
      </c>
      <c r="B77" s="134" t="s">
        <v>3067</v>
      </c>
      <c r="C77" s="132" t="s">
        <v>2650</v>
      </c>
      <c r="D77" s="130">
        <v>19</v>
      </c>
      <c r="E77" s="130">
        <v>72</v>
      </c>
      <c r="F77" s="130">
        <v>87</v>
      </c>
      <c r="G77" s="130">
        <v>82</v>
      </c>
      <c r="H77" s="130">
        <v>27</v>
      </c>
      <c r="I77" s="130">
        <v>287</v>
      </c>
      <c r="J77" s="130">
        <v>500</v>
      </c>
      <c r="K77" s="138">
        <v>0.57399999999999995</v>
      </c>
      <c r="L77" s="138">
        <v>0.42599999999999999</v>
      </c>
    </row>
    <row r="78" spans="1:12" ht="15" thickBot="1">
      <c r="A78" s="130" t="s">
        <v>2927</v>
      </c>
      <c r="B78" s="134" t="s">
        <v>3068</v>
      </c>
      <c r="C78" s="132" t="s">
        <v>2393</v>
      </c>
      <c r="D78" s="130">
        <v>98</v>
      </c>
      <c r="E78" s="130">
        <v>15</v>
      </c>
      <c r="F78" s="130">
        <v>72</v>
      </c>
      <c r="G78" s="130">
        <v>67</v>
      </c>
      <c r="H78" s="130">
        <v>34</v>
      </c>
      <c r="I78" s="130">
        <v>286</v>
      </c>
      <c r="J78" s="130">
        <v>500</v>
      </c>
      <c r="K78" s="138">
        <v>0.57199999999999995</v>
      </c>
      <c r="L78" s="138">
        <v>0.42799999999999999</v>
      </c>
    </row>
    <row r="79" spans="1:12" ht="15" thickBot="1">
      <c r="A79" s="130" t="s">
        <v>2928</v>
      </c>
      <c r="B79" s="134" t="s">
        <v>3069</v>
      </c>
      <c r="C79" s="132" t="s">
        <v>3133</v>
      </c>
      <c r="D79" s="130">
        <v>50</v>
      </c>
      <c r="E79" s="130">
        <v>44</v>
      </c>
      <c r="F79" s="130">
        <v>46</v>
      </c>
      <c r="G79" s="130">
        <v>13</v>
      </c>
      <c r="H79" s="130">
        <v>92</v>
      </c>
      <c r="I79" s="130">
        <v>245</v>
      </c>
      <c r="J79" s="130">
        <v>500</v>
      </c>
      <c r="K79" s="138">
        <v>0.49</v>
      </c>
      <c r="L79" s="138">
        <v>0.51</v>
      </c>
    </row>
    <row r="80" spans="1:12" ht="15" thickBot="1">
      <c r="A80" s="130" t="s">
        <v>2929</v>
      </c>
      <c r="B80" s="134" t="s">
        <v>3070</v>
      </c>
      <c r="C80" s="132" t="s">
        <v>3134</v>
      </c>
      <c r="D80" s="130">
        <v>40</v>
      </c>
      <c r="E80" s="130">
        <v>82</v>
      </c>
      <c r="F80" s="130">
        <v>72</v>
      </c>
      <c r="G80" s="130">
        <v>42</v>
      </c>
      <c r="H80" s="130">
        <v>45</v>
      </c>
      <c r="I80" s="130">
        <v>281</v>
      </c>
      <c r="J80" s="130">
        <v>500</v>
      </c>
      <c r="K80" s="138">
        <v>0.56200000000000006</v>
      </c>
      <c r="L80" s="138">
        <v>0.438</v>
      </c>
    </row>
    <row r="81" spans="1:12" ht="15" thickBot="1">
      <c r="A81" s="130" t="s">
        <v>2930</v>
      </c>
      <c r="B81" s="134" t="s">
        <v>3071</v>
      </c>
      <c r="C81" s="132" t="s">
        <v>2396</v>
      </c>
      <c r="D81" s="130">
        <v>23</v>
      </c>
      <c r="E81" s="130">
        <v>83</v>
      </c>
      <c r="F81" s="130">
        <v>63</v>
      </c>
      <c r="G81" s="130">
        <v>65</v>
      </c>
      <c r="H81" s="130">
        <v>83</v>
      </c>
      <c r="I81" s="130">
        <v>317</v>
      </c>
      <c r="J81" s="130">
        <v>500</v>
      </c>
      <c r="K81" s="138">
        <v>0.63400000000000001</v>
      </c>
      <c r="L81" s="138">
        <v>0.36599999999999999</v>
      </c>
    </row>
    <row r="82" spans="1:12" ht="15" thickBot="1">
      <c r="A82" s="130" t="s">
        <v>2931</v>
      </c>
      <c r="B82" s="134" t="s">
        <v>3072</v>
      </c>
      <c r="C82" s="132" t="s">
        <v>2392</v>
      </c>
      <c r="D82" s="130">
        <v>71</v>
      </c>
      <c r="E82" s="130">
        <v>94</v>
      </c>
      <c r="F82" s="130">
        <v>45</v>
      </c>
      <c r="G82" s="130">
        <v>95</v>
      </c>
      <c r="H82" s="130">
        <v>46</v>
      </c>
      <c r="I82" s="130">
        <v>351</v>
      </c>
      <c r="J82" s="130">
        <v>500</v>
      </c>
      <c r="K82" s="138">
        <v>0.70199999999999996</v>
      </c>
      <c r="L82" s="138">
        <v>0.29799999999999999</v>
      </c>
    </row>
    <row r="83" spans="1:12" ht="15" thickBot="1">
      <c r="A83" s="130" t="s">
        <v>2932</v>
      </c>
      <c r="B83" s="134" t="s">
        <v>3073</v>
      </c>
      <c r="C83" s="132" t="s">
        <v>2647</v>
      </c>
      <c r="D83" s="130">
        <v>48</v>
      </c>
      <c r="E83" s="130">
        <v>49</v>
      </c>
      <c r="F83" s="130">
        <v>68</v>
      </c>
      <c r="G83" s="130">
        <v>23</v>
      </c>
      <c r="H83" s="130">
        <v>21</v>
      </c>
      <c r="I83" s="130">
        <v>209</v>
      </c>
      <c r="J83" s="130">
        <v>500</v>
      </c>
      <c r="K83" s="138">
        <v>0.41799999999999998</v>
      </c>
      <c r="L83" s="138">
        <v>0.58199999999999996</v>
      </c>
    </row>
    <row r="84" spans="1:12" ht="15" thickBot="1">
      <c r="A84" s="130" t="s">
        <v>2933</v>
      </c>
      <c r="B84" s="134" t="s">
        <v>3074</v>
      </c>
      <c r="C84" s="132" t="s">
        <v>2653</v>
      </c>
      <c r="D84" s="130">
        <v>77</v>
      </c>
      <c r="E84" s="130">
        <v>83</v>
      </c>
      <c r="F84" s="130">
        <v>64</v>
      </c>
      <c r="G84" s="130">
        <v>53</v>
      </c>
      <c r="H84" s="130">
        <v>13</v>
      </c>
      <c r="I84" s="130">
        <v>290</v>
      </c>
      <c r="J84" s="130">
        <v>500</v>
      </c>
      <c r="K84" s="138">
        <v>0.57999999999999996</v>
      </c>
      <c r="L84" s="138">
        <v>0.42</v>
      </c>
    </row>
    <row r="85" spans="1:12" ht="15" thickBot="1">
      <c r="A85" s="130" t="s">
        <v>2934</v>
      </c>
      <c r="B85" s="134" t="s">
        <v>3075</v>
      </c>
      <c r="C85" s="132" t="s">
        <v>2650</v>
      </c>
      <c r="D85" s="130">
        <v>81</v>
      </c>
      <c r="E85" s="130">
        <v>63</v>
      </c>
      <c r="F85" s="130">
        <v>88</v>
      </c>
      <c r="G85" s="130">
        <v>89</v>
      </c>
      <c r="H85" s="130">
        <v>63</v>
      </c>
      <c r="I85" s="130">
        <v>384</v>
      </c>
      <c r="J85" s="130">
        <v>500</v>
      </c>
      <c r="K85" s="138">
        <v>0.76800000000000002</v>
      </c>
      <c r="L85" s="138">
        <v>0.23200000000000001</v>
      </c>
    </row>
    <row r="86" spans="1:12" ht="15" thickBot="1">
      <c r="A86" s="130" t="s">
        <v>2935</v>
      </c>
      <c r="B86" s="134" t="s">
        <v>3076</v>
      </c>
      <c r="C86" s="132" t="s">
        <v>2393</v>
      </c>
      <c r="D86" s="130">
        <v>39</v>
      </c>
      <c r="E86" s="130">
        <v>87</v>
      </c>
      <c r="F86" s="130">
        <v>62</v>
      </c>
      <c r="G86" s="130">
        <v>80</v>
      </c>
      <c r="H86" s="130">
        <v>81</v>
      </c>
      <c r="I86" s="130">
        <v>349</v>
      </c>
      <c r="J86" s="130">
        <v>500</v>
      </c>
      <c r="K86" s="138">
        <v>0.69799999999999995</v>
      </c>
      <c r="L86" s="138">
        <v>0.30199999999999999</v>
      </c>
    </row>
    <row r="87" spans="1:12" ht="15" thickBot="1">
      <c r="A87" s="130" t="s">
        <v>2936</v>
      </c>
      <c r="B87" s="134" t="s">
        <v>3077</v>
      </c>
      <c r="C87" s="132" t="s">
        <v>3133</v>
      </c>
      <c r="D87" s="130">
        <v>46</v>
      </c>
      <c r="E87" s="130">
        <v>19</v>
      </c>
      <c r="F87" s="130">
        <v>59</v>
      </c>
      <c r="G87" s="130">
        <v>58</v>
      </c>
      <c r="H87" s="130">
        <v>33</v>
      </c>
      <c r="I87" s="130">
        <v>215</v>
      </c>
      <c r="J87" s="130">
        <v>500</v>
      </c>
      <c r="K87" s="138">
        <v>0.43</v>
      </c>
      <c r="L87" s="138">
        <v>0.56999999999999995</v>
      </c>
    </row>
    <row r="88" spans="1:12" ht="15" thickBot="1">
      <c r="A88" s="130" t="s">
        <v>2937</v>
      </c>
      <c r="B88" s="134" t="s">
        <v>3078</v>
      </c>
      <c r="C88" s="132" t="s">
        <v>3134</v>
      </c>
      <c r="D88" s="130">
        <v>34</v>
      </c>
      <c r="E88" s="130">
        <v>15</v>
      </c>
      <c r="F88" s="130">
        <v>43</v>
      </c>
      <c r="G88" s="130">
        <v>63</v>
      </c>
      <c r="H88" s="130">
        <v>54</v>
      </c>
      <c r="I88" s="130">
        <v>209</v>
      </c>
      <c r="J88" s="130">
        <v>500</v>
      </c>
      <c r="K88" s="138">
        <v>0.41799999999999998</v>
      </c>
      <c r="L88" s="138">
        <v>0.58199999999999996</v>
      </c>
    </row>
    <row r="89" spans="1:12" ht="15" thickBot="1">
      <c r="A89" s="130" t="s">
        <v>2938</v>
      </c>
      <c r="B89" s="134" t="s">
        <v>3079</v>
      </c>
      <c r="C89" s="132" t="s">
        <v>2396</v>
      </c>
      <c r="D89" s="130">
        <v>32</v>
      </c>
      <c r="E89" s="130">
        <v>79</v>
      </c>
      <c r="F89" s="130">
        <v>65</v>
      </c>
      <c r="G89" s="130">
        <v>57</v>
      </c>
      <c r="H89" s="130">
        <v>73</v>
      </c>
      <c r="I89" s="130">
        <v>306</v>
      </c>
      <c r="J89" s="130">
        <v>500</v>
      </c>
      <c r="K89" s="138">
        <v>0.61199999999999999</v>
      </c>
      <c r="L89" s="138">
        <v>0.38800000000000001</v>
      </c>
    </row>
    <row r="90" spans="1:12" ht="15" thickBot="1">
      <c r="A90" s="130" t="s">
        <v>2939</v>
      </c>
      <c r="B90" s="134" t="s">
        <v>3080</v>
      </c>
      <c r="C90" s="132" t="s">
        <v>2392</v>
      </c>
      <c r="D90" s="130">
        <v>72</v>
      </c>
      <c r="E90" s="130">
        <v>82</v>
      </c>
      <c r="F90" s="130">
        <v>58</v>
      </c>
      <c r="G90" s="130">
        <v>36</v>
      </c>
      <c r="H90" s="130">
        <v>33</v>
      </c>
      <c r="I90" s="130">
        <v>281</v>
      </c>
      <c r="J90" s="130">
        <v>500</v>
      </c>
      <c r="K90" s="138">
        <v>0.56200000000000006</v>
      </c>
      <c r="L90" s="138">
        <v>0.438</v>
      </c>
    </row>
    <row r="91" spans="1:12" ht="15" thickBot="1">
      <c r="A91" s="130" t="s">
        <v>2940</v>
      </c>
      <c r="B91" s="134" t="s">
        <v>3081</v>
      </c>
      <c r="C91" s="132" t="s">
        <v>2647</v>
      </c>
      <c r="D91" s="130">
        <v>11</v>
      </c>
      <c r="E91" s="130">
        <v>69</v>
      </c>
      <c r="F91" s="130">
        <v>49</v>
      </c>
      <c r="G91" s="130">
        <v>90</v>
      </c>
      <c r="H91" s="130">
        <v>99</v>
      </c>
      <c r="I91" s="130">
        <v>318</v>
      </c>
      <c r="J91" s="130">
        <v>500</v>
      </c>
      <c r="K91" s="138">
        <v>0.63600000000000001</v>
      </c>
      <c r="L91" s="138">
        <v>0.36399999999999999</v>
      </c>
    </row>
    <row r="92" spans="1:12" ht="15" thickBot="1">
      <c r="A92" s="130" t="s">
        <v>2941</v>
      </c>
      <c r="B92" s="134" t="s">
        <v>3082</v>
      </c>
      <c r="C92" s="132" t="s">
        <v>2653</v>
      </c>
      <c r="D92" s="130">
        <v>80</v>
      </c>
      <c r="E92" s="130">
        <v>73</v>
      </c>
      <c r="F92" s="130">
        <v>21</v>
      </c>
      <c r="G92" s="130">
        <v>72</v>
      </c>
      <c r="H92" s="130">
        <v>54</v>
      </c>
      <c r="I92" s="130">
        <v>300</v>
      </c>
      <c r="J92" s="130">
        <v>500</v>
      </c>
      <c r="K92" s="138">
        <v>0.6</v>
      </c>
      <c r="L92" s="138">
        <v>0.4</v>
      </c>
    </row>
    <row r="93" spans="1:12" ht="15" thickBot="1">
      <c r="A93" s="130" t="s">
        <v>2942</v>
      </c>
      <c r="B93" s="134" t="s">
        <v>3083</v>
      </c>
      <c r="C93" s="132" t="s">
        <v>2650</v>
      </c>
      <c r="D93" s="130">
        <v>93</v>
      </c>
      <c r="E93" s="130">
        <v>42</v>
      </c>
      <c r="F93" s="130">
        <v>38</v>
      </c>
      <c r="G93" s="130">
        <v>98</v>
      </c>
      <c r="H93" s="130">
        <v>10</v>
      </c>
      <c r="I93" s="130">
        <v>281</v>
      </c>
      <c r="J93" s="130">
        <v>500</v>
      </c>
      <c r="K93" s="138">
        <v>0.56200000000000006</v>
      </c>
      <c r="L93" s="138">
        <v>0.438</v>
      </c>
    </row>
    <row r="94" spans="1:12" ht="15" thickBot="1">
      <c r="A94" s="130" t="s">
        <v>2943</v>
      </c>
      <c r="B94" s="134" t="s">
        <v>3084</v>
      </c>
      <c r="C94" s="132" t="s">
        <v>2393</v>
      </c>
      <c r="D94" s="130">
        <v>18</v>
      </c>
      <c r="E94" s="130">
        <v>80</v>
      </c>
      <c r="F94" s="130">
        <v>20</v>
      </c>
      <c r="G94" s="130">
        <v>32</v>
      </c>
      <c r="H94" s="130">
        <v>95</v>
      </c>
      <c r="I94" s="130">
        <v>245</v>
      </c>
      <c r="J94" s="130">
        <v>500</v>
      </c>
      <c r="K94" s="138">
        <v>0.49</v>
      </c>
      <c r="L94" s="138">
        <v>0.51</v>
      </c>
    </row>
    <row r="95" spans="1:12" ht="15" thickBot="1">
      <c r="A95" s="130" t="s">
        <v>2944</v>
      </c>
      <c r="B95" s="134" t="s">
        <v>3085</v>
      </c>
      <c r="C95" s="132" t="s">
        <v>3133</v>
      </c>
      <c r="D95" s="130">
        <v>96</v>
      </c>
      <c r="E95" s="130">
        <v>14</v>
      </c>
      <c r="F95" s="130">
        <v>20</v>
      </c>
      <c r="G95" s="130">
        <v>31</v>
      </c>
      <c r="H95" s="130">
        <v>44</v>
      </c>
      <c r="I95" s="130">
        <v>205</v>
      </c>
      <c r="J95" s="130">
        <v>500</v>
      </c>
      <c r="K95" s="138">
        <v>0.41</v>
      </c>
      <c r="L95" s="138">
        <v>0.59</v>
      </c>
    </row>
    <row r="96" spans="1:12" ht="15" thickBot="1">
      <c r="A96" s="130" t="s">
        <v>2945</v>
      </c>
      <c r="B96" s="134" t="s">
        <v>3086</v>
      </c>
      <c r="C96" s="132" t="s">
        <v>3134</v>
      </c>
      <c r="D96" s="130">
        <v>37</v>
      </c>
      <c r="E96" s="130">
        <v>60</v>
      </c>
      <c r="F96" s="130">
        <v>50</v>
      </c>
      <c r="G96" s="130">
        <v>68</v>
      </c>
      <c r="H96" s="130">
        <v>19</v>
      </c>
      <c r="I96" s="130">
        <v>234</v>
      </c>
      <c r="J96" s="130">
        <v>500</v>
      </c>
      <c r="K96" s="138">
        <v>0.46800000000000003</v>
      </c>
      <c r="L96" s="138">
        <v>0.53200000000000003</v>
      </c>
    </row>
    <row r="97" spans="1:12" ht="15" thickBot="1">
      <c r="A97" s="130" t="s">
        <v>2946</v>
      </c>
      <c r="B97" s="134" t="s">
        <v>3087</v>
      </c>
      <c r="C97" s="132" t="s">
        <v>2396</v>
      </c>
      <c r="D97" s="130">
        <v>35</v>
      </c>
      <c r="E97" s="130">
        <v>79</v>
      </c>
      <c r="F97" s="130">
        <v>17</v>
      </c>
      <c r="G97" s="130">
        <v>85</v>
      </c>
      <c r="H97" s="130">
        <v>16</v>
      </c>
      <c r="I97" s="130">
        <v>232</v>
      </c>
      <c r="J97" s="130">
        <v>500</v>
      </c>
      <c r="K97" s="138">
        <v>0.46400000000000002</v>
      </c>
      <c r="L97" s="138">
        <v>0.53600000000000003</v>
      </c>
    </row>
    <row r="98" spans="1:12" ht="15" thickBot="1">
      <c r="A98" s="130" t="s">
        <v>2947</v>
      </c>
      <c r="B98" s="134" t="s">
        <v>3088</v>
      </c>
      <c r="C98" s="132" t="s">
        <v>2392</v>
      </c>
      <c r="D98" s="130">
        <v>31</v>
      </c>
      <c r="E98" s="130">
        <v>48</v>
      </c>
      <c r="F98" s="130">
        <v>56</v>
      </c>
      <c r="G98" s="130">
        <v>85</v>
      </c>
      <c r="H98" s="130">
        <v>25</v>
      </c>
      <c r="I98" s="130">
        <v>245</v>
      </c>
      <c r="J98" s="130">
        <v>500</v>
      </c>
      <c r="K98" s="138">
        <v>0.49</v>
      </c>
      <c r="L98" s="138">
        <v>0.51</v>
      </c>
    </row>
    <row r="99" spans="1:12" ht="15" thickBot="1">
      <c r="A99" s="130" t="s">
        <v>2948</v>
      </c>
      <c r="B99" s="134" t="s">
        <v>3089</v>
      </c>
      <c r="C99" s="132" t="s">
        <v>2647</v>
      </c>
      <c r="D99" s="130">
        <v>23</v>
      </c>
      <c r="E99" s="130">
        <v>83</v>
      </c>
      <c r="F99" s="130">
        <v>86</v>
      </c>
      <c r="G99" s="130">
        <v>69</v>
      </c>
      <c r="H99" s="130">
        <v>25</v>
      </c>
      <c r="I99" s="130">
        <v>286</v>
      </c>
      <c r="J99" s="130">
        <v>500</v>
      </c>
      <c r="K99" s="138">
        <v>0.57199999999999995</v>
      </c>
      <c r="L99" s="138">
        <v>0.42799999999999999</v>
      </c>
    </row>
    <row r="100" spans="1:12" ht="15" thickBot="1">
      <c r="A100" s="130" t="s">
        <v>2949</v>
      </c>
      <c r="B100" s="134" t="s">
        <v>3090</v>
      </c>
      <c r="C100" s="132" t="s">
        <v>2653</v>
      </c>
      <c r="D100" s="130">
        <v>17</v>
      </c>
      <c r="E100" s="130">
        <v>97</v>
      </c>
      <c r="F100" s="130">
        <v>81</v>
      </c>
      <c r="G100" s="130">
        <v>32</v>
      </c>
      <c r="H100" s="130">
        <v>76</v>
      </c>
      <c r="I100" s="130">
        <v>303</v>
      </c>
      <c r="J100" s="130">
        <v>500</v>
      </c>
      <c r="K100" s="138">
        <v>0.60599999999999998</v>
      </c>
      <c r="L100" s="138">
        <v>0.39400000000000002</v>
      </c>
    </row>
    <row r="101" spans="1:12" ht="15" thickBot="1">
      <c r="A101" s="130" t="s">
        <v>2950</v>
      </c>
      <c r="B101" s="134" t="s">
        <v>3091</v>
      </c>
      <c r="C101" s="132" t="s">
        <v>2650</v>
      </c>
      <c r="D101" s="130">
        <v>92</v>
      </c>
      <c r="E101" s="130">
        <v>45</v>
      </c>
      <c r="F101" s="130">
        <v>43</v>
      </c>
      <c r="G101" s="130">
        <v>91</v>
      </c>
      <c r="H101" s="130">
        <v>47</v>
      </c>
      <c r="I101" s="130">
        <v>318</v>
      </c>
      <c r="J101" s="130">
        <v>500</v>
      </c>
      <c r="K101" s="138">
        <v>0.63600000000000001</v>
      </c>
      <c r="L101" s="138">
        <v>0.36399999999999999</v>
      </c>
    </row>
    <row r="102" spans="1:12" ht="15" thickBot="1">
      <c r="A102" s="130" t="s">
        <v>2951</v>
      </c>
      <c r="B102" s="134" t="s">
        <v>3092</v>
      </c>
      <c r="C102" s="132" t="s">
        <v>2393</v>
      </c>
      <c r="D102" s="130">
        <v>49</v>
      </c>
      <c r="E102" s="130">
        <v>77</v>
      </c>
      <c r="F102" s="130">
        <v>18</v>
      </c>
      <c r="G102" s="130">
        <v>69</v>
      </c>
      <c r="H102" s="130">
        <v>55</v>
      </c>
      <c r="I102" s="130">
        <v>268</v>
      </c>
      <c r="J102" s="130">
        <v>500</v>
      </c>
      <c r="K102" s="138">
        <v>0.53600000000000003</v>
      </c>
      <c r="L102" s="138">
        <v>0.46400000000000002</v>
      </c>
    </row>
    <row r="103" spans="1:12" ht="15" thickBot="1">
      <c r="A103" s="130" t="s">
        <v>2952</v>
      </c>
      <c r="B103" s="134" t="s">
        <v>3093</v>
      </c>
      <c r="C103" s="132" t="s">
        <v>3133</v>
      </c>
      <c r="D103" s="130">
        <v>81</v>
      </c>
      <c r="E103" s="130">
        <v>88</v>
      </c>
      <c r="F103" s="130">
        <v>19</v>
      </c>
      <c r="G103" s="130">
        <v>95</v>
      </c>
      <c r="H103" s="130">
        <v>39</v>
      </c>
      <c r="I103" s="130">
        <v>322</v>
      </c>
      <c r="J103" s="130">
        <v>500</v>
      </c>
      <c r="K103" s="138">
        <v>0.64400000000000002</v>
      </c>
      <c r="L103" s="138">
        <v>0.35599999999999998</v>
      </c>
    </row>
    <row r="104" spans="1:12" ht="15" thickBot="1">
      <c r="A104" s="130" t="s">
        <v>2953</v>
      </c>
      <c r="B104" s="134" t="s">
        <v>3094</v>
      </c>
      <c r="C104" s="132" t="s">
        <v>3134</v>
      </c>
      <c r="D104" s="130">
        <v>55</v>
      </c>
      <c r="E104" s="130">
        <v>14</v>
      </c>
      <c r="F104" s="130">
        <v>41</v>
      </c>
      <c r="G104" s="130">
        <v>40</v>
      </c>
      <c r="H104" s="130">
        <v>70</v>
      </c>
      <c r="I104" s="130">
        <v>220</v>
      </c>
      <c r="J104" s="130">
        <v>500</v>
      </c>
      <c r="K104" s="138">
        <v>0.44</v>
      </c>
      <c r="L104" s="138">
        <v>0.56000000000000005</v>
      </c>
    </row>
    <row r="105" spans="1:12" ht="15" thickBot="1">
      <c r="A105" s="130" t="s">
        <v>2954</v>
      </c>
      <c r="B105" s="134" t="s">
        <v>3095</v>
      </c>
      <c r="C105" s="132" t="s">
        <v>2396</v>
      </c>
      <c r="D105" s="130">
        <v>86</v>
      </c>
      <c r="E105" s="130">
        <v>13</v>
      </c>
      <c r="F105" s="130">
        <v>99</v>
      </c>
      <c r="G105" s="130">
        <v>25</v>
      </c>
      <c r="H105" s="130">
        <v>83</v>
      </c>
      <c r="I105" s="130">
        <v>306</v>
      </c>
      <c r="J105" s="130">
        <v>500</v>
      </c>
      <c r="K105" s="138">
        <v>0.61199999999999999</v>
      </c>
      <c r="L105" s="138">
        <v>0.38800000000000001</v>
      </c>
    </row>
    <row r="106" spans="1:12" ht="15" thickBot="1">
      <c r="A106" s="130" t="s">
        <v>2955</v>
      </c>
      <c r="B106" s="134" t="s">
        <v>3096</v>
      </c>
      <c r="C106" s="132" t="s">
        <v>2392</v>
      </c>
      <c r="D106" s="130">
        <v>88</v>
      </c>
      <c r="E106" s="130">
        <v>96</v>
      </c>
      <c r="F106" s="130">
        <v>16</v>
      </c>
      <c r="G106" s="130">
        <v>65</v>
      </c>
      <c r="H106" s="130">
        <v>86</v>
      </c>
      <c r="I106" s="130">
        <v>351</v>
      </c>
      <c r="J106" s="130">
        <v>500</v>
      </c>
      <c r="K106" s="138">
        <v>0.70199999999999996</v>
      </c>
      <c r="L106" s="138">
        <v>0.29799999999999999</v>
      </c>
    </row>
    <row r="107" spans="1:12" ht="15" thickBot="1">
      <c r="A107" s="130" t="s">
        <v>2956</v>
      </c>
      <c r="B107" s="134" t="s">
        <v>3097</v>
      </c>
      <c r="C107" s="132" t="s">
        <v>2647</v>
      </c>
      <c r="D107" s="130">
        <v>61</v>
      </c>
      <c r="E107" s="130">
        <v>73</v>
      </c>
      <c r="F107" s="130">
        <v>34</v>
      </c>
      <c r="G107" s="130">
        <v>30</v>
      </c>
      <c r="H107" s="130">
        <v>30</v>
      </c>
      <c r="I107" s="130">
        <v>228</v>
      </c>
      <c r="J107" s="130">
        <v>500</v>
      </c>
      <c r="K107" s="138">
        <v>0.45600000000000002</v>
      </c>
      <c r="L107" s="138">
        <v>0.54400000000000004</v>
      </c>
    </row>
    <row r="108" spans="1:12" ht="15" thickBot="1">
      <c r="A108" s="130" t="s">
        <v>2957</v>
      </c>
      <c r="B108" s="134" t="s">
        <v>3098</v>
      </c>
      <c r="C108" s="132" t="s">
        <v>2653</v>
      </c>
      <c r="D108" s="130">
        <v>61</v>
      </c>
      <c r="E108" s="130">
        <v>91</v>
      </c>
      <c r="F108" s="130">
        <v>53</v>
      </c>
      <c r="G108" s="130">
        <v>78</v>
      </c>
      <c r="H108" s="130">
        <v>91</v>
      </c>
      <c r="I108" s="130">
        <v>374</v>
      </c>
      <c r="J108" s="130">
        <v>500</v>
      </c>
      <c r="K108" s="138">
        <v>0.748</v>
      </c>
      <c r="L108" s="138">
        <v>0.252</v>
      </c>
    </row>
    <row r="109" spans="1:12" ht="15" thickBot="1">
      <c r="A109" s="130" t="s">
        <v>2958</v>
      </c>
      <c r="B109" s="134" t="s">
        <v>3099</v>
      </c>
      <c r="C109" s="132" t="s">
        <v>2650</v>
      </c>
      <c r="D109" s="130">
        <v>75</v>
      </c>
      <c r="E109" s="130">
        <v>53</v>
      </c>
      <c r="F109" s="130">
        <v>27</v>
      </c>
      <c r="G109" s="130">
        <v>26</v>
      </c>
      <c r="H109" s="130">
        <v>30</v>
      </c>
      <c r="I109" s="130">
        <v>211</v>
      </c>
      <c r="J109" s="130">
        <v>500</v>
      </c>
      <c r="K109" s="138">
        <v>0.42199999999999999</v>
      </c>
      <c r="L109" s="138">
        <v>0.57799999999999996</v>
      </c>
    </row>
    <row r="110" spans="1:12" ht="15" thickBot="1">
      <c r="A110" s="130" t="s">
        <v>2959</v>
      </c>
      <c r="B110" s="134" t="s">
        <v>3100</v>
      </c>
      <c r="C110" s="132" t="s">
        <v>2393</v>
      </c>
      <c r="D110" s="130">
        <v>24</v>
      </c>
      <c r="E110" s="130">
        <v>31</v>
      </c>
      <c r="F110" s="130">
        <v>41</v>
      </c>
      <c r="G110" s="130">
        <v>57</v>
      </c>
      <c r="H110" s="130">
        <v>83</v>
      </c>
      <c r="I110" s="130">
        <v>236</v>
      </c>
      <c r="J110" s="130">
        <v>500</v>
      </c>
      <c r="K110" s="138">
        <v>0.47199999999999998</v>
      </c>
      <c r="L110" s="138">
        <v>0.52800000000000002</v>
      </c>
    </row>
    <row r="111" spans="1:12" ht="15" thickBot="1">
      <c r="A111" s="130" t="s">
        <v>2960</v>
      </c>
      <c r="B111" s="134" t="s">
        <v>3101</v>
      </c>
      <c r="C111" s="132" t="s">
        <v>3133</v>
      </c>
      <c r="D111" s="130">
        <v>83</v>
      </c>
      <c r="E111" s="130">
        <v>62</v>
      </c>
      <c r="F111" s="130">
        <v>32</v>
      </c>
      <c r="G111" s="130">
        <v>83</v>
      </c>
      <c r="H111" s="130">
        <v>95</v>
      </c>
      <c r="I111" s="130">
        <v>355</v>
      </c>
      <c r="J111" s="130">
        <v>500</v>
      </c>
      <c r="K111" s="138">
        <v>0.71</v>
      </c>
      <c r="L111" s="138">
        <v>0.28999999999999998</v>
      </c>
    </row>
    <row r="112" spans="1:12" ht="15" thickBot="1">
      <c r="A112" s="130" t="s">
        <v>2961</v>
      </c>
      <c r="B112" s="134" t="s">
        <v>3102</v>
      </c>
      <c r="C112" s="132" t="s">
        <v>3134</v>
      </c>
      <c r="D112" s="130">
        <v>39</v>
      </c>
      <c r="E112" s="130">
        <v>52</v>
      </c>
      <c r="F112" s="130">
        <v>72</v>
      </c>
      <c r="G112" s="130">
        <v>99</v>
      </c>
      <c r="H112" s="130">
        <v>58</v>
      </c>
      <c r="I112" s="130">
        <v>320</v>
      </c>
      <c r="J112" s="130">
        <v>500</v>
      </c>
      <c r="K112" s="138">
        <v>0.64</v>
      </c>
      <c r="L112" s="138">
        <v>0.36</v>
      </c>
    </row>
    <row r="113" spans="1:12" ht="15" thickBot="1">
      <c r="A113" s="130" t="s">
        <v>2962</v>
      </c>
      <c r="B113" s="134" t="s">
        <v>3103</v>
      </c>
      <c r="C113" s="132" t="s">
        <v>2396</v>
      </c>
      <c r="D113" s="130">
        <v>93</v>
      </c>
      <c r="E113" s="130">
        <v>74</v>
      </c>
      <c r="F113" s="130">
        <v>85</v>
      </c>
      <c r="G113" s="130">
        <v>47</v>
      </c>
      <c r="H113" s="130">
        <v>90</v>
      </c>
      <c r="I113" s="130">
        <v>389</v>
      </c>
      <c r="J113" s="130">
        <v>500</v>
      </c>
      <c r="K113" s="138">
        <v>0.77800000000000002</v>
      </c>
      <c r="L113" s="138">
        <v>0.222</v>
      </c>
    </row>
    <row r="114" spans="1:12" ht="15" thickBot="1">
      <c r="A114" s="130" t="s">
        <v>2963</v>
      </c>
      <c r="B114" s="134" t="s">
        <v>3104</v>
      </c>
      <c r="C114" s="132" t="s">
        <v>2392</v>
      </c>
      <c r="D114" s="130">
        <v>43</v>
      </c>
      <c r="E114" s="130">
        <v>88</v>
      </c>
      <c r="F114" s="130">
        <v>35</v>
      </c>
      <c r="G114" s="130">
        <v>54</v>
      </c>
      <c r="H114" s="130">
        <v>91</v>
      </c>
      <c r="I114" s="130">
        <v>311</v>
      </c>
      <c r="J114" s="130">
        <v>500</v>
      </c>
      <c r="K114" s="138">
        <v>0.622</v>
      </c>
      <c r="L114" s="138">
        <v>0.378</v>
      </c>
    </row>
    <row r="115" spans="1:12" ht="15" thickBot="1">
      <c r="A115" s="130" t="s">
        <v>2964</v>
      </c>
      <c r="B115" s="134" t="s">
        <v>3105</v>
      </c>
      <c r="C115" s="132" t="s">
        <v>2647</v>
      </c>
      <c r="D115" s="130">
        <v>87</v>
      </c>
      <c r="E115" s="130">
        <v>15</v>
      </c>
      <c r="F115" s="130">
        <v>11</v>
      </c>
      <c r="G115" s="130">
        <v>42</v>
      </c>
      <c r="H115" s="130">
        <v>88</v>
      </c>
      <c r="I115" s="130">
        <v>243</v>
      </c>
      <c r="J115" s="130">
        <v>500</v>
      </c>
      <c r="K115" s="138">
        <v>0.48599999999999999</v>
      </c>
      <c r="L115" s="138">
        <v>0.51400000000000001</v>
      </c>
    </row>
    <row r="116" spans="1:12" ht="15" thickBot="1">
      <c r="A116" s="130" t="s">
        <v>2965</v>
      </c>
      <c r="B116" s="134" t="s">
        <v>3106</v>
      </c>
      <c r="C116" s="132" t="s">
        <v>2653</v>
      </c>
      <c r="D116" s="130">
        <v>45</v>
      </c>
      <c r="E116" s="130">
        <v>45</v>
      </c>
      <c r="F116" s="130">
        <v>61</v>
      </c>
      <c r="G116" s="130">
        <v>11</v>
      </c>
      <c r="H116" s="130">
        <v>52</v>
      </c>
      <c r="I116" s="130">
        <v>214</v>
      </c>
      <c r="J116" s="130">
        <v>500</v>
      </c>
      <c r="K116" s="138">
        <v>0.42799999999999999</v>
      </c>
      <c r="L116" s="138">
        <v>0.57199999999999995</v>
      </c>
    </row>
    <row r="117" spans="1:12" ht="15" thickBot="1">
      <c r="A117" s="130" t="s">
        <v>2966</v>
      </c>
      <c r="B117" s="134" t="s">
        <v>3107</v>
      </c>
      <c r="C117" s="132" t="s">
        <v>2650</v>
      </c>
      <c r="D117" s="130">
        <v>71</v>
      </c>
      <c r="E117" s="130">
        <v>42</v>
      </c>
      <c r="F117" s="130">
        <v>17</v>
      </c>
      <c r="G117" s="130">
        <v>57</v>
      </c>
      <c r="H117" s="130">
        <v>96</v>
      </c>
      <c r="I117" s="130">
        <v>283</v>
      </c>
      <c r="J117" s="130">
        <v>500</v>
      </c>
      <c r="K117" s="138">
        <v>0.56599999999999995</v>
      </c>
      <c r="L117" s="138">
        <v>0.434</v>
      </c>
    </row>
    <row r="118" spans="1:12" ht="15" thickBot="1">
      <c r="A118" s="130" t="s">
        <v>2967</v>
      </c>
      <c r="B118" s="134" t="s">
        <v>3108</v>
      </c>
      <c r="C118" s="132" t="s">
        <v>2393</v>
      </c>
      <c r="D118" s="130">
        <v>26</v>
      </c>
      <c r="E118" s="130">
        <v>65</v>
      </c>
      <c r="F118" s="130">
        <v>17</v>
      </c>
      <c r="G118" s="130">
        <v>28</v>
      </c>
      <c r="H118" s="130">
        <v>30</v>
      </c>
      <c r="I118" s="130">
        <v>166</v>
      </c>
      <c r="J118" s="130">
        <v>500</v>
      </c>
      <c r="K118" s="138">
        <v>0.33200000000000002</v>
      </c>
      <c r="L118" s="138">
        <v>0.66800000000000004</v>
      </c>
    </row>
    <row r="119" spans="1:12" ht="15" thickBot="1">
      <c r="A119" s="130" t="s">
        <v>2968</v>
      </c>
      <c r="B119" s="134" t="s">
        <v>3109</v>
      </c>
      <c r="C119" s="132" t="s">
        <v>3133</v>
      </c>
      <c r="D119" s="130">
        <v>26</v>
      </c>
      <c r="E119" s="130">
        <v>61</v>
      </c>
      <c r="F119" s="130">
        <v>89</v>
      </c>
      <c r="G119" s="130">
        <v>71</v>
      </c>
      <c r="H119" s="130">
        <v>33</v>
      </c>
      <c r="I119" s="130">
        <v>280</v>
      </c>
      <c r="J119" s="130">
        <v>500</v>
      </c>
      <c r="K119" s="138">
        <v>0.56000000000000005</v>
      </c>
      <c r="L119" s="138">
        <v>0.44</v>
      </c>
    </row>
    <row r="120" spans="1:12" ht="15" thickBot="1">
      <c r="A120" s="130" t="s">
        <v>2969</v>
      </c>
      <c r="B120" s="134" t="s">
        <v>3110</v>
      </c>
      <c r="C120" s="132" t="s">
        <v>3134</v>
      </c>
      <c r="D120" s="130">
        <v>93</v>
      </c>
      <c r="E120" s="130">
        <v>11</v>
      </c>
      <c r="F120" s="130">
        <v>93</v>
      </c>
      <c r="G120" s="130">
        <v>31</v>
      </c>
      <c r="H120" s="130">
        <v>30</v>
      </c>
      <c r="I120" s="130">
        <v>258</v>
      </c>
      <c r="J120" s="130">
        <v>500</v>
      </c>
      <c r="K120" s="138">
        <v>0.51600000000000001</v>
      </c>
      <c r="L120" s="138">
        <v>0.48399999999999999</v>
      </c>
    </row>
    <row r="121" spans="1:12" ht="15" thickBot="1">
      <c r="A121" s="130" t="s">
        <v>2970</v>
      </c>
      <c r="B121" s="134" t="s">
        <v>3111</v>
      </c>
      <c r="C121" s="132" t="s">
        <v>2396</v>
      </c>
      <c r="D121" s="130">
        <v>65</v>
      </c>
      <c r="E121" s="130">
        <v>92</v>
      </c>
      <c r="F121" s="130">
        <v>48</v>
      </c>
      <c r="G121" s="130">
        <v>96</v>
      </c>
      <c r="H121" s="130">
        <v>15</v>
      </c>
      <c r="I121" s="130">
        <v>316</v>
      </c>
      <c r="J121" s="130">
        <v>500</v>
      </c>
      <c r="K121" s="138">
        <v>0.63200000000000001</v>
      </c>
      <c r="L121" s="138">
        <v>0.36799999999999999</v>
      </c>
    </row>
    <row r="122" spans="1:12" ht="15" thickBot="1">
      <c r="A122" s="130" t="s">
        <v>2971</v>
      </c>
      <c r="B122" s="134" t="s">
        <v>3112</v>
      </c>
      <c r="C122" s="132" t="s">
        <v>2392</v>
      </c>
      <c r="D122" s="130">
        <v>91</v>
      </c>
      <c r="E122" s="130">
        <v>38</v>
      </c>
      <c r="F122" s="130">
        <v>33</v>
      </c>
      <c r="G122" s="130">
        <v>55</v>
      </c>
      <c r="H122" s="130">
        <v>83</v>
      </c>
      <c r="I122" s="130">
        <v>300</v>
      </c>
      <c r="J122" s="130">
        <v>500</v>
      </c>
      <c r="K122" s="138">
        <v>0.6</v>
      </c>
      <c r="L122" s="138">
        <v>0.4</v>
      </c>
    </row>
    <row r="123" spans="1:12" ht="15" thickBot="1">
      <c r="A123" s="130" t="s">
        <v>2972</v>
      </c>
      <c r="B123" s="134" t="s">
        <v>3113</v>
      </c>
      <c r="C123" s="132" t="s">
        <v>2647</v>
      </c>
      <c r="D123" s="130">
        <v>20</v>
      </c>
      <c r="E123" s="130">
        <v>94</v>
      </c>
      <c r="F123" s="130">
        <v>45</v>
      </c>
      <c r="G123" s="130">
        <v>70</v>
      </c>
      <c r="H123" s="130">
        <v>98</v>
      </c>
      <c r="I123" s="130">
        <v>327</v>
      </c>
      <c r="J123" s="130">
        <v>500</v>
      </c>
      <c r="K123" s="138">
        <v>0.65400000000000003</v>
      </c>
      <c r="L123" s="138">
        <v>0.34599999999999997</v>
      </c>
    </row>
    <row r="124" spans="1:12" ht="15" thickBot="1">
      <c r="A124" s="130" t="s">
        <v>2973</v>
      </c>
      <c r="B124" s="134" t="s">
        <v>3114</v>
      </c>
      <c r="C124" s="132" t="s">
        <v>2653</v>
      </c>
      <c r="D124" s="130">
        <v>25</v>
      </c>
      <c r="E124" s="130">
        <v>83</v>
      </c>
      <c r="F124" s="130">
        <v>26</v>
      </c>
      <c r="G124" s="130">
        <v>68</v>
      </c>
      <c r="H124" s="130">
        <v>22</v>
      </c>
      <c r="I124" s="130">
        <v>224</v>
      </c>
      <c r="J124" s="130">
        <v>500</v>
      </c>
      <c r="K124" s="138">
        <v>0.44800000000000001</v>
      </c>
      <c r="L124" s="138">
        <v>0.55200000000000005</v>
      </c>
    </row>
    <row r="125" spans="1:12" ht="15" thickBot="1">
      <c r="A125" s="130" t="s">
        <v>2974</v>
      </c>
      <c r="B125" s="134" t="s">
        <v>3115</v>
      </c>
      <c r="C125" s="132" t="s">
        <v>2650</v>
      </c>
      <c r="D125" s="130">
        <v>26</v>
      </c>
      <c r="E125" s="130">
        <v>16</v>
      </c>
      <c r="F125" s="130">
        <v>61</v>
      </c>
      <c r="G125" s="130">
        <v>92</v>
      </c>
      <c r="H125" s="130">
        <v>50</v>
      </c>
      <c r="I125" s="130">
        <v>245</v>
      </c>
      <c r="J125" s="130">
        <v>500</v>
      </c>
      <c r="K125" s="138">
        <v>0.49</v>
      </c>
      <c r="L125" s="138">
        <v>0.51</v>
      </c>
    </row>
    <row r="126" spans="1:12" ht="15" thickBot="1">
      <c r="A126" s="130" t="s">
        <v>2975</v>
      </c>
      <c r="B126" s="134" t="s">
        <v>3116</v>
      </c>
      <c r="C126" s="132" t="s">
        <v>2393</v>
      </c>
      <c r="D126" s="130">
        <v>31</v>
      </c>
      <c r="E126" s="130">
        <v>55</v>
      </c>
      <c r="F126" s="130">
        <v>75</v>
      </c>
      <c r="G126" s="130">
        <v>66</v>
      </c>
      <c r="H126" s="130">
        <v>75</v>
      </c>
      <c r="I126" s="130">
        <v>302</v>
      </c>
      <c r="J126" s="130">
        <v>500</v>
      </c>
      <c r="K126" s="138">
        <v>0.60399999999999998</v>
      </c>
      <c r="L126" s="138">
        <v>0.39600000000000002</v>
      </c>
    </row>
    <row r="127" spans="1:12" ht="15" thickBot="1">
      <c r="A127" s="130" t="s">
        <v>2976</v>
      </c>
      <c r="B127" s="134" t="s">
        <v>3117</v>
      </c>
      <c r="C127" s="132" t="s">
        <v>3133</v>
      </c>
      <c r="D127" s="130">
        <v>41</v>
      </c>
      <c r="E127" s="130">
        <v>66</v>
      </c>
      <c r="F127" s="130">
        <v>48</v>
      </c>
      <c r="G127" s="130">
        <v>70</v>
      </c>
      <c r="H127" s="130">
        <v>48</v>
      </c>
      <c r="I127" s="130">
        <v>273</v>
      </c>
      <c r="J127" s="130">
        <v>500</v>
      </c>
      <c r="K127" s="138">
        <v>0.54600000000000004</v>
      </c>
      <c r="L127" s="138">
        <v>0.45400000000000001</v>
      </c>
    </row>
    <row r="128" spans="1:12" ht="15" thickBot="1">
      <c r="A128" s="130" t="s">
        <v>2977</v>
      </c>
      <c r="B128" s="134" t="s">
        <v>3118</v>
      </c>
      <c r="C128" s="132" t="s">
        <v>3134</v>
      </c>
      <c r="D128" s="130">
        <v>60</v>
      </c>
      <c r="E128" s="130">
        <v>92</v>
      </c>
      <c r="F128" s="130">
        <v>32</v>
      </c>
      <c r="G128" s="130">
        <v>60</v>
      </c>
      <c r="H128" s="130">
        <v>78</v>
      </c>
      <c r="I128" s="130">
        <v>322</v>
      </c>
      <c r="J128" s="130">
        <v>500</v>
      </c>
      <c r="K128" s="138">
        <v>0.64400000000000002</v>
      </c>
      <c r="L128" s="138">
        <v>0.35599999999999998</v>
      </c>
    </row>
    <row r="129" spans="1:12" ht="15" thickBot="1">
      <c r="A129" s="130" t="s">
        <v>2978</v>
      </c>
      <c r="B129" s="134" t="s">
        <v>3119</v>
      </c>
      <c r="C129" s="132" t="s">
        <v>2396</v>
      </c>
      <c r="D129" s="130">
        <v>42</v>
      </c>
      <c r="E129" s="130">
        <v>24</v>
      </c>
      <c r="F129" s="130">
        <v>19</v>
      </c>
      <c r="G129" s="130">
        <v>82</v>
      </c>
      <c r="H129" s="130">
        <v>16</v>
      </c>
      <c r="I129" s="130">
        <v>183</v>
      </c>
      <c r="J129" s="130">
        <v>500</v>
      </c>
      <c r="K129" s="138">
        <v>0.36599999999999999</v>
      </c>
      <c r="L129" s="138">
        <v>0.63400000000000001</v>
      </c>
    </row>
    <row r="130" spans="1:12" ht="15" thickBot="1">
      <c r="A130" s="130" t="s">
        <v>2979</v>
      </c>
      <c r="B130" s="134" t="s">
        <v>3120</v>
      </c>
      <c r="C130" s="132" t="s">
        <v>2392</v>
      </c>
      <c r="D130" s="130">
        <v>26</v>
      </c>
      <c r="E130" s="130">
        <v>85</v>
      </c>
      <c r="F130" s="130">
        <v>75</v>
      </c>
      <c r="G130" s="130">
        <v>83</v>
      </c>
      <c r="H130" s="130">
        <v>37</v>
      </c>
      <c r="I130" s="130">
        <v>306</v>
      </c>
      <c r="J130" s="130">
        <v>500</v>
      </c>
      <c r="K130" s="138">
        <v>0.61199999999999999</v>
      </c>
      <c r="L130" s="138">
        <v>0.38800000000000001</v>
      </c>
    </row>
    <row r="131" spans="1:12" ht="15" thickBot="1">
      <c r="A131" s="130" t="s">
        <v>2980</v>
      </c>
      <c r="B131" s="134" t="s">
        <v>3121</v>
      </c>
      <c r="C131" s="132" t="s">
        <v>2647</v>
      </c>
      <c r="D131" s="130">
        <v>81</v>
      </c>
      <c r="E131" s="130">
        <v>68</v>
      </c>
      <c r="F131" s="130">
        <v>74</v>
      </c>
      <c r="G131" s="130">
        <v>72</v>
      </c>
      <c r="H131" s="130">
        <v>12</v>
      </c>
      <c r="I131" s="130">
        <v>307</v>
      </c>
      <c r="J131" s="130">
        <v>500</v>
      </c>
      <c r="K131" s="138">
        <v>0.61399999999999999</v>
      </c>
      <c r="L131" s="138">
        <v>0.38600000000000001</v>
      </c>
    </row>
    <row r="132" spans="1:12" ht="15" thickBot="1">
      <c r="A132" s="130" t="s">
        <v>2981</v>
      </c>
      <c r="B132" s="134" t="s">
        <v>3122</v>
      </c>
      <c r="C132" s="132" t="s">
        <v>2653</v>
      </c>
      <c r="D132" s="130">
        <v>90</v>
      </c>
      <c r="E132" s="130">
        <v>79</v>
      </c>
      <c r="F132" s="130">
        <v>99</v>
      </c>
      <c r="G132" s="130">
        <v>60</v>
      </c>
      <c r="H132" s="130">
        <v>27</v>
      </c>
      <c r="I132" s="130">
        <v>355</v>
      </c>
      <c r="J132" s="130">
        <v>500</v>
      </c>
      <c r="K132" s="138">
        <v>0.71</v>
      </c>
      <c r="L132" s="138">
        <v>0.28999999999999998</v>
      </c>
    </row>
    <row r="133" spans="1:12" ht="15" thickBot="1">
      <c r="A133" s="130" t="s">
        <v>2982</v>
      </c>
      <c r="B133" s="134" t="s">
        <v>3123</v>
      </c>
      <c r="C133" s="132" t="s">
        <v>2650</v>
      </c>
      <c r="D133" s="130">
        <v>71</v>
      </c>
      <c r="E133" s="130">
        <v>21</v>
      </c>
      <c r="F133" s="130">
        <v>70</v>
      </c>
      <c r="G133" s="130">
        <v>53</v>
      </c>
      <c r="H133" s="130">
        <v>49</v>
      </c>
      <c r="I133" s="130">
        <v>264</v>
      </c>
      <c r="J133" s="130">
        <v>500</v>
      </c>
      <c r="K133" s="138">
        <v>0.52800000000000002</v>
      </c>
      <c r="L133" s="138">
        <v>0.47199999999999998</v>
      </c>
    </row>
    <row r="134" spans="1:12" ht="15" thickBot="1">
      <c r="A134" s="130" t="s">
        <v>2983</v>
      </c>
      <c r="B134" s="134" t="s">
        <v>3124</v>
      </c>
      <c r="C134" s="132" t="s">
        <v>2393</v>
      </c>
      <c r="D134" s="130">
        <v>86</v>
      </c>
      <c r="E134" s="130">
        <v>60</v>
      </c>
      <c r="F134" s="130">
        <v>59</v>
      </c>
      <c r="G134" s="130">
        <v>51</v>
      </c>
      <c r="H134" s="130">
        <v>90</v>
      </c>
      <c r="I134" s="130">
        <v>346</v>
      </c>
      <c r="J134" s="130">
        <v>500</v>
      </c>
      <c r="K134" s="138">
        <v>0.69199999999999995</v>
      </c>
      <c r="L134" s="138">
        <v>0.308</v>
      </c>
    </row>
    <row r="135" spans="1:12" ht="15" thickBot="1">
      <c r="A135" s="130" t="s">
        <v>2984</v>
      </c>
      <c r="B135" s="134" t="s">
        <v>3125</v>
      </c>
      <c r="C135" s="132" t="s">
        <v>3133</v>
      </c>
      <c r="D135" s="130">
        <v>68</v>
      </c>
      <c r="E135" s="130">
        <v>61</v>
      </c>
      <c r="F135" s="130">
        <v>12</v>
      </c>
      <c r="G135" s="130">
        <v>41</v>
      </c>
      <c r="H135" s="130">
        <v>35</v>
      </c>
      <c r="I135" s="130">
        <v>217</v>
      </c>
      <c r="J135" s="130">
        <v>500</v>
      </c>
      <c r="K135" s="138">
        <v>0.434</v>
      </c>
      <c r="L135" s="138">
        <v>0.56599999999999995</v>
      </c>
    </row>
    <row r="136" spans="1:12" ht="15" thickBot="1">
      <c r="A136" s="130" t="s">
        <v>2985</v>
      </c>
      <c r="B136" s="134" t="s">
        <v>3126</v>
      </c>
      <c r="C136" s="132" t="s">
        <v>3134</v>
      </c>
      <c r="D136" s="130">
        <v>65</v>
      </c>
      <c r="E136" s="130">
        <v>34</v>
      </c>
      <c r="F136" s="130">
        <v>15</v>
      </c>
      <c r="G136" s="130">
        <v>86</v>
      </c>
      <c r="H136" s="130">
        <v>71</v>
      </c>
      <c r="I136" s="130">
        <v>271</v>
      </c>
      <c r="J136" s="130">
        <v>500</v>
      </c>
      <c r="K136" s="138">
        <v>0.54200000000000004</v>
      </c>
      <c r="L136" s="138">
        <v>0.45800000000000002</v>
      </c>
    </row>
    <row r="137" spans="1:12" ht="15" thickBot="1">
      <c r="A137" s="130" t="s">
        <v>2986</v>
      </c>
      <c r="B137" s="134" t="s">
        <v>3127</v>
      </c>
      <c r="C137" s="132" t="s">
        <v>2396</v>
      </c>
      <c r="D137" s="130">
        <v>91</v>
      </c>
      <c r="E137" s="130">
        <v>21</v>
      </c>
      <c r="F137" s="130">
        <v>59</v>
      </c>
      <c r="G137" s="130">
        <v>85</v>
      </c>
      <c r="H137" s="130">
        <v>60</v>
      </c>
      <c r="I137" s="130">
        <v>316</v>
      </c>
      <c r="J137" s="130">
        <v>500</v>
      </c>
      <c r="K137" s="138">
        <v>0.63200000000000001</v>
      </c>
      <c r="L137" s="138">
        <v>0.36799999999999999</v>
      </c>
    </row>
    <row r="138" spans="1:12" ht="15" thickBot="1">
      <c r="A138" s="130" t="s">
        <v>2987</v>
      </c>
      <c r="B138" s="134" t="s">
        <v>3128</v>
      </c>
      <c r="C138" s="132" t="s">
        <v>2392</v>
      </c>
      <c r="D138" s="130">
        <v>73</v>
      </c>
      <c r="E138" s="130">
        <v>67</v>
      </c>
      <c r="F138" s="130">
        <v>49</v>
      </c>
      <c r="G138" s="130">
        <v>56</v>
      </c>
      <c r="H138" s="130">
        <v>43</v>
      </c>
      <c r="I138" s="130">
        <v>288</v>
      </c>
      <c r="J138" s="130">
        <v>500</v>
      </c>
      <c r="K138" s="138">
        <v>0.57599999999999996</v>
      </c>
      <c r="L138" s="138">
        <v>0.42399999999999999</v>
      </c>
    </row>
    <row r="139" spans="1:12" ht="15" thickBot="1">
      <c r="A139" s="130" t="s">
        <v>2988</v>
      </c>
      <c r="B139" s="134" t="s">
        <v>3129</v>
      </c>
      <c r="C139" s="132" t="s">
        <v>2647</v>
      </c>
      <c r="D139" s="130">
        <v>72</v>
      </c>
      <c r="E139" s="130">
        <v>49</v>
      </c>
      <c r="F139" s="130">
        <v>93</v>
      </c>
      <c r="G139" s="130">
        <v>95</v>
      </c>
      <c r="H139" s="130">
        <v>73</v>
      </c>
      <c r="I139" s="130">
        <v>382</v>
      </c>
      <c r="J139" s="130">
        <v>500</v>
      </c>
      <c r="K139" s="138">
        <v>0.76400000000000001</v>
      </c>
      <c r="L139" s="138">
        <v>0.23599999999999999</v>
      </c>
    </row>
    <row r="140" spans="1:12" ht="15" thickBot="1">
      <c r="A140" s="130" t="s">
        <v>2989</v>
      </c>
      <c r="B140" s="134" t="s">
        <v>3130</v>
      </c>
      <c r="C140" s="132" t="s">
        <v>2653</v>
      </c>
      <c r="D140" s="130">
        <v>85</v>
      </c>
      <c r="E140" s="130">
        <v>43</v>
      </c>
      <c r="F140" s="130">
        <v>74</v>
      </c>
      <c r="G140" s="130">
        <v>26</v>
      </c>
      <c r="H140" s="130">
        <v>88</v>
      </c>
      <c r="I140" s="130">
        <v>316</v>
      </c>
      <c r="J140" s="130">
        <v>500</v>
      </c>
      <c r="K140" s="138">
        <v>0.63200000000000001</v>
      </c>
      <c r="L140" s="138">
        <v>0.36799999999999999</v>
      </c>
    </row>
    <row r="141" spans="1:12" ht="15" thickBot="1">
      <c r="A141" s="130" t="s">
        <v>2990</v>
      </c>
      <c r="B141" s="134" t="s">
        <v>3131</v>
      </c>
      <c r="C141" s="132" t="s">
        <v>2650</v>
      </c>
      <c r="D141" s="130">
        <v>77</v>
      </c>
      <c r="E141" s="130">
        <v>81</v>
      </c>
      <c r="F141" s="130">
        <v>10</v>
      </c>
      <c r="G141" s="130">
        <v>65</v>
      </c>
      <c r="H141" s="130">
        <v>83</v>
      </c>
      <c r="I141" s="130">
        <v>316</v>
      </c>
      <c r="J141" s="130">
        <v>500</v>
      </c>
      <c r="K141" s="138">
        <v>0.63200000000000001</v>
      </c>
      <c r="L141" s="138">
        <v>0.36799999999999999</v>
      </c>
    </row>
    <row r="142" spans="1:12" ht="15" thickBot="1">
      <c r="A142" s="130" t="s">
        <v>2991</v>
      </c>
      <c r="B142" s="134" t="s">
        <v>3132</v>
      </c>
      <c r="C142" s="132" t="s">
        <v>2393</v>
      </c>
      <c r="D142" s="130">
        <v>46</v>
      </c>
      <c r="E142" s="130">
        <v>52</v>
      </c>
      <c r="F142" s="130">
        <v>57</v>
      </c>
      <c r="G142" s="130">
        <v>67</v>
      </c>
      <c r="H142" s="130">
        <v>64</v>
      </c>
      <c r="I142" s="130">
        <v>286</v>
      </c>
      <c r="J142" s="130">
        <v>500</v>
      </c>
      <c r="K142" s="138">
        <v>0.57199999999999995</v>
      </c>
      <c r="L142" s="138">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DATA BASIC</vt:lpstr>
      <vt:lpstr>Remove_duplicate</vt:lpstr>
      <vt:lpstr>Remove_space</vt:lpstr>
      <vt:lpstr>Remove blank rows</vt:lpstr>
      <vt:lpstr>Split Data</vt:lpstr>
      <vt:lpstr>IF FUNCTION</vt:lpstr>
      <vt:lpstr>LOGICAL FUNCTIONS</vt:lpstr>
      <vt:lpstr>SORT</vt:lpstr>
      <vt:lpstr>Sheet2</vt:lpstr>
      <vt:lpstr>VLOOKUP</vt:lpstr>
      <vt:lpstr>VLOOKUP2</vt:lpstr>
      <vt:lpstr>VLOOKUP WITH MATCH</vt:lpstr>
      <vt:lpstr>MATCH AND INDEX</vt:lpstr>
      <vt:lpstr>Sales_data</vt:lpstr>
      <vt:lpstr>Sheet12</vt:lpstr>
      <vt:lpstr>PIVOT SOURCE</vt:lpstr>
      <vt:lpstr>Date formulas</vt:lpstr>
      <vt:lpstr>Employee data</vt:lpstr>
      <vt:lpstr>Leave records</vt:lpstr>
      <vt:lpstr>DASHBOARDS</vt:lpstr>
      <vt:lpstr>RAW_DATA</vt:lpstr>
      <vt:lpstr>emp_type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Gracy Singh</dc:creator>
  <cp:lastModifiedBy>Gracy Singh</cp:lastModifiedBy>
  <dcterms:created xsi:type="dcterms:W3CDTF">2026-03-15T09:19:16Z</dcterms:created>
  <dcterms:modified xsi:type="dcterms:W3CDTF">2026-03-18T10:17:01Z</dcterms:modified>
</cp:coreProperties>
</file>